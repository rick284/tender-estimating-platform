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88d4e9167644a8" /></Relationships>
</file>

<file path=xl/workbook.xml><?xml version="1.0" encoding="utf-8"?>
<x:workbook xmlns:x="http://schemas.openxmlformats.org/spreadsheetml/2006/main">
  <x:sheets>
    <x:sheet xmlns:r="http://schemas.openxmlformats.org/officeDocument/2006/relationships" name="Cover &amp; Instructions" sheetId="1" r:id="R80bdaaa088d74f40"/>
    <x:sheet xmlns:r="http://schemas.openxmlformats.org/officeDocument/2006/relationships" name="Summary" sheetId="4" r:id="R2e0c05c0793646de"/>
    <x:sheet xmlns:r="http://schemas.openxmlformats.org/officeDocument/2006/relationships" name="Tender Build-Up" sheetId="5" r:id="Re894020415ed4119"/>
    <x:sheet xmlns:r="http://schemas.openxmlformats.org/officeDocument/2006/relationships" name="Commercial Inputs" sheetId="6" r:id="Rfca18a82222f45f9"/>
    <x:sheet xmlns:r="http://schemas.openxmlformats.org/officeDocument/2006/relationships" name="QS Takeoff" sheetId="8" r:id="Rb87c177f09cb44e9"/>
    <x:sheet xmlns:r="http://schemas.openxmlformats.org/officeDocument/2006/relationships" name="Stage Cashflow" sheetId="22" r:id="R34cbbba0d5f54a82"/>
    <x:sheet xmlns:r="http://schemas.openxmlformats.org/officeDocument/2006/relationships" name="Resource Rate Library" sheetId="34" r:id="R5bf6c11e51984fdd"/>
    <x:sheet xmlns:r="http://schemas.openxmlformats.org/officeDocument/2006/relationships" name="Resource Build-Up" sheetId="35" r:id="R2ec361bdb954424b"/>
    <x:sheet xmlns:r="http://schemas.openxmlformats.org/officeDocument/2006/relationships" name="Rate Verification" sheetId="36" r:id="Rf06c91ff01394798"/>
    <x:sheet xmlns:r="http://schemas.openxmlformats.org/officeDocument/2006/relationships" name="Programme Export" sheetId="37" r:id="R81d50410a82f4c5e"/>
    <x:sheet xmlns:r="http://schemas.openxmlformats.org/officeDocument/2006/relationships" name="Weather Risk" sheetId="38" r:id="Rede855ee56a44f08"/>
    <x:sheet xmlns:r="http://schemas.openxmlformats.org/officeDocument/2006/relationships" name="Risk Truth" sheetId="39" r:id="Rb3e376193a9e46e9"/>
    <x:sheet xmlns:r="http://schemas.openxmlformats.org/officeDocument/2006/relationships" name="Estimate Review Board" sheetId="40" r:id="Rcdbb34a9f6ed4587"/>
    <x:sheet xmlns:r="http://schemas.openxmlformats.org/officeDocument/2006/relationships" name="Supplier Quote Register" sheetId="41" r:id="R540a3bc2f03444ec"/>
    <x:sheet xmlns:r="http://schemas.openxmlformats.org/officeDocument/2006/relationships" name="ERB Adjudication" sheetId="44" r:id="Rf1436bcf979148c4"/>
    <x:sheet xmlns:r="http://schemas.openxmlformats.org/officeDocument/2006/relationships" name="Programme Adjudication" sheetId="45" r:id="R22744e12932249d6"/>
    <x:sheet xmlns:r="http://schemas.openxmlformats.org/officeDocument/2006/relationships" name="Weather Rev21 Run" sheetId="48" r:id="R1ce0df5eab5e4aff"/>
    <x:sheet xmlns:r="http://schemas.openxmlformats.org/officeDocument/2006/relationships" name="Programme Notes" sheetId="54" r:id="Rb878658a49f54f58"/>
    <x:sheet xmlns:r="http://schemas.openxmlformats.org/officeDocument/2006/relationships" name="Weather Rev24 Run" sheetId="55" r:id="Rf65f2a8deb024b47"/>
    <x:sheet xmlns:r="http://schemas.openxmlformats.org/officeDocument/2006/relationships" name="Source &amp; Markup Register" sheetId="56" r:id="Re42e2a21aa014aa3"/>
    <x:sheet xmlns:r="http://schemas.openxmlformats.org/officeDocument/2006/relationships" name="Consolidated Package" sheetId="58" r:id="R3726e2c0bde14504"/>
    <x:sheet xmlns:r="http://schemas.openxmlformats.org/officeDocument/2006/relationships" name="Materials &amp; Component Takeoff" sheetId="59" r:id="Rcc6ae0e02b714c25"/>
    <x:sheet xmlns:r="http://schemas.openxmlformats.org/officeDocument/2006/relationships" name="MS Project Import" sheetId="61" r:id="Rbe12bd82dcdc4701"/>
    <x:sheet xmlns:r="http://schemas.openxmlformats.org/officeDocument/2006/relationships" name="Weather Rev29 Run" sheetId="62" r:id="R248d79df2dd44935"/>
    <x:sheet xmlns:r="http://schemas.openxmlformats.org/officeDocument/2006/relationships" name="Weather Rev33 Run" sheetId="63" r:id="Rb980cdaafa1f46b1"/>
  </x:sheets>
</x:workbook>
</file>

<file path=xl/sharedStrings.xml><?xml version="1.0" encoding="utf-8"?>
<x:sst xmlns:x="http://schemas.openxmlformats.org/spreadsheetml/2006/main">
  <x:si>
    <x:t xml:space="preserve">DRAWING / DOCUMENT REGISTER</x:t>
  </x:si>
  <x:si>
    <x:t xml:space="preserve">Document / Drawing</x:t>
  </x:si>
  <x:si>
    <x:t xml:space="preserve">Reference</x:t>
  </x:si>
  <x:si>
    <x:t xml:space="preserve">Estimate use</x:t>
  </x:si>
  <x:si>
    <x:t xml:space="preserve">ASSUMPTIONS / QUALIFICATIONS / RFIs</x:t>
  </x:si>
  <x:si>
    <x:t xml:space="preserve">KEY RISKS / WATCHOUTS</x:t>
  </x:si>
  <x:si>
    <x:t xml:space="preserve">Risk ID</x:t>
  </x:si>
  <x:si>
    <x:t xml:space="preserve">Impact</x:t>
  </x:si>
  <x:si>
    <x:t xml:space="preserve">Rating</x:t>
  </x:si>
  <x:si>
    <x:t xml:space="preserve">Allowance / Response</x:t>
  </x:si>
  <x:si>
    <x:t xml:space="preserve">Owner</x:t>
  </x:si>
  <x:si>
    <x:t xml:space="preserve">Status</x:t>
  </x:si>
  <x:si>
    <x:t xml:space="preserve">TENDER RELEASE QA</x:t>
  </x:si>
  <x:si>
    <x:t xml:space="preserve">Section</x:t>
  </x:si>
  <x:si>
    <x:t xml:space="preserve">Required Before Tender?</x:t>
  </x:si>
  <x:si>
    <x:t xml:space="preserve">Evidence / Reference</x:t>
  </x:si>
  <x:si>
    <x:t xml:space="preserve">Notes</x:t>
  </x:si>
  <x:si>
    <x:t xml:space="preserve">Key Quantities</x:t>
  </x:si>
  <x:si>
    <x:t xml:space="preserve">Amount</x:t>
  </x:si>
  <x:si>
    <x:t xml:space="preserve">1 Preliminaries &amp; General</x:t>
  </x:si>
  <x:si>
    <x:t xml:space="preserve">2 Erosion &amp; Sediment Control</x:t>
  </x:si>
  <x:si>
    <x:t xml:space="preserve">3 Earthworks</x:t>
  </x:si>
  <x:si>
    <x:t xml:space="preserve">4 Stormwater &amp; Detention</x:t>
  </x:si>
  <x:si>
    <x:t xml:space="preserve">5 Wastewater &amp; Water</x:t>
  </x:si>
  <x:si>
    <x:t xml:space="preserve">6 Pavements &amp; Concrete</x:t>
  </x:si>
  <x:si>
    <x:t xml:space="preserve">7 Kerbs, Channels &amp; External Sitework</x:t>
  </x:si>
  <x:si>
    <x:t xml:space="preserve">8 Retaining Walls</x:t>
  </x:si>
  <x:si>
    <x:t xml:space="preserve">9 Testing, As-Builts &amp; Compliance</x:t>
  </x:si>
  <x:si>
    <x:t xml:space="preserve">10 Reinstatement &amp; Handover</x:t>
  </x:si>
  <x:si>
    <x:t xml:space="preserve">Total priced amount excl. GST</x:t>
  </x:si>
  <x:si>
    <x:t xml:space="preserve">GST</x:t>
  </x:si>
  <x:si>
    <x:t xml:space="preserve">Scope</x:t>
  </x:si>
  <x:si>
    <x:t xml:space="preserve">Accuracy</x:t>
  </x:si>
  <x:si>
    <x:t xml:space="preserve">Programme basis</x:t>
  </x:si>
  <x:si>
    <x:t xml:space="preserve">Tender Completion Build-Up (client-adjustable commercial provisions)</x:t>
  </x:si>
  <x:si>
    <x:t xml:space="preserve">Purpose</x:t>
  </x:si>
  <x:si>
    <x:t xml:space="preserve">This block reflects Tender Build-Up and current Commercial Inputs selections.</x:t>
  </x:si>
  <x:si>
    <x:t xml:space="preserve">Input sheet</x:t>
  </x:si>
  <x:si>
    <x:t xml:space="preserve">Use Commercial Inputs to adjust allowances, overhead and profit method, bonds, retention finance and GST.</x:t>
  </x:si>
  <x:si>
    <x:t xml:space="preserve">Line</x:t>
  </x:si>
  <x:si>
    <x:t xml:space="preserve">QS direct-cost estimate</x:t>
  </x:si>
  <x:si>
    <x:t xml:space="preserve">Commercial adjustments</x:t>
  </x:si>
  <x:si>
    <x:t xml:space="preserve">Tender total excl. GST</x:t>
  </x:si>
  <x:si>
    <x:t xml:space="preserve">GST if selected</x:t>
  </x:si>
  <x:si>
    <x:t xml:space="preserve">Optional display</x:t>
  </x:si>
  <x:si>
    <x:t xml:space="preserve">Tender total incl. GST if selected</x:t>
  </x:si>
  <x:si>
    <x:t xml:space="preserve">Optional tax-inclusive check</x:t>
  </x:si>
  <x:si>
    <x:t xml:space="preserve">Net pre-GST payment after retention</x:t>
  </x:si>
  <x:si>
    <x:t xml:space="preserve">Retention release after holding period</x:t>
  </x:si>
  <x:si>
    <x:t xml:space="preserve">Deposit / advance payment</x:t>
  </x:si>
  <x:si>
    <x:t xml:space="preserve">Part of tender total; controlled by CA24</x:t>
  </x:si>
  <x:si>
    <x:t xml:space="preserve">Stage cashflow tab</x:t>
  </x:si>
  <x:si>
    <x:t xml:space="preserve">Editable stage profile and cumulative cashflow</x:t>
  </x:si>
  <x:si>
    <x:t xml:space="preserve">COST CHAIN INTEGRITY</x:t>
  </x:si>
  <x:si>
    <x:t xml:space="preserve">Check</x:t>
  </x:si>
  <x:si>
    <x:t xml:space="preserve">Upstream</x:t>
  </x:si>
  <x:si>
    <x:t xml:space="preserve">Downstream</x:t>
  </x:si>
  <x:si>
    <x:t xml:space="preserve">Difference</x:t>
  </x:si>
  <x:si>
    <x:t xml:space="preserve">Resource Build-Up -&gt; QS</x:t>
  </x:si>
  <x:si>
    <x:t xml:space="preserve">QS -&gt; Tender Build-Up</x:t>
  </x:si>
  <x:si>
    <x:t xml:space="preserve">Tender Build-Up -&gt; Summary</x:t>
  </x:si>
  <x:si>
    <x:t xml:space="preserve">Commercial Inputs -&gt; Tender Build-Up</x:t>
  </x:si>
  <x:si>
    <x:t xml:space="preserve">Formula control</x:t>
  </x:si>
  <x:si>
    <x:t xml:space="preserve">Formula/output cells are edit-blocked with Stop validation; yellow cells are intended inputs.</x:t>
  </x:si>
  <x:si>
    <x:t xml:space="preserve">Release rule</x:t>
  </x:si>
  <x:si>
    <x:t xml:space="preserve">All chain checks must read OK before issue.</x:t>
  </x:si>
  <x:si>
    <x:t xml:space="preserve">RATE &amp; PROGRAMME QA RELEASE GATE</x:t>
  </x:si>
  <x:si>
    <x:t xml:space="preserve">Count / Amount</x:t>
  </x:si>
  <x:si>
    <x:t xml:space="preserve">Action</x:t>
  </x:si>
  <x:si>
    <x:t xml:space="preserve">GREEN active resource rows</x:t>
  </x:si>
  <x:si>
    <x:t xml:space="preserve">Three checks present</x:t>
  </x:si>
  <x:si>
    <x:t xml:space="preserve">AMBER active resource rows</x:t>
  </x:si>
  <x:si>
    <x:t xml:space="preserve">Disclose allowance and firm before award</x:t>
  </x:si>
  <x:si>
    <x:t xml:space="preserve">RED active resource rows</x:t>
  </x:si>
  <x:si>
    <x:t xml:space="preserve">Quote/design evidence required</x:t>
  </x:si>
  <x:si>
    <x:t xml:space="preserve">Overall release</x:t>
  </x:si>
  <x:si>
    <x:t xml:space="preserve">Project</x:t>
  </x:si>
  <x:si>
    <x:t xml:space="preserve">Pricing status</x:t>
  </x:si>
  <x:si>
    <x:t xml:space="preserve">Optional GST display via Commercial Inputs CA21.</x:t>
  </x:si>
  <x:si>
    <x:t xml:space="preserve">Retention</x:t>
  </x:si>
  <x:si>
    <x:t xml:space="preserve">Cashflow only by default.</x:t>
  </x:si>
  <x:si>
    <x:t xml:space="preserve">No direct-cost values are entered on this sheet. Base costs flow from QS Takeoff; commercial provisions flow from Commercial Inputs.</x:t>
  </x:si>
  <x:si>
    <x:t xml:space="preserve">Amount excl. GST</x:t>
  </x:si>
  <x:si>
    <x:t xml:space="preserve">Source</x:t>
  </x:si>
  <x:si>
    <x:t xml:space="preserve">Treatment</x:t>
  </x:si>
  <x:si>
    <x:t xml:space="preserve">Preliminaries &amp; General</x:t>
  </x:si>
  <x:si>
    <x:t xml:space="preserve">QS Takeoff</x:t>
  </x:si>
  <x:si>
    <x:t xml:space="preserve">Priced / provisional</x:t>
  </x:si>
  <x:si>
    <x:t xml:space="preserve">Erosion &amp; Sediment Control</x:t>
  </x:si>
  <x:si>
    <x:t xml:space="preserve">Earthworks</x:t>
  </x:si>
  <x:si>
    <x:t xml:space="preserve">Stormwater &amp; Detention</x:t>
  </x:si>
  <x:si>
    <x:t xml:space="preserve">Wastewater &amp; Water</x:t>
  </x:si>
  <x:si>
    <x:t xml:space="preserve">Pavements &amp; Concrete</x:t>
  </x:si>
  <x:si>
    <x:t xml:space="preserve">Kerbs, Channels &amp; External Sitework</x:t>
  </x:si>
  <x:si>
    <x:t xml:space="preserve">Retaining Walls</x:t>
  </x:si>
  <x:si>
    <x:t xml:space="preserve">Testing, As-Builts &amp; Compliance</x:t>
  </x:si>
  <x:si>
    <x:t xml:space="preserve">Reinstatement &amp; Handover</x:t>
  </x:si>
  <x:si>
    <x:t xml:space="preserve">Subtotal</x:t>
  </x:si>
  <x:si>
    <x:t xml:space="preserve">Calculated amount excl. GST</x:t>
  </x:si>
  <x:si>
    <x:t xml:space="preserve">Input source</x:t>
  </x:si>
  <x:si>
    <x:t xml:space="preserve">Include?</x:t>
  </x:si>
  <x:si>
    <x:t xml:space="preserve">Basis / Notes</x:t>
  </x:si>
  <x:si>
    <x:t xml:space="preserve">Pre-margin additions subtotal</x:t>
  </x:si>
  <x:si>
    <x:t xml:space="preserve">Subtotal before commercial adjustments</x:t>
  </x:si>
  <x:si>
    <x:t xml:space="preserve">Overhead, profit and other commercial adjustments</x:t>
  </x:si>
  <x:si>
    <x:t xml:space="preserve">Commercial adjustments subtotal</x:t>
  </x:si>
  <x:si>
    <x:t xml:space="preserve">Commercial Inputs CA21</x:t>
  </x:si>
  <x:si>
    <x:t xml:space="preserve">Optional</x:t>
  </x:si>
  <x:si>
    <x:t xml:space="preserve">GST applies only when CA21 Include? is Yes.</x:t>
  </x:si>
  <x:si>
    <x:t xml:space="preserve">For GST-inclusive check only.</x:t>
  </x:si>
  <x:si>
    <x:t xml:space="preserve">Cashflow / contract security visibility only</x:t>
  </x:si>
  <x:si>
    <x:t xml:space="preserve">Calculated value</x:t>
  </x:si>
  <x:si>
    <x:t xml:space="preserve">Contract retention withholding</x:t>
  </x:si>
  <x:si>
    <x:t xml:space="preserve">Commercial Inputs CA22</x:t>
  </x:si>
  <x:si>
    <x:t xml:space="preserve">Cashflow only</x:t>
  </x:si>
  <x:si>
    <x:t xml:space="preserve">Calculated</x:t>
  </x:si>
  <x:si>
    <x:t xml:space="preserve">Tender total excl. GST less current retention withholding.</x:t>
  </x:si>
  <x:si>
    <x:t xml:space="preserve">Retention holding period</x:t>
  </x:si>
  <x:si>
    <x:t xml:space="preserve">Commercial Inputs CA23</x:t>
  </x:si>
  <x:si>
    <x:t xml:space="preserve">Months from practical completion unless contract states otherwise.</x:t>
  </x:si>
  <x:si>
    <x:t xml:space="preserve">Retention released after holding period</x:t>
  </x:si>
  <x:si>
    <x:t xml:space="preserve">Equals current retention withholding; released after the CA23 holding period.</x:t>
  </x:si>
  <x:si>
    <x:t xml:space="preserve">Total pre-GST receipts including retention release</x:t>
  </x:si>
  <x:si>
    <x:t xml:space="preserve">Equals tender total excl. GST.</x:t>
  </x:si>
  <x:si>
    <x:t xml:space="preserve">Stage payment cashflow</x:t>
  </x:si>
  <x:si>
    <x:t xml:space="preserve">COMMERCIAL INPUTS - BELOW-THE-LINE SOURCE OF TRUTH</x:t>
  </x:si>
  <x:si>
    <x:t xml:space="preserve">Ref</x:t>
  </x:si>
  <x:si>
    <x:t xml:space="preserve">Allowance / adjustment</x:t>
  </x:si>
  <x:si>
    <x:t xml:space="preserve">Input method</x:t>
  </x:si>
  <x:si>
    <x:t xml:space="preserve">Input %</x:t>
  </x:si>
  <x:si>
    <x:t xml:space="preserve">PC Sum excl. GST</x:t>
  </x:si>
  <x:si>
    <x:t xml:space="preserve">Pricing stage</x:t>
  </x:si>
  <x:si>
    <x:t xml:space="preserve">Calculation / treatment</x:t>
  </x:si>
  <x:si>
    <x:t xml:space="preserve">Notes / basis</x:t>
  </x:si>
  <x:si>
    <x:t xml:space="preserve">Firm-up action</x:t>
  </x:si>
  <x:si>
    <x:t xml:space="preserve">Pricing method / flag shown in QS</x:t>
  </x:si>
  <x:si>
    <x:t xml:space="preserve">CA01</x:t>
  </x:si>
  <x:si>
    <x:t xml:space="preserve">Pre-margin addition</x:t>
  </x:si>
  <x:si>
    <x:t xml:space="preserve">CA02</x:t>
  </x:si>
  <x:si>
    <x:t xml:space="preserve">CA03</x:t>
  </x:si>
  <x:si>
    <x:t xml:space="preserve">Escalation / tender validity allowance</x:t>
  </x:si>
  <x:si>
    <x:t xml:space="preserve">Confirm construction start and validity.</x:t>
  </x:si>
  <x:si>
    <x:t xml:space="preserve">CA04</x:t>
  </x:si>
  <x:si>
    <x:t xml:space="preserve">Final subcontractor quote gap / market adjustment</x:t>
  </x:si>
  <x:si>
    <x:t xml:space="preserve">CA05</x:t>
  </x:si>
  <x:si>
    <x:t xml:space="preserve">Council / authority consent and inspection fees</x:t>
  </x:si>
  <x:si>
    <x:t xml:space="preserve">Confirm fee responsibility.</x:t>
  </x:si>
  <x:si>
    <x:t xml:space="preserve">CA06</x:t>
  </x:si>
  <x:si>
    <x:t xml:space="preserve">Utility authority fees / relocations</x:t>
  </x:si>
  <x:si>
    <x:t xml:space="preserve">Confirm utilities.</x:t>
  </x:si>
  <x:si>
    <x:t xml:space="preserve">CA07</x:t>
  </x:si>
  <x:si>
    <x:t xml:space="preserve">Temporary works engineering / PS documentation</x:t>
  </x:si>
  <x:si>
    <x:t xml:space="preserve">Avoid duplication.</x:t>
  </x:si>
  <x:si>
    <x:t xml:space="preserve">CA08</x:t>
  </x:si>
  <x:si>
    <x:t xml:space="preserve">Abnormal ground / contamination / rock allowance</x:t>
  </x:si>
  <x:si>
    <x:t xml:space="preserve">Review geotech/contamination data.</x:t>
  </x:si>
  <x:si>
    <x:t xml:space="preserve">CA09</x:t>
  </x:si>
  <x:si>
    <x:t xml:space="preserve">Construction dewatering / groundwater control</x:t>
  </x:si>
  <x:si>
    <x:t xml:space="preserve">CA11</x:t>
  </x:si>
  <x:si>
    <x:t xml:space="preserve">No</x:t>
  </x:si>
  <x:si>
    <x:t xml:space="preserve">CA12</x:t>
  </x:si>
  <x:si>
    <x:t xml:space="preserve">Defects liability / maintenance beyond base</x:t>
  </x:si>
  <x:si>
    <x:t xml:space="preserve">Confirm special maintenance obligations.</x:t>
  </x:si>
  <x:si>
    <x:t xml:space="preserve">CA13</x:t>
  </x:si>
  <x:si>
    <x:t xml:space="preserve">Stakeholder liaison / access marshals beyond base</x:t>
  </x:si>
  <x:si>
    <x:t xml:space="preserve">Confirm restricted operations.</x:t>
  </x:si>
  <x:si>
    <x:t xml:space="preserve">CA14</x:t>
  </x:si>
  <x:si>
    <x:t xml:space="preserve">Out-of-hours / restricted access premium</x:t>
  </x:si>
  <x:si>
    <x:t xml:space="preserve">Normal weekday access assumed.</x:t>
  </x:si>
  <x:si>
    <x:t xml:space="preserve">Confirm work windows.</x:t>
  </x:si>
  <x:si>
    <x:t xml:space="preserve">CA15</x:t>
  </x:si>
  <x:si>
    <x:t xml:space="preserve">Unforeseen post-tender client scope additions</x:t>
  </x:si>
  <x:si>
    <x:t xml:space="preserve">No allowance for later scope changes.</x:t>
  </x:si>
  <x:si>
    <x:t xml:space="preserve">Include only if instructed.</x:t>
  </x:si>
  <x:si>
    <x:t xml:space="preserve">CA16</x:t>
  </x:si>
  <x:si>
    <x:t xml:space="preserve">CA17</x:t>
  </x:si>
  <x:si>
    <x:t xml:space="preserve">Company overhead recovery</x:t>
  </x:si>
  <x:si>
    <x:t xml:space="preserve">Commercial adjustment</x:t>
  </x:si>
  <x:si>
    <x:t xml:space="preserve">CA18</x:t>
  </x:si>
  <x:si>
    <x:t xml:space="preserve">Contractor profit</x:t>
  </x:si>
  <x:si>
    <x:t xml:space="preserve">CA19</x:t>
  </x:si>
  <x:si>
    <x:t xml:space="preserve">Bonds / contract securities allowance</x:t>
  </x:si>
  <x:si>
    <x:t xml:space="preserve">Applied if selected</x:t>
  </x:si>
  <x:si>
    <x:t xml:space="preserve">Confirm security terms.</x:t>
  </x:si>
  <x:si>
    <x:t xml:space="preserve">% user input provision</x:t>
  </x:si>
  <x:si>
    <x:t xml:space="preserve">CA20</x:t>
  </x:si>
  <x:si>
    <x:t xml:space="preserve">Retention finance / cashflow cost allowance</x:t>
  </x:si>
  <x:si>
    <x:t xml:space="preserve">Confirm retention terms.</x:t>
  </x:si>
  <x:si>
    <x:t xml:space="preserve">CA21</x:t>
  </x:si>
  <x:si>
    <x:t xml:space="preserve">Tax</x:t>
  </x:si>
  <x:si>
    <x:t xml:space="preserve">Applied to tender total if selected</x:t>
  </x:si>
  <x:si>
    <x:t xml:space="preserve">Confirm submission format.</x:t>
  </x:si>
  <x:si>
    <x:t xml:space="preserve">CA22</x:t>
  </x:si>
  <x:si>
    <x:t xml:space="preserve">Visibility only</x:t>
  </x:si>
  <x:si>
    <x:t xml:space="preserve">Not added to tender price.</x:t>
  </x:si>
  <x:si>
    <x:t xml:space="preserve">Confirm retention cap/terms.</x:t>
  </x:si>
  <x:si>
    <x:t xml:space="preserve">User input</x:t>
  </x:si>
  <x:si>
    <x:t xml:space="preserve">CA23</x:t>
  </x:si>
  <x:si>
    <x:t xml:space="preserve">Times retention release</x:t>
  </x:si>
  <x:si>
    <x:t xml:space="preserve">Confirm contract.</x:t>
  </x:si>
  <x:si>
    <x:t xml:space="preserve">CA24</x:t>
  </x:si>
  <x:si>
    <x:t xml:space="preserve">Part of tender value</x:t>
  </x:si>
  <x:si>
    <x:t xml:space="preserve">Used as first cashflow stage.</x:t>
  </x:si>
  <x:si>
    <x:t xml:space="preserve">Confirm whether permitted.</x:t>
  </x:si>
  <x:si>
    <x:t xml:space="preserve">User selection</x:t>
  </x:si>
  <x:si>
    <x:t xml:space="preserve">CA25</x:t>
  </x:si>
  <x:si>
    <x:t xml:space="preserve">Retention applies to deposit</x:t>
  </x:si>
  <x:si>
    <x:t xml:space="preserve">Yes/No selection</x:t>
  </x:si>
  <x:si>
    <x:t xml:space="preserve">Normally No.</x:t>
  </x:si>
  <x:si>
    <x:t xml:space="preserve">1</x:t>
  </x:si>
  <x:si>
    <x:t xml:space="preserve">Leave Include? as No for any provision that is not to be included. Enter Input % or PC Sum depending on the intended basis; PC Sum overrides % where populated.</x:t>
  </x:si>
  <x:si>
    <x:t xml:space="preserve">Civil Scope / WBS</x:t>
  </x:si>
  <x:si>
    <x:t xml:space="preserve">Code</x:t>
  </x:si>
  <x:si>
    <x:t xml:space="preserve">Description</x:t>
  </x:si>
  <x:si>
    <x:t xml:space="preserve">Unit</x:t>
  </x:si>
  <x:si>
    <x:t xml:space="preserve">Quantity</x:t>
  </x:si>
  <x:si>
    <x:t xml:space="preserve">Rate excl. GST</x:t>
  </x:si>
  <x:si>
    <x:t xml:space="preserve">Quantity Basis</x:t>
  </x:si>
  <x:si>
    <x:t xml:space="preserve">Source drawing / scope</x:t>
  </x:si>
  <x:si>
    <x:t xml:space="preserve">Notes / Assumptions</x:t>
  </x:si>
  <x:si>
    <x:t xml:space="preserve">Pricing Method</x:t>
  </x:si>
  <x:si>
    <x:t xml:space="preserve">Pricing Basis / Build-up</x:t>
  </x:si>
  <x:si>
    <x:t xml:space="preserve">Source Type</x:t>
  </x:si>
  <x:si>
    <x:t xml:space="preserve">Source URL(s)</x:t>
  </x:si>
  <x:si>
    <x:t xml:space="preserve">Pricing Flag</x:t>
  </x:si>
  <x:si>
    <x:t xml:space="preserve">Confidence / Firm-up Action</x:t>
  </x:si>
  <x:si>
    <x:t xml:space="preserve">Verification Status</x:t>
  </x:si>
  <x:si>
    <x:t xml:space="preserve">Quote / Reference</x:t>
  </x:si>
  <x:si>
    <x:t xml:space="preserve">Stage</x:t>
  </x:si>
  <x:si>
    <x:t xml:space="preserve">Timing / milestone</x:t>
  </x:si>
  <x:si>
    <x:t xml:space="preserve">Stage %</x:t>
  </x:si>
  <x:si>
    <x:t xml:space="preserve">Retention applies?</x:t>
  </x:si>
  <x:si>
    <x:t xml:space="preserve">Opening cash</x:t>
  </x:si>
  <x:si>
    <x:t xml:space="preserve">Gross stage revenue excl. GST</x:t>
  </x:si>
  <x:si>
    <x:t xml:space="preserve">Retention withheld</x:t>
  </x:si>
  <x:si>
    <x:t xml:space="preserve">Net stage revenue excl. GST</x:t>
  </x:si>
  <x:si>
    <x:t xml:space="preserve">Net cash movement</x:t>
  </x:si>
  <x:si>
    <x:t xml:space="preserve">Closing cash on hand</x:t>
  </x:si>
  <x:si>
    <x:t xml:space="preserve">Cumulative net revenue</x:t>
  </x:si>
  <x:si>
    <x:t xml:space="preserve">Cumulative retention held</x:t>
  </x:si>
  <x:si>
    <x:t xml:space="preserve">Net stage receipt incl. GST</x:t>
  </x:si>
  <x:si>
    <x:t xml:space="preserve">Deposit / advance</x:t>
  </x:si>
  <x:si>
    <x:t xml:space="preserve">Mobilisation, preliminaries and ESC</x:t>
  </x:si>
  <x:si>
    <x:t xml:space="preserve">Earthworks and imported fill</x:t>
  </x:si>
  <x:si>
    <x:t xml:space="preserve">Stormwater, detention, sewer and water</x:t>
  </x:si>
  <x:si>
    <x:t xml:space="preserve">Pavements, kerbs and sitework</x:t>
  </x:si>
  <x:si>
    <x:t xml:space="preserve">Retaining walls and interfaces</x:t>
  </x:si>
  <x:si>
    <x:t xml:space="preserve">Testing, completion and handover</x:t>
  </x:si>
  <x:si>
    <x:t xml:space="preserve">Retention release</x:t>
  </x:si>
  <x:si>
    <x:t xml:space="preserve">Cashflow checks</x:t>
  </x:si>
  <x:si>
    <x:t xml:space="preserve">Stage percentages total</x:t>
  </x:si>
  <x:si>
    <x:t xml:space="preserve">Gross stage revenue equals tender excl. GST</x:t>
  </x:si>
  <x:si>
    <x:t xml:space="preserve">Net receipts plus retention release equal tender</x:t>
  </x:si>
  <x:si>
    <x:t xml:space="preserve">Lowest closing cash before retention release</x:t>
  </x:si>
  <x:si>
    <x:t xml:space="preserve">Resource Code</x:t>
  </x:si>
  <x:si>
    <x:t xml:space="preserve">Resource Category</x:t>
  </x:si>
  <x:si>
    <x:t xml:space="preserve">Resource Description</x:t>
  </x:si>
  <x:si>
    <x:t xml:space="preserve">Default Cost Type</x:t>
  </x:si>
  <x:si>
    <x:t xml:space="preserve">Procurement Mode</x:t>
  </x:si>
  <x:si>
    <x:t xml:space="preserve">Operator Included?</x:t>
  </x:si>
  <x:si>
    <x:t xml:space="preserve">Fuel Included?</x:t>
  </x:si>
  <x:si>
    <x:t xml:space="preserve">Base Rate excl. GST</x:t>
  </x:si>
  <x:si>
    <x:t xml:space="preserve">Region / Market</x:t>
  </x:si>
  <x:si>
    <x:t xml:space="preserve">Effective Date</x:t>
  </x:si>
  <x:si>
    <x:t xml:space="preserve">Supplier / Source</x:t>
  </x:si>
  <x:si>
    <x:t xml:space="preserve">Source URL / Quote Ref</x:t>
  </x:si>
  <x:si>
    <x:t xml:space="preserve">Minimum / Mobilisation</x:t>
  </x:si>
  <x:si>
    <x:t xml:space="preserve">Rate Inclusions</x:t>
  </x:si>
  <x:si>
    <x:t xml:space="preserve">Rate Exclusions</x:t>
  </x:si>
  <x:si>
    <x:t xml:space="preserve">Confidence</x:t>
  </x:si>
  <x:si>
    <x:t xml:space="preserve">LAB-FOREMAN</x:t>
  </x:si>
  <x:si>
    <x:t xml:space="preserve">Labour</x:t>
  </x:si>
  <x:si>
    <x:t xml:space="preserve">Civil foreman / working foreman</x:t>
  </x:si>
  <x:si>
    <x:t xml:space="preserve">hr</x:t>
  </x:si>
  <x:si>
    <x:t xml:space="preserve">Internal / agency</x:t>
  </x:si>
  <x:si>
    <x:t xml:space="preserve">N/A</x:t>
  </x:si>
  <x:si>
    <x:t xml:space="preserve">Auckland / NZ</x:t>
  </x:si>
  <x:si>
    <x:t xml:space="preserve">13-Aug-2026</x:t>
  </x:si>
  <x:si>
    <x:t xml:space="preserve">Template market benchmark</x:t>
  </x:si>
  <x:si>
    <x:t xml:space="preserve">SEEK / statutory on-cost basis</x:t>
  </x:si>
  <x:si>
    <x:t xml:space="preserve">https://nz.seek.com/civil-drainage-jobs/in-All-Auckland | https://nz.seek.com/drainage-foreman-jobs/in-All-Auckland/full-time</x:t>
  </x:si>
  <x:si>
    <x:t xml:space="preserve">Direct employment allowance</x:t>
  </x:si>
  <x:si>
    <x:t xml:space="preserve">Margin, vehicle, overtime</x:t>
  </x:si>
  <x:si>
    <x:t xml:space="preserve">Medium</x:t>
  </x:si>
  <x:si>
    <x:t xml:space="preserve">AMBER - market/on-cost benchmark; company payroll required</x:t>
  </x:si>
  <x:si>
    <x:t xml:space="preserve">Firm to company payroll before award</x:t>
  </x:si>
  <x:si>
    <x:t xml:space="preserve">LAB-SUPERVISOR</x:t>
  </x:si>
  <x:si>
    <x:t xml:space="preserve">Site supervisor / project manager</x:t>
  </x:si>
  <x:si>
    <x:t xml:space="preserve">LAB-OPERATOR</x:t>
  </x:si>
  <x:si>
    <x:t xml:space="preserve">Plant operator</x:t>
  </x:si>
  <x:si>
    <x:t xml:space="preserve">Auckland civil market</x:t>
  </x:si>
  <x:si>
    <x:t xml:space="preserve">Plant and overtime</x:t>
  </x:si>
  <x:si>
    <x:t xml:space="preserve">LAB-DRAINLAYER</x:t>
  </x:si>
  <x:si>
    <x:t xml:space="preserve">Registered drainlayer / pipe layer</x:t>
  </x:si>
  <x:si>
    <x:t xml:space="preserve">Vehicle and overtime</x:t>
  </x:si>
  <x:si>
    <x:t xml:space="preserve">LAB-LABOURER</x:t>
  </x:si>
  <x:si>
    <x:t xml:space="preserve">Civil labourer</x:t>
  </x:si>
  <x:si>
    <x:t xml:space="preserve">Overtime</x:t>
  </x:si>
  <x:si>
    <x:t xml:space="preserve">LAB-CONCRETE</x:t>
  </x:si>
  <x:si>
    <x:t xml:space="preserve">Concrete placer / finisher</x:t>
  </x:si>
  <x:si>
    <x:t xml:space="preserve">Specialist pump</x:t>
  </x:si>
  <x:si>
    <x:t xml:space="preserve">PL-EXC-1.7</x:t>
  </x:si>
  <x:si>
    <x:t xml:space="preserve">Plant</x:t>
  </x:si>
  <x:si>
    <x:t xml:space="preserve">1.7 t excavator wet hire</x:t>
  </x:si>
  <x:si>
    <x:t xml:space="preserve">Wet hire</x:t>
  </x:si>
  <x:si>
    <x:t xml:space="preserve">Yes</x:t>
  </x:si>
  <x:si>
    <x:t xml:space="preserve">Auckland</x:t>
  </x:si>
  <x:si>
    <x:t xml:space="preserve">Published supplier wet-hire rate</x:t>
  </x:si>
  <x:si>
    <x:t xml:space="preserve">ASAP Machine Hire; NZ Machine Hire cross-check</x:t>
  </x:si>
  <x:si>
    <x:t xml:space="preserve">https://www.asapmachinehire.co.nz/price-list | https://www.nzmachinehire.co.nz/_files/ugd/d7f8c7_1379402df1a242f88fef70fc3ce1475c.pdf</x:t>
  </x:si>
  <x:si>
    <x:t xml:space="preserve">Delivery by quote</x:t>
  </x:si>
  <x:si>
    <x:t xml:space="preserve">Machine, operator, fuel and normal buckets</x:t>
  </x:si>
  <x:si>
    <x:t xml:space="preserve">Delivery, overtime and specialist attachments</x:t>
  </x:si>
  <x:si>
    <x:t xml:space="preserve">High</x:t>
  </x:si>
  <x:si>
    <x:t xml:space="preserve">GREEN - 3-point checked</x:t>
  </x:si>
  <x:si>
    <x:t xml:space="preserve">Wet rate. Do not add a separate operator or fuel line.</x:t>
  </x:si>
  <x:si>
    <x:t xml:space="preserve">PL-EXC-5</x:t>
  </x:si>
  <x:si>
    <x:t xml:space="preserve">5.5 t excavator wet hire</x:t>
  </x:si>
  <x:si>
    <x:t xml:space="preserve">Wet rate. Separate excavator-operator lines set to zero.</x:t>
  </x:si>
  <x:si>
    <x:t xml:space="preserve">PL-EXC-13</x:t>
  </x:si>
  <x:si>
    <x:t xml:space="preserve">14 t excavator wet hire</x:t>
  </x:si>
  <x:si>
    <x:t xml:space="preserve">Published current wet rate. Separate excavator-operator lines set to zero.</x:t>
  </x:si>
  <x:si>
    <x:t xml:space="preserve">PL-ROLLER</x:t>
  </x:si>
  <x:si>
    <x:t xml:space="preserve">7-9 t roller wet-hire equivalent</x:t>
  </x:si>
  <x:si>
    <x:t xml:space="preserve">Wet-hire equivalent</x:t>
  </x:si>
  <x:si>
    <x:t xml:space="preserve">Two-supplier dry-rate build-up</x:t>
  </x:si>
  <x:si>
    <x:t xml:space="preserve">NZ Machine Hire; Hire Smart</x:t>
  </x:si>
  <x:si>
    <x:t xml:space="preserve">https://www.nzmachinehire.co.nz/all-rollers | https://www.hiresmart.co.nz/for-hire/rollers/</x:t>
  </x:si>
  <x:si>
    <x:t xml:space="preserve">Transport by quote</x:t>
  </x:si>
  <x:si>
    <x:t xml:space="preserve">Dry hire, operator, normal fuel and insurance allowance</x:t>
  </x:si>
  <x:si>
    <x:t xml:space="preserve">Transport, overtime and specialist attachments</x:t>
  </x:si>
  <x:si>
    <x:t xml:space="preserve">AMBER - 3-point benchmark; quote required</x:t>
  </x:si>
  <x:si>
    <x:t xml:space="preserve">Built from two published dry rates plus operator/fuel allowance; obtain a project quote.</x:t>
  </x:si>
  <x:si>
    <x:t xml:space="preserve">PL-LOADER</x:t>
  </x:si>
  <x:si>
    <x:t xml:space="preserve">Loader / skid-steer dry hire</x:t>
  </x:si>
  <x:si>
    <x:t xml:space="preserve">Dry hire</x:t>
  </x:si>
  <x:si>
    <x:t xml:space="preserve">Estimator benchmark</x:t>
  </x:si>
  <x:si>
    <x:t xml:space="preserve">Plant-hire market</x:t>
  </x:si>
  <x:si>
    <x:t xml:space="preserve">Allowance - obtain hire quote</x:t>
  </x:si>
  <x:si>
    <x:t xml:space="preserve">Machine only</x:t>
  </x:si>
  <x:si>
    <x:t xml:space="preserve">Operator, fuel, mobilisation</x:t>
  </x:si>
  <x:si>
    <x:t xml:space="preserve">AMBER - benchmark/allowance only</x:t>
  </x:si>
  <x:si>
    <x:t xml:space="preserve">MAT-IMPFILL</x:t>
  </x:si>
  <x:si>
    <x:t xml:space="preserve">Material</x:t>
  </x:si>
  <x:si>
    <x:t xml:space="preserve">AP65-equivalent approved engineered fill delivered</x:t>
  </x:si>
  <x:si>
    <x:t xml:space="preserve">m3</x:t>
  </x:si>
  <x:si>
    <x:t xml:space="preserve">Merchant supply</x:t>
  </x:si>
  <x:si>
    <x:t xml:space="preserve">Tender allowance</x:t>
  </x:si>
  <x:si>
    <x:t xml:space="preserve">Aggregate supplier</x:t>
  </x:si>
  <x:si>
    <x:t xml:space="preserve">https://www.urbanquarry.co.nz/pricelist-2-2 | https://www.aggregate2u.co.nz/aggregates-delivery-south-auckland</x:t>
  </x:si>
  <x:si>
    <x:t xml:space="preserve">Delivered clean approved fill</x:t>
  </x:si>
  <x:si>
    <x:t xml:space="preserve">Testing and placement</x:t>
  </x:si>
  <x:si>
    <x:t xml:space="preserve">Low</x:t>
  </x:si>
  <x:si>
    <x:t xml:space="preserve">AMBER - two market checks; specification/delivery quote required</x:t>
  </x:si>
  <x:si>
    <x:t xml:space="preserve">Product specification and delivered rate still require supplier confirmation.</x:t>
  </x:si>
  <x:si>
    <x:t xml:space="preserve">MAT-AP65</x:t>
  </x:si>
  <x:si>
    <x:t xml:space="preserve">AP65 subbase aggregate</x:t>
  </x:si>
  <x:si>
    <x:t xml:space="preserve">t</x:t>
  </x:si>
  <x:si>
    <x:t xml:space="preserve">Auckland quarry market</x:t>
  </x:si>
  <x:si>
    <x:t xml:space="preserve">Ex-quarry / base material allowance</x:t>
  </x:si>
  <x:si>
    <x:t xml:space="preserve">Haul and placement</x:t>
  </x:si>
  <x:si>
    <x:t xml:space="preserve">Published GAP/AP benchmark; confirm specified grading and haul.</x:t>
  </x:si>
  <x:si>
    <x:t xml:space="preserve">MAT-AP40</x:t>
  </x:si>
  <x:si>
    <x:t xml:space="preserve">AP40 / GAP40 basecourse aggregate</x:t>
  </x:si>
  <x:si>
    <x:t xml:space="preserve">MAT-DRAINAGG</x:t>
  </x:si>
  <x:si>
    <x:t xml:space="preserve">Drainage aggregate</x:t>
  </x:si>
  <x:si>
    <x:t xml:space="preserve">https://www.aggregate2u.co.nz/aggregates-delivery-south-auckland | https://www.urbanquarry.co.nz/pricelist-2-2</x:t>
  </x:si>
  <x:si>
    <x:t xml:space="preserve">Aggregate</x:t>
  </x:si>
  <x:si>
    <x:t xml:space="preserve">Drainage aggregate benchmark; confirm delivered project quote.</x:t>
  </x:si>
  <x:si>
    <x:t xml:space="preserve">MAT-GEOTEXTILE</x:t>
  </x:si>
  <x:si>
    <x:t xml:space="preserve">Bidim A19 or approved geotextile</x:t>
  </x:si>
  <x:si>
    <x:t xml:space="preserve">m2</x:t>
  </x:si>
  <x:si>
    <x:t xml:space="preserve">Civil merchant</x:t>
  </x:si>
  <x:si>
    <x:t xml:space="preserve">Template baseline dated 13-Aug-2026</x:t>
  </x:si>
  <x:si>
    <x:t xml:space="preserve">Material only</x:t>
  </x:si>
  <x:si>
    <x:t xml:space="preserve">Installation</x:t>
  </x:si>
  <x:si>
    <x:t xml:space="preserve">MAT-CONC25</x:t>
  </x:si>
  <x:si>
    <x:t xml:space="preserve">25 MPa ready-mix concrete</x:t>
  </x:si>
  <x:si>
    <x:t xml:space="preserve">Delivered supply</x:t>
  </x:si>
  <x:si>
    <x:t xml:space="preserve">Ready-mix market</x:t>
  </x:si>
  <x:si>
    <x:t xml:space="preserve">Delivered concrete allowance</x:t>
  </x:si>
  <x:si>
    <x:t xml:space="preserve">Pump, testing, placing</x:t>
  </x:si>
  <x:si>
    <x:t xml:space="preserve">MAT-MESH</x:t>
  </x:si>
  <x:si>
    <x:t xml:space="preserve">SE62 / 662 mesh allowance</x:t>
  </x:si>
  <x:si>
    <x:t xml:space="preserve">Steel merchant</x:t>
  </x:si>
  <x:si>
    <x:t xml:space="preserve">Mesh material</x:t>
  </x:si>
  <x:si>
    <x:t xml:space="preserve">Chairs, laps above waste factor</x:t>
  </x:si>
  <x:si>
    <x:t xml:space="preserve">MAT-PIPE150</x:t>
  </x:si>
  <x:si>
    <x:t xml:space="preserve">150 mm uPVC RRJ drainage pipe</x:t>
  </x:si>
  <x:si>
    <x:t xml:space="preserve">lm</x:t>
  </x:si>
  <x:si>
    <x:t xml:space="preserve">Quote required</x:t>
  </x:si>
  <x:si>
    <x:t xml:space="preserve">Pipe and standard joints</x:t>
  </x:si>
  <x:si>
    <x:t xml:space="preserve">Fittings, bedding, install</x:t>
  </x:si>
  <x:si>
    <x:t xml:space="preserve">MAT-PIPE225</x:t>
  </x:si>
  <x:si>
    <x:t xml:space="preserve">225 mm uPVC RRJ stormwater pipe</x:t>
  </x:si>
  <x:si>
    <x:t xml:space="preserve">MAT-SUB110</x:t>
  </x:si>
  <x:si>
    <x:t xml:space="preserve">110 mm perforated subsoil pipe with sock</x:t>
  </x:si>
  <x:si>
    <x:t xml:space="preserve">Pipe and sock</x:t>
  </x:si>
  <x:si>
    <x:t xml:space="preserve">Aggregate and install</x:t>
  </x:si>
  <x:si>
    <x:t xml:space="preserve">MAT-WATER50</x:t>
  </x:si>
  <x:si>
    <x:t xml:space="preserve">50 mm PE watermain and fittings allowance</x:t>
  </x:si>
  <x:si>
    <x:t xml:space="preserve">PE pipe and normal fittings</x:t>
  </x:si>
  <x:si>
    <x:t xml:space="preserve">Connection, meter, testing</x:t>
  </x:si>
  <x:si>
    <x:t xml:space="preserve">MAT-SWMH</x:t>
  </x:si>
  <x:si>
    <x:t xml:space="preserve">Precast stormwater manhole set</x:t>
  </x:si>
  <x:si>
    <x:t xml:space="preserve">ea</x:t>
  </x:si>
  <x:si>
    <x:t xml:space="preserve">Precast supplier</x:t>
  </x:si>
  <x:si>
    <x:t xml:space="preserve">Chamber/riser/lid allowance</x:t>
  </x:si>
  <x:si>
    <x:t xml:space="preserve">Excavation, concrete, install</x:t>
  </x:si>
  <x:si>
    <x:t xml:space="preserve">MAT-SSMH</x:t>
  </x:si>
  <x:si>
    <x:t xml:space="preserve">Precast sewer manhole set</x:t>
  </x:si>
  <x:si>
    <x:t xml:space="preserve">Excavation, testing, install</x:t>
  </x:si>
  <x:si>
    <x:t xml:space="preserve">MAT-IC600</x:t>
  </x:si>
  <x:si>
    <x:t xml:space="preserve">600 mm inspection chamber set</x:t>
  </x:si>
  <x:si>
    <x:t xml:space="preserve">Chamber and lid</x:t>
  </x:si>
  <x:si>
    <x:t xml:space="preserve">Excavation and install</x:t>
  </x:si>
  <x:si>
    <x:t xml:space="preserve">MAT-CP</x:t>
  </x:si>
  <x:si>
    <x:t xml:space="preserve">Standard catchpit set</x:t>
  </x:si>
  <x:si>
    <x:t xml:space="preserve">Chamber, lid and grate</x:t>
  </x:si>
  <x:si>
    <x:t xml:space="preserve">MAT-DCP</x:t>
  </x:si>
  <x:si>
    <x:t xml:space="preserve">Double side-entry cesspit set</x:t>
  </x:si>
  <x:si>
    <x:t xml:space="preserve">Chamber, lid and grates</x:t>
  </x:si>
  <x:si>
    <x:t xml:space="preserve">SUB-ASPHALT30</x:t>
  </x:si>
  <x:si>
    <x:t xml:space="preserve">Subcontract</x:t>
  </x:si>
  <x:si>
    <x:t xml:space="preserve">30 mm asphalt surfacing incl prime/seal</x:t>
  </x:si>
  <x:si>
    <x:t xml:space="preserve">Specialist subcontract</x:t>
  </x:si>
  <x:si>
    <x:t xml:space="preserve">Budget allowance</x:t>
  </x:si>
  <x:si>
    <x:t xml:space="preserve">Asphalt subcontractor</x:t>
  </x:si>
  <x:si>
    <x:t xml:space="preserve">30 mm asphalt surfacing allowance</x:t>
  </x:si>
  <x:si>
    <x:t xml:space="preserve">Basecourse and testing</x:t>
  </x:si>
  <x:si>
    <x:t xml:space="preserve">RED - quote or job-specific evidence required</x:t>
  </x:si>
  <x:si>
    <x:t xml:space="preserve">SUB-KERB-T3</x:t>
  </x:si>
  <x:si>
    <x:t xml:space="preserve">Type 3 kerb and channel installed</x:t>
  </x:si>
  <x:si>
    <x:t xml:space="preserve">Kerb contractor</x:t>
  </x:si>
  <x:si>
    <x:t xml:space="preserve">Form/place/finish concrete kerb/channel</x:t>
  </x:si>
  <x:si>
    <x:t xml:space="preserve">Excavation and major base repair</x:t>
  </x:si>
  <x:si>
    <x:t xml:space="preserve">SUB-KERB-T7</x:t>
  </x:si>
  <x:si>
    <x:t xml:space="preserve">Type 7 kerb installed</x:t>
  </x:si>
  <x:si>
    <x:t xml:space="preserve">Form/place/finish kerb</x:t>
  </x:si>
  <x:si>
    <x:t xml:space="preserve">SUB-ACO-K100</x:t>
  </x:si>
  <x:si>
    <x:t xml:space="preserve">ACO K100S channel drain installed</x:t>
  </x:si>
  <x:si>
    <x:t xml:space="preserve">ACO / drainage installer</x:t>
  </x:si>
  <x:si>
    <x:t xml:space="preserve">Channel, grates and concrete surround allowance</x:t>
  </x:si>
  <x:si>
    <x:t xml:space="preserve">Outlet structures and design changes</x:t>
  </x:si>
  <x:si>
    <x:t xml:space="preserve">SUB-SPECIALIST</x:t>
  </x:si>
  <x:si>
    <x:t xml:space="preserve">Project-specific specialist package</x:t>
  </x:si>
  <x:si>
    <x:t xml:space="preserve">LS</x:t>
  </x:si>
  <x:si>
    <x:t xml:space="preserve">Project-specific</x:t>
  </x:si>
  <x:si>
    <x:t xml:space="preserve">Job override required</x:t>
  </x:si>
  <x:si>
    <x:t xml:space="preserve">Relevant specialist</x:t>
  </x:si>
  <x:si>
    <x:t xml:space="preserve">Quote / PC allowance shown in Resource Build-Up</x:t>
  </x:si>
  <x:si>
    <x:t xml:space="preserve">Only scope stated on build-up row</x:t>
  </x:si>
  <x:si>
    <x:t xml:space="preserve">Unstated scope</x:t>
  </x:si>
  <x:si>
    <x:t xml:space="preserve">Base $1 forces explicit job-rate override</x:t>
  </x:si>
  <x:si>
    <x:t xml:space="preserve">OTH-GENERAL</x:t>
  </x:si>
  <x:si>
    <x:t xml:space="preserve">Other</x:t>
  </x:si>
  <x:si>
    <x:t xml:space="preserve">Project-specific transparent allowance</x:t>
  </x:si>
  <x:si>
    <x:t xml:space="preserve">Job-specific</x:t>
  </x:si>
  <x:si>
    <x:t xml:space="preserve">Estimator allowance</x:t>
  </x:si>
  <x:si>
    <x:t xml:space="preserve">Basis shown in Resource Build-Up</x:t>
  </x:si>
  <x:si>
    <x:t xml:space="preserve">OTH-DISPOSAL</x:t>
  </x:si>
  <x:si>
    <x:t xml:space="preserve">Clean spoil disposal / tipping fee</x:t>
  </x:si>
  <x:si>
    <x:t xml:space="preserve">Commercial tip</x:t>
  </x:si>
  <x:si>
    <x:t xml:space="preserve">Auckland disposal market</x:t>
  </x:si>
  <x:si>
    <x:t xml:space="preserve">Clean spoil tipping</x:t>
  </x:si>
  <x:si>
    <x:t xml:space="preserve">Haul and contaminated material</x:t>
  </x:si>
  <x:si>
    <x:t xml:space="preserve">Ordinary civil plant stays Plant whether owned or hired. Specialist delivered capability such as mobile cranes is normally Subcontract. Wet hire must record operator/fuel inclusions to stop double counting.</x:t>
  </x:si>
  <x:si>
    <x:t xml:space="preserve">Build-Up Row ID</x:t>
  </x:si>
  <x:si>
    <x:t xml:space="preserve">QS Code</x:t>
  </x:si>
  <x:si>
    <x:t xml:space="preserve">WBS / Section</x:t>
  </x:si>
  <x:si>
    <x:t xml:space="preserve">Task Description</x:t>
  </x:si>
  <x:si>
    <x:t xml:space="preserve">QS Qty</x:t>
  </x:si>
  <x:si>
    <x:t xml:space="preserve">QS Unit</x:t>
  </x:si>
  <x:si>
    <x:t xml:space="preserve">Estimate Class</x:t>
  </x:si>
  <x:si>
    <x:t xml:space="preserve">Methodology / Work Step</x:t>
  </x:si>
  <x:si>
    <x:t xml:space="preserve">Productivity Rate</x:t>
  </x:si>
  <x:si>
    <x:t xml:space="preserve">Productivity Unit</x:t>
  </x:si>
  <x:si>
    <x:t xml:space="preserve">Calc Duration hrs</x:t>
  </x:si>
  <x:si>
    <x:t xml:space="preserve">Duration Override hrs</x:t>
  </x:si>
  <x:si>
    <x:t xml:space="preserve">Applied Duration hrs</x:t>
  </x:si>
  <x:si>
    <x:t xml:space="preserve">Calculation Mode</x:t>
  </x:si>
  <x:si>
    <x:t xml:space="preserve">Resource Type</x:t>
  </x:si>
  <x:si>
    <x:t xml:space="preserve">Resource Count / Factor</x:t>
  </x:si>
  <x:si>
    <x:t xml:space="preserve">Manual Resource Qty</x:t>
  </x:si>
  <x:si>
    <x:t xml:space="preserve">Resource Unit</x:t>
  </x:si>
  <x:si>
    <x:t xml:space="preserve">Utilisation %</x:t>
  </x:si>
  <x:si>
    <x:t xml:space="preserve">Waste %</x:t>
  </x:si>
  <x:si>
    <x:t xml:space="preserve">Library Rate</x:t>
  </x:si>
  <x:si>
    <x:t xml:space="preserve">Job Rate Override</x:t>
  </x:si>
  <x:si>
    <x:t xml:space="preserve">Applied Rate</x:t>
  </x:si>
  <x:si>
    <x:t xml:space="preserve">Extended Cost</x:t>
  </x:si>
  <x:si>
    <x:t xml:space="preserve">Library Source</x:t>
  </x:si>
  <x:si>
    <x:t xml:space="preserve">Job Quote / Source Ref</x:t>
  </x:si>
  <x:si>
    <x:t xml:space="preserve">Source Date</x:t>
  </x:si>
  <x:si>
    <x:t xml:space="preserve">Assumption / RFI</x:t>
  </x:si>
  <x:si>
    <x:t xml:space="preserve">Verified?</x:t>
  </x:si>
  <x:si>
    <x:t xml:space="preserve">QA / Double-Count Check</x:t>
  </x:si>
  <x:si>
    <x:t xml:space="preserve">Active rows</x:t>
  </x:si>
  <x:si>
    <x:t xml:space="preserve">Cost exposure excl. GST</x:t>
  </x:si>
  <x:si>
    <x:t xml:space="preserve">GREEN</x:t>
  </x:si>
  <x:si>
    <x:t xml:space="preserve">RED</x:t>
  </x:si>
  <x:si>
    <x:t xml:space="preserve">AMBER</x:t>
  </x:si>
  <x:si>
    <x:t xml:space="preserve">Release gate</x:t>
  </x:si>
  <x:si>
    <x:t xml:space="preserve">Tender issue only</x:t>
  </x:si>
  <x:si>
    <x:t xml:space="preserve">RED items must be disclosed and replaced before award</x:t>
  </x:si>
  <x:si>
    <x:t xml:space="preserve">Audit ID</x:t>
  </x:si>
  <x:si>
    <x:t xml:space="preserve">Build-Up Row</x:t>
  </x:si>
  <x:si>
    <x:t xml:space="preserve">Task / Method</x:t>
  </x:si>
  <x:si>
    <x:t xml:space="preserve">Resource</x:t>
  </x:si>
  <x:si>
    <x:t xml:space="preserve">Evidence 1 - primary/current</x:t>
  </x:si>
  <x:si>
    <x:t xml:space="preserve">Result 1</x:t>
  </x:si>
  <x:si>
    <x:t xml:space="preserve">Evidence 2 - independent check</x:t>
  </x:si>
  <x:si>
    <x:t xml:space="preserve">Result 2</x:t>
  </x:si>
  <x:si>
    <x:t xml:space="preserve">Evidence 3 - build-up/scope</x:t>
  </x:si>
  <x:si>
    <x:t xml:space="preserve">Result 3</x:t>
  </x:si>
  <x:si>
    <x:t xml:space="preserve">Score</x:t>
  </x:si>
  <x:si>
    <x:t xml:space="preserve">Release Status</x:t>
  </x:si>
  <x:si>
    <x:t xml:space="preserve">Required Action</x:t>
  </x:si>
  <x:si>
    <x:t xml:space="preserve">Scope / Assumption</x:t>
  </x:si>
  <x:si>
    <x:t xml:space="preserve">RV-001</x:t>
  </x:si>
  <x:si>
    <x:t xml:space="preserve">RV-002</x:t>
  </x:si>
  <x:si>
    <x:t xml:space="preserve">RV-003</x:t>
  </x:si>
  <x:si>
    <x:t xml:space="preserve">RV-004</x:t>
  </x:si>
  <x:si>
    <x:t xml:space="preserve">RV-005</x:t>
  </x:si>
  <x:si>
    <x:t xml:space="preserve">RV-006</x:t>
  </x:si>
  <x:si>
    <x:t xml:space="preserve">RV-007</x:t>
  </x:si>
  <x:si>
    <x:t xml:space="preserve">RV-008</x:t>
  </x:si>
  <x:si>
    <x:t xml:space="preserve">RV-009</x:t>
  </x:si>
  <x:si>
    <x:t xml:space="preserve">RV-010</x:t>
  </x:si>
  <x:si>
    <x:t xml:space="preserve">RV-011</x:t>
  </x:si>
  <x:si>
    <x:t xml:space="preserve">RV-012</x:t>
  </x:si>
  <x:si>
    <x:t xml:space="preserve">RV-013</x:t>
  </x:si>
  <x:si>
    <x:t xml:space="preserve">RV-014</x:t>
  </x:si>
  <x:si>
    <x:t xml:space="preserve">RV-015</x:t>
  </x:si>
  <x:si>
    <x:t xml:space="preserve">RV-016</x:t>
  </x:si>
  <x:si>
    <x:t xml:space="preserve">RV-017</x:t>
  </x:si>
  <x:si>
    <x:t xml:space="preserve">RV-018</x:t>
  </x:si>
  <x:si>
    <x:t xml:space="preserve">RV-019</x:t>
  </x:si>
  <x:si>
    <x:t xml:space="preserve">RV-020</x:t>
  </x:si>
  <x:si>
    <x:t xml:space="preserve">RV-021</x:t>
  </x:si>
  <x:si>
    <x:t xml:space="preserve">RV-022</x:t>
  </x:si>
  <x:si>
    <x:t xml:space="preserve">RV-023</x:t>
  </x:si>
  <x:si>
    <x:t xml:space="preserve">RV-024</x:t>
  </x:si>
  <x:si>
    <x:t xml:space="preserve">RV-025</x:t>
  </x:si>
  <x:si>
    <x:t xml:space="preserve">RV-026</x:t>
  </x:si>
  <x:si>
    <x:t xml:space="preserve">RV-027</x:t>
  </x:si>
  <x:si>
    <x:t xml:space="preserve">RV-028</x:t>
  </x:si>
  <x:si>
    <x:t xml:space="preserve">RV-029</x:t>
  </x:si>
  <x:si>
    <x:t xml:space="preserve">RV-030</x:t>
  </x:si>
  <x:si>
    <x:t xml:space="preserve">RV-031</x:t>
  </x:si>
  <x:si>
    <x:t xml:space="preserve">RV-032</x:t>
  </x:si>
  <x:si>
    <x:t xml:space="preserve">RV-033</x:t>
  </x:si>
  <x:si>
    <x:t xml:space="preserve">RV-034</x:t>
  </x:si>
  <x:si>
    <x:t xml:space="preserve">RV-035</x:t>
  </x:si>
  <x:si>
    <x:t xml:space="preserve">RV-036</x:t>
  </x:si>
  <x:si>
    <x:t xml:space="preserve">RV-037</x:t>
  </x:si>
  <x:si>
    <x:t xml:space="preserve">RV-038</x:t>
  </x:si>
  <x:si>
    <x:t xml:space="preserve">RV-039</x:t>
  </x:si>
  <x:si>
    <x:t xml:space="preserve">RV-040</x:t>
  </x:si>
  <x:si>
    <x:t xml:space="preserve">RV-041</x:t>
  </x:si>
  <x:si>
    <x:t xml:space="preserve">RV-042</x:t>
  </x:si>
  <x:si>
    <x:t xml:space="preserve">RV-043</x:t>
  </x:si>
  <x:si>
    <x:t xml:space="preserve">RV-044</x:t>
  </x:si>
  <x:si>
    <x:t xml:space="preserve">RV-045</x:t>
  </x:si>
  <x:si>
    <x:t xml:space="preserve">RV-046</x:t>
  </x:si>
  <x:si>
    <x:t xml:space="preserve">RV-047</x:t>
  </x:si>
  <x:si>
    <x:t xml:space="preserve">RV-048</x:t>
  </x:si>
  <x:si>
    <x:t xml:space="preserve">RV-049</x:t>
  </x:si>
  <x:si>
    <x:t xml:space="preserve">RV-050</x:t>
  </x:si>
  <x:si>
    <x:t xml:space="preserve">RV-051</x:t>
  </x:si>
  <x:si>
    <x:t xml:space="preserve">RV-052</x:t>
  </x:si>
  <x:si>
    <x:t xml:space="preserve">RV-053</x:t>
  </x:si>
  <x:si>
    <x:t xml:space="preserve">RV-054</x:t>
  </x:si>
  <x:si>
    <x:t xml:space="preserve">RV-055</x:t>
  </x:si>
  <x:si>
    <x:t xml:space="preserve">RV-056</x:t>
  </x:si>
  <x:si>
    <x:t xml:space="preserve">RV-057</x:t>
  </x:si>
  <x:si>
    <x:t xml:space="preserve">RV-058</x:t>
  </x:si>
  <x:si>
    <x:t xml:space="preserve">RV-059</x:t>
  </x:si>
  <x:si>
    <x:t xml:space="preserve">RV-060</x:t>
  </x:si>
  <x:si>
    <x:t xml:space="preserve">RV-061</x:t>
  </x:si>
  <x:si>
    <x:t xml:space="preserve">RV-062</x:t>
  </x:si>
  <x:si>
    <x:t xml:space="preserve">RV-063</x:t>
  </x:si>
  <x:si>
    <x:t xml:space="preserve">RV-064</x:t>
  </x:si>
  <x:si>
    <x:t xml:space="preserve">RV-065</x:t>
  </x:si>
  <x:si>
    <x:t xml:space="preserve">RV-066</x:t>
  </x:si>
  <x:si>
    <x:t xml:space="preserve">RV-067</x:t>
  </x:si>
  <x:si>
    <x:t xml:space="preserve">RV-068</x:t>
  </x:si>
  <x:si>
    <x:t xml:space="preserve">RV-069</x:t>
  </x:si>
  <x:si>
    <x:t xml:space="preserve">RV-070</x:t>
  </x:si>
  <x:si>
    <x:t xml:space="preserve">RV-071</x:t>
  </x:si>
  <x:si>
    <x:t xml:space="preserve">RV-072</x:t>
  </x:si>
  <x:si>
    <x:t xml:space="preserve">RV-073</x:t>
  </x:si>
  <x:si>
    <x:t xml:space="preserve">RV-074</x:t>
  </x:si>
  <x:si>
    <x:t xml:space="preserve">RV-075</x:t>
  </x:si>
  <x:si>
    <x:t xml:space="preserve">RV-076</x:t>
  </x:si>
  <x:si>
    <x:t xml:space="preserve">RV-077</x:t>
  </x:si>
  <x:si>
    <x:t xml:space="preserve">RV-078</x:t>
  </x:si>
  <x:si>
    <x:t xml:space="preserve">RV-079</x:t>
  </x:si>
  <x:si>
    <x:t xml:space="preserve">RV-080</x:t>
  </x:si>
  <x:si>
    <x:t xml:space="preserve">RV-081</x:t>
  </x:si>
  <x:si>
    <x:t xml:space="preserve">RV-082</x:t>
  </x:si>
  <x:si>
    <x:t xml:space="preserve">RV-083</x:t>
  </x:si>
  <x:si>
    <x:t xml:space="preserve">RV-084</x:t>
  </x:si>
  <x:si>
    <x:t xml:space="preserve">RV-085</x:t>
  </x:si>
  <x:si>
    <x:t xml:space="preserve">RV-086</x:t>
  </x:si>
  <x:si>
    <x:t xml:space="preserve">RV-087</x:t>
  </x:si>
  <x:si>
    <x:t xml:space="preserve">RV-088</x:t>
  </x:si>
  <x:si>
    <x:t xml:space="preserve">RV-089</x:t>
  </x:si>
  <x:si>
    <x:t xml:space="preserve">RV-090</x:t>
  </x:si>
  <x:si>
    <x:t xml:space="preserve">RV-091</x:t>
  </x:si>
  <x:si>
    <x:t xml:space="preserve">RV-092</x:t>
  </x:si>
  <x:si>
    <x:t xml:space="preserve">RV-093</x:t>
  </x:si>
  <x:si>
    <x:t xml:space="preserve">RV-094</x:t>
  </x:si>
  <x:si>
    <x:t xml:space="preserve">RV-095</x:t>
  </x:si>
  <x:si>
    <x:t xml:space="preserve">RV-096</x:t>
  </x:si>
  <x:si>
    <x:t xml:space="preserve">RV-097</x:t>
  </x:si>
  <x:si>
    <x:t xml:space="preserve">RV-098</x:t>
  </x:si>
  <x:si>
    <x:t xml:space="preserve">RV-099</x:t>
  </x:si>
  <x:si>
    <x:t xml:space="preserve">RV-100</x:t>
  </x:si>
  <x:si>
    <x:t xml:space="preserve">RV-101</x:t>
  </x:si>
  <x:si>
    <x:t xml:space="preserve">RV-102</x:t>
  </x:si>
  <x:si>
    <x:t xml:space="preserve">RV-103</x:t>
  </x:si>
  <x:si>
    <x:t xml:space="preserve">RV-104</x:t>
  </x:si>
  <x:si>
    <x:t xml:space="preserve">RV-105</x:t>
  </x:si>
  <x:si>
    <x:t xml:space="preserve">RV-106</x:t>
  </x:si>
  <x:si>
    <x:t xml:space="preserve">RV-107</x:t>
  </x:si>
  <x:si>
    <x:t xml:space="preserve">RV-108</x:t>
  </x:si>
  <x:si>
    <x:t xml:space="preserve">RV-109</x:t>
  </x:si>
  <x:si>
    <x:t xml:space="preserve">RV-110</x:t>
  </x:si>
  <x:si>
    <x:t xml:space="preserve">RV-111</x:t>
  </x:si>
  <x:si>
    <x:t xml:space="preserve">RV-112</x:t>
  </x:si>
  <x:si>
    <x:t xml:space="preserve">RV-113</x:t>
  </x:si>
  <x:si>
    <x:t xml:space="preserve">RV-114</x:t>
  </x:si>
  <x:si>
    <x:t xml:space="preserve">RV-115</x:t>
  </x:si>
  <x:si>
    <x:t xml:space="preserve">RV-116</x:t>
  </x:si>
  <x:si>
    <x:t xml:space="preserve">RV-117</x:t>
  </x:si>
  <x:si>
    <x:t xml:space="preserve">RV-118</x:t>
  </x:si>
  <x:si>
    <x:t xml:space="preserve">RV-119</x:t>
  </x:si>
  <x:si>
    <x:t xml:space="preserve">RV-120</x:t>
  </x:si>
  <x:si>
    <x:t xml:space="preserve">RV-121</x:t>
  </x:si>
  <x:si>
    <x:t xml:space="preserve">RV-122</x:t>
  </x:si>
  <x:si>
    <x:t xml:space="preserve">RV-123</x:t>
  </x:si>
  <x:si>
    <x:t xml:space="preserve">RV-124</x:t>
  </x:si>
  <x:si>
    <x:t xml:space="preserve">RV-125</x:t>
  </x:si>
  <x:si>
    <x:t xml:space="preserve">RV-126</x:t>
  </x:si>
  <x:si>
    <x:t xml:space="preserve">RV-127</x:t>
  </x:si>
  <x:si>
    <x:t xml:space="preserve">RV-128</x:t>
  </x:si>
  <x:si>
    <x:t xml:space="preserve">RV-129</x:t>
  </x:si>
  <x:si>
    <x:t xml:space="preserve">Microsoft import guidance: https://support.microsoft.com/en-us/project/export-or-import-data-to-another-file-format</x:t>
  </x:si>
  <x:si>
    <x:t xml:space="preserve">Import ID</x:t>
  </x:si>
  <x:si>
    <x:t xml:space="preserve">QS Row</x:t>
  </x:si>
  <x:si>
    <x:t xml:space="preserve">Task Name</x:t>
  </x:si>
  <x:si>
    <x:t xml:space="preserve">QS Fixed Cost</x:t>
  </x:si>
  <x:si>
    <x:t xml:space="preserve">Resource Cost Check</x:t>
  </x:si>
  <x:si>
    <x:t xml:space="preserve">Max Resource Duration hrs</x:t>
  </x:si>
  <x:si>
    <x:t xml:space="preserve">Derived Duration days</x:t>
  </x:si>
  <x:si>
    <x:t xml:space="preserve">Programme Override days</x:t>
  </x:si>
  <x:si>
    <x:t xml:space="preserve">Export Duration days</x:t>
  </x:si>
  <x:si>
    <x:t xml:space="preserve">Duration</x:t>
  </x:si>
  <x:si>
    <x:t xml:space="preserve">Duration Basis</x:t>
  </x:si>
  <x:si>
    <x:t xml:space="preserve">Predecessor QS Codes</x:t>
  </x:si>
  <x:si>
    <x:t xml:space="preserve">Predecessors</x:t>
  </x:si>
  <x:si>
    <x:t xml:space="preserve">Resource Summary</x:t>
  </x:si>
  <x:si>
    <x:t xml:space="preserve">Rate QA Status</x:t>
  </x:si>
  <x:si>
    <x:t xml:space="preserve">QS / Resource Difference</x:t>
  </x:si>
  <x:si>
    <x:t xml:space="preserve">Cost Check</x:t>
  </x:si>
  <x:si>
    <x:t xml:space="preserve">Task Mode</x:t>
  </x:si>
  <x:si>
    <x:t xml:space="preserve">Cost Accrual</x:t>
  </x:si>
</x:sst>
</file>

<file path=xl/styles.xml><?xml version="1.0" encoding="utf-8"?>
<x:styleSheet xmlns:x="http://schemas.openxmlformats.org/spreadsheetml/2006/main">
  <x:numFmts count="17">
    <x:numFmt numFmtId="44" formatCode="_-&quot;$&quot;* #,##0.00_-;\-&quot;$&quot;* #,##0.00_-;_-&quot;$&quot;* &quot;-&quot;??_-;_-@_-"/>
    <x:numFmt numFmtId="164" formatCode="\$#,##0.00"/>
    <x:numFmt numFmtId="165" formatCode="\$#,##0.00;[Red]\-\$#,##0.00"/>
    <x:numFmt numFmtId="166" formatCode="0\ &quot;months&quot;"/>
    <x:numFmt numFmtId="167" formatCode="0.0%"/>
    <x:numFmt numFmtId="168" formatCode="0.0"/>
    <x:numFmt numFmtId="200" formatCode="#,##0.00"/>
    <x:numFmt numFmtId="201" formatCode="dd-mmm-yyyy"/>
    <x:numFmt numFmtId="202" formatCode="0"/>
    <x:numFmt numFmtId="203" formatCode="$#,##0.00"/>
    <x:numFmt numFmtId="204" formatCode="0.00%"/>
    <x:numFmt numFmtId="205" formatCode="0.00"/>
    <x:numFmt numFmtId="206" formatCode="$#,##0.00;[Red]-$#,##0.00"/>
    <x:numFmt numFmtId="207" formatCode="#,##0.00;[Red]-#,##0.00;-"/>
    <x:numFmt numFmtId="208" formatCode="$#,##0.00;[Red]-$#,##0.00;-$"/>
    <x:numFmt numFmtId="209" formatCode="0.0000%"/>
    <x:numFmt numFmtId="210" formatCode="0.0 &quot;WD&quot;"/>
  </x:numFmts>
  <x:fonts count="55">
    <x:font>
      <x:sz val="11"/>
      <x:name val="Carlito"/>
    </x:font>
    <x:font>
      <x:b/>
      <x:sz val="13"/>
      <x:color rgb="FFFFFFFF"/>
      <x:name val="Carlito"/>
    </x:font>
    <x:font>
      <x:b/>
      <x:sz val="11"/>
      <x:name val="Carlito"/>
    </x:font>
    <x:font>
      <x:b/>
      <x:sz val="12"/>
      <x:color rgb="FFFFFFFF"/>
      <x:name val="Carlito"/>
    </x:font>
    <x:font>
      <x:b/>
      <x:sz val="11"/>
      <x:color rgb="FFFFFFFF"/>
      <x:name val="Carlito"/>
    </x:font>
    <x:font>
      <x:b/>
      <x:sz val="14"/>
      <x:color rgb="FFFFFFFF"/>
      <x:name val="Carlito"/>
    </x:font>
    <x:font>
      <x:sz val="11"/>
      <x:name val="Carlito"/>
    </x:font>
    <x:font>
      <x:b/>
      <x:sz val="12"/>
      <x:color theme="0"/>
      <x:name val="Carlito"/>
    </x:font>
    <x:font>
      <x:sz val="11"/>
      <x:color theme="0"/>
      <x:name val="Carlito"/>
    </x:font>
    <x:font>
      <x:i/>
      <x:sz val="11"/>
      <x:color rgb="FF1F1F1F"/>
      <x:name val="Carlito"/>
    </x:font>
    <x:font>
      <x:sz val="10"/>
      <x:name val="Carlito"/>
    </x:font>
    <x:font>
      <x:b/>
      <x:sz val="11"/>
      <x:color rgb="FFC00000"/>
      <x:name val="Carlito"/>
    </x:font>
    <x:font>
      <x:b/>
      <x:sz val="11"/>
      <x:color rgb="FF000000"/>
      <x:name val="Carlito"/>
    </x:font>
    <x:font>
      <x:i/>
      <x:sz val="11"/>
      <x:name val="Carlito"/>
    </x:font>
    <x:font>
      <x:sz val="11"/>
      <x:color rgb="FFC00000"/>
      <x:name val="Carlito"/>
    </x:font>
    <x:font>
      <x:b/>
      <x:sz val="11"/>
      <x:color rgb="FF375623"/>
      <x:name val="Carlito"/>
    </x:font>
    <x:font>
      <x:i/>
      <x:sz val="11"/>
      <x:color rgb="FF666666"/>
      <x:name val="Carlito"/>
    </x:font>
    <x:font>
      <x:b/>
      <x:sz val="11"/>
      <x:color rgb="FF1F1F1F"/>
      <x:name val="Carlito"/>
    </x:font>
    <x:font>
      <x:b/>
      <x:i/>
      <x:sz val="11"/>
      <x:name val="Carlito"/>
    </x:font>
    <x:font>
      <x:i/>
      <x:sz val="11"/>
      <x:color rgb="FF17394D"/>
      <x:name val="Carlito"/>
    </x:font>
    <x:font>
      <x:b/>
      <x:sz val="10"/>
      <x:color rgb="FFFFFFFF"/>
      <x:name val="Carlito"/>
    </x:font>
    <x:font>
      <x:b/>
      <x:sz val="9"/>
      <x:name val="Carlito"/>
    </x:font>
    <x:font>
      <x:sz val="9"/>
      <x:name val="Carlito"/>
    </x:font>
    <x:font>
      <x:b/>
      <x:sz val="17"/>
      <x:color rgb="FFFFFFFF"/>
      <x:name val="Carlito"/>
    </x:font>
    <x:font>
      <x:b/>
      <x:sz val="11"/>
      <x:color rgb="FF173A4D"/>
      <x:name val="Carlito"/>
    </x:font>
    <x:font>
      <x:b/>
      <x:sz val="22"/>
      <x:name val="Carlito"/>
    </x:font>
    <x:font>
      <x:b/>
      <x:sz val="22"/>
      <x:color rgb="FF173A4D"/>
      <x:name val="Carlito"/>
    </x:font>
    <x:font>
      <x:b/>
      <x:sz val="11"/>
      <x:color rgb="FFA33A3A"/>
      <x:name val="Carlito"/>
    </x:font>
    <x:font>
      <x:sz val="11"/>
      <x:color rgb="FFA33A3A"/>
      <x:name val="Carlito"/>
    </x:font>
    <x:font>
      <x:b/>
      <x:sz val="16"/>
      <x:color rgb="FFFFFFFF"/>
      <x:name val="Carlito"/>
    </x:font>
    <x:font>
      <x:b/>
      <x:sz val="20"/>
      <x:name val="Carlito"/>
    </x:font>
    <x:font>
      <x:b/>
      <x:sz val="20"/>
      <x:color rgb="FF173A4D"/>
      <x:name val="Carlito"/>
    </x:font>
    <x:font>
      <x:sz val="11"/>
      <x:color rgb="FFFFFFFF"/>
      <x:name val="Carlito"/>
    </x:font>
    <x:font>
      <x:i/>
      <x:sz val="11"/>
      <x:color rgb="FFFFFFFF"/>
      <x:name val="Carlito"/>
    </x:font>
    <x:font>
      <x:b/>
      <x:i/>
      <x:sz val="11"/>
      <x:color rgb="FFFFFFFF"/>
      <x:name val="Carlito"/>
    </x:font>
    <x:font>
      <x:b/>
      <x:sz val="17"/>
      <x:color rgb="FFFFFFFF"/>
      <x:name val="Aptos"/>
    </x:font>
    <x:font>
      <x:b/>
      <x:sz val="11"/>
      <x:color rgb="FF173A4D"/>
      <x:name val="Aptos"/>
    </x:font>
    <x:font>
      <x:sz val="11"/>
      <x:name val="Aptos"/>
    </x:font>
    <x:font>
      <x:b/>
      <x:sz val="11"/>
      <x:color rgb="FFFFFFFF"/>
      <x:name val="Aptos"/>
    </x:font>
    <x:font>
      <x:b/>
      <x:sz val="22"/>
      <x:color rgb="FF173A4D"/>
      <x:name val="Aptos"/>
    </x:font>
    <x:font>
      <x:b/>
      <x:sz val="11"/>
      <x:name val="Aptos"/>
    </x:font>
    <x:font>
      <x:b/>
      <x:sz val="11"/>
      <x:color rgb="FFA33A3A"/>
      <x:name val="Aptos"/>
    </x:font>
    <x:font>
      <x:b/>
      <x:sz val="11"/>
      <x:color rgb="FF1F1F1F"/>
      <x:name val="Aptos"/>
    </x:font>
    <x:font>
      <x:b/>
      <x:sz val="14"/>
      <x:color rgb="FFFFFFFF"/>
      <x:name val="Aptos"/>
    </x:font>
    <x:font>
      <x:b/>
      <x:sz val="10"/>
      <x:color rgb="FFFFFFFF"/>
      <x:name val="Aptos"/>
    </x:font>
    <x:font>
      <x:b/>
      <x:sz val="10"/>
      <x:color rgb="FF173A4D"/>
      <x:name val="Aptos"/>
    </x:font>
    <x:font>
      <x:sz val="10"/>
      <x:name val="Aptos"/>
    </x:font>
    <x:font>
      <x:b/>
      <x:sz val="10"/>
      <x:name val="Aptos"/>
    </x:font>
    <x:font>
      <x:b/>
      <x:sz val="10"/>
      <x:color rgb="FFA33A3A"/>
      <x:name val="Aptos"/>
    </x:font>
    <x:font>
      <x:b/>
      <x:sz val="10"/>
      <x:color rgb="FF1F1F1F"/>
      <x:name val="Aptos"/>
    </x:font>
    <x:font>
      <x:b/>
      <x:sz val="16"/>
      <x:color rgb="FFFFFFFF"/>
      <x:name val="Aptos"/>
    </x:font>
    <x:font>
      <x:b/>
      <x:sz val="20"/>
      <x:color rgb="FF173A4D"/>
      <x:name val="Aptos"/>
    </x:font>
    <x:font>
      <x:b/>
      <x:i/>
      <x:sz val="11"/>
      <x:color rgb="FFFFFFFF"/>
      <x:name val="Aptos"/>
    </x:font>
    <x:font>
      <x:b/>
      <x:i/>
      <x:sz val="10"/>
      <x:color rgb="FFFFFFFF"/>
      <x:name val="Aptos"/>
    </x:font>
    <x:font>
      <x:sz val="11"/>
      <x:color rgb="FF000000"/>
      <x:name val="Carlito"/>
    </x:font>
  </x:fonts>
  <x:fills count="93">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D9EAD3"/>
      </x:patternFill>
    </x:fill>
    <x:fill>
      <x:patternFill patternType="solid">
        <x:fgColor rgb="FFFCE4D6"/>
      </x:patternFill>
    </x:fill>
    <x:fill>
      <x:patternFill patternType="solid">
        <x:fgColor rgb="FFE2F0D9"/>
      </x:patternFill>
    </x:fill>
    <x:fill>
      <x:patternFill patternType="solid">
        <x:fgColor rgb="FFFFF2CC"/>
      </x:patternFill>
    </x:fill>
    <x:fill>
      <x:patternFill patternType="solid">
        <x:fgColor rgb="FFEAF2F8"/>
      </x:patternFill>
    </x:fill>
    <x:fill>
      <x:patternFill patternType="solid">
        <x:fgColor rgb="FF5B9BD5"/>
      </x:patternFill>
    </x:fill>
    <x:fill>
      <x:patternFill patternType="solid">
        <x:fgColor rgb="FFFF9999"/>
      </x:patternFill>
    </x:fill>
    <x:fill>
      <x:patternFill patternType="solid">
        <x:fgColor rgb="FFF4B183"/>
      </x:patternFill>
    </x:fill>
    <x:fill>
      <x:patternFill patternType="solid">
        <x:fgColor rgb="FF17365D"/>
      </x:patternFill>
    </x:fill>
    <x:fill>
      <x:patternFill patternType="solid">
        <x:fgColor rgb="FFFFFFFF"/>
      </x:patternFill>
    </x:fill>
    <x:fill>
      <x:patternFill patternType="solid">
        <x:fgColor rgb="FFF2F2F2"/>
      </x:patternFill>
    </x:fill>
    <x:fill>
      <x:patternFill patternType="solid">
        <x:fgColor rgb="FF4472C4"/>
      </x:patternFill>
    </x:fill>
    <x:fill>
      <x:patternFill patternType="solid">
        <x:fgColor rgb="FFEAF4E2"/>
      </x:patternFill>
    </x:fill>
    <x:fill>
      <x:patternFill patternType="solid">
        <x:fgColor rgb="FFFFF2CC"/>
      </x:patternFill>
    </x:fill>
    <x:fill>
      <x:patternFill patternType="solid">
        <x:fgColor rgb="FFE2F0D9"/>
      </x:patternFill>
    </x:fill>
    <x:fill>
      <x:patternFill patternType="solid">
        <x:fgColor rgb="FF1F4E78"/>
      </x:patternFill>
    </x:fill>
    <x:fill>
      <x:patternFill patternType="solid">
        <x:fgColor rgb="FFF4B183"/>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FCE4D6"/>
      </x:patternFill>
    </x:fill>
    <x:fill>
      <x:patternFill patternType="solid">
        <x:fgColor rgb="FF5B9BD5"/>
      </x:patternFill>
    </x:fill>
    <x:fill>
      <x:patternFill patternType="solid">
        <x:fgColor rgb="FFE2F0D9"/>
      </x:patternFill>
    </x:fill>
    <x:fill>
      <x:patternFill patternType="solid">
        <x:fgColor rgb="FF17365D"/>
      </x:patternFill>
    </x:fill>
    <x:fill>
      <x:patternFill patternType="solid">
        <x:fgColor rgb="FFF3F6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1F4E78"/>
      </x:patternFill>
    </x:fill>
    <x:fill>
      <x:patternFill patternType="solid">
        <x:fgColor rgb="FFD9EAD3"/>
      </x:patternFill>
    </x:fill>
    <x:fill>
      <x:patternFill patternType="solid">
        <x:fgColor rgb="FF5B9BD5"/>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E7E6E6"/>
      </x:patternFill>
    </x:fill>
    <x:fill>
      <x:patternFill patternType="solid">
        <x:fgColor rgb="FF5B9BD5"/>
      </x:patternFill>
    </x:fill>
    <x:fill>
      <x:patternFill patternType="solid">
        <x:fgColor rgb="FFD9EAF7"/>
      </x:patternFill>
    </x:fill>
    <x:fill>
      <x:patternFill patternType="solid">
        <x:fgColor rgb="FF1F4E78"/>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E2F0D9"/>
      </x:patternFill>
    </x:fill>
    <x:fill>
      <x:patternFill patternType="solid">
        <x:fgColor rgb="FF1F4E78"/>
      </x:patternFill>
    </x:fill>
    <x:fill>
      <x:patternFill patternType="solid">
        <x:fgColor rgb="FFFCE4D6"/>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E2F0D9"/>
      </x:patternFill>
    </x:fill>
    <x:fill>
      <x:patternFill patternType="solid">
        <x:fgColor rgb="FFFFFFFF"/>
      </x:patternFill>
    </x:fill>
    <x:fill>
      <x:patternFill patternType="solid">
        <x:fgColor rgb="FF17394D"/>
      </x:patternFill>
    </x:fill>
    <x:fill>
      <x:patternFill patternType="solid">
        <x:fgColor rgb="FFEAF2F5"/>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F4CCCC"/>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4CCCC"/>
      </x:patternFill>
    </x:fill>
    <x:fill>
      <x:patternFill patternType="solid">
        <x:fgColor rgb="FF1F4E78"/>
      </x:patternFill>
    </x:fill>
    <x:fill>
      <x:patternFill patternType="solid">
        <x:fgColor rgb="FF173A4D"/>
      </x:patternFill>
    </x:fill>
    <x:fill>
      <x:patternFill patternType="solid">
        <x:fgColor rgb="FFEAF2F0"/>
      </x:patternFill>
    </x:fill>
    <x:fill>
      <x:patternFill patternType="solid">
        <x:fgColor rgb="FF4D8C83"/>
      </x:patternFill>
    </x:fill>
    <x:fill>
      <x:patternFill patternType="solid">
        <x:fgColor rgb="FFF5F7F7"/>
      </x:patternFill>
    </x:fill>
    <x:fill>
      <x:patternFill patternType="solid">
        <x:fgColor rgb="FFFFF5D6"/>
      </x:patternFill>
    </x:fill>
    <x:fill>
      <x:patternFill patternType="solid">
        <x:fgColor rgb="FFFCE8E8"/>
      </x:patternFill>
    </x:fill>
    <x:fill>
      <x:patternFill patternType="solid">
        <x:fgColor rgb="FF6B7280"/>
      </x:patternFill>
    </x:fill>
    <x:fill>
      <x:patternFill patternType="solid">
        <x:fgColor rgb="FFFFFFFF"/>
      </x:patternFill>
    </x:fill>
  </x:fills>
  <x:borders count="29">
    <x:border/>
    <x:border>
      <x:left style="thin">
        <x:color rgb="FFD9E1F2"/>
      </x:left>
      <x:right style="thin">
        <x:color rgb="FFD9E1F2"/>
      </x:right>
      <x:top style="thin">
        <x:color rgb="FFD9E1F2"/>
      </x:top>
      <x:bottom style="thin">
        <x:color rgb="FFD9E1F2"/>
      </x:bottom>
    </x:border>
    <x:border>
      <x:left style="thin">
        <x:color rgb="FFD9E1F2"/>
      </x:left>
    </x:border>
    <x:border>
      <x:left style="thin">
        <x:color rgb="FFD9E1F2"/>
      </x:left>
      <x:right style="thin">
        <x:color rgb="FFD9E1F2"/>
      </x:right>
      <x:top style="thin">
        <x:color rgb="FF000000"/>
      </x:top>
      <x:bottom style="thin">
        <x:color rgb="FFD9E1F2"/>
      </x:bottom>
    </x:border>
    <x:border/>
    <x:border>
      <x:left style="thin">
        <x:color rgb="FFD9E1F2"/>
      </x:left>
      <x:bottom style="thin">
        <x:color rgb="FFD9E1F2"/>
      </x:bottom>
    </x:border>
    <x:border>
      <x:bottom style="thin">
        <x:color rgb="FFD9E1F2"/>
      </x:bottom>
    </x:border>
    <x:border>
      <x:left style="thin">
        <x:color rgb="FFD9E1F2"/>
      </x:left>
      <x:top style="thin">
        <x:color rgb="FFD9E1F2"/>
      </x:top>
    </x:border>
    <x:border>
      <x:top style="thin">
        <x:color rgb="FFD9E1F2"/>
      </x:top>
    </x:border>
    <x:border>
      <x:right style="thin">
        <x:color rgb="FFD9E1F2"/>
      </x:right>
      <x:top style="thin">
        <x:color rgb="FFD9E1F2"/>
      </x:top>
    </x:border>
    <x:border>
      <x:right style="thin">
        <x:color rgb="FFD9E1F2"/>
      </x:right>
    </x:border>
    <x:border>
      <x:right style="thin">
        <x:color rgb="FFD9E1F2"/>
      </x:right>
      <x:bottom style="thin">
        <x:color rgb="FFD9E1F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border>
      <x:left style="thin">
        <x:color rgb="FFD9E1F2"/>
      </x:left>
      <x:right style="thin">
        <x:color rgb="FFD9E1F2"/>
      </x:right>
      <x:top style="thin">
        <x:color rgb="FFD9E1F2"/>
      </x:top>
      <x:bottom style="thin">
        <x:color rgb="FFD9E1F2"/>
      </x:bottom>
    </x:border>
    <x:border>
      <x:left style="thin">
        <x:color rgb="FFD9E1F2"/>
      </x:left>
      <x:top style="thin">
        <x:color rgb="FFD9E1F2"/>
      </x:top>
    </x:border>
    <x:border>
      <x:top style="thin">
        <x:color rgb="FFD9E1F2"/>
      </x:top>
    </x:border>
    <x:border>
      <x:left style="thin">
        <x:color rgb="FFD9E1F2"/>
      </x:left>
    </x:border>
    <x:border>
      <x:right style="thin">
        <x:color rgb="FFD9E1F2"/>
      </x:right>
      <x:top style="thin">
        <x:color rgb="FFD9E1F2"/>
      </x:top>
    </x:border>
    <x:border>
      <x:right style="thin">
        <x:color rgb="FFD9E1F2"/>
      </x:right>
    </x:border>
    <x:border>
      <x:bottom style="thin">
        <x:color rgb="FFD9E1F2"/>
      </x:bottom>
    </x:border>
    <x:border>
      <x:right style="thin">
        <x:color rgb="FFD9E1F2"/>
      </x:right>
      <x:bottom style="thin">
        <x:color rgb="FFD9E1F2"/>
      </x:bottom>
    </x:border>
    <x:border>
      <x:left style="thin">
        <x:color rgb="FFD9E1F2"/>
      </x:left>
      <x:bottom style="thin">
        <x:color rgb="FFD9E1F2"/>
      </x:bottom>
    </x:border>
    <x:border>
      <x:left style="thin">
        <x:color rgb="FFA6A6A6"/>
      </x:left>
      <x:top style="thin">
        <x:color rgb="FFA6A6A6"/>
      </x:top>
      <x:bottom style="thin">
        <x:color rgb="FFA6A6A6"/>
      </x:bottom>
    </x:border>
    <x:border>
      <x:top style="thin">
        <x:color rgb="FFA6A6A6"/>
      </x:top>
      <x:bottom style="thin">
        <x:color rgb="FFA6A6A6"/>
      </x:bottom>
    </x:border>
    <x:border>
      <x:right style="thin">
        <x:color rgb="FFA6A6A6"/>
      </x:right>
      <x:top style="thin">
        <x:color rgb="FFA6A6A6"/>
      </x:top>
      <x:bottom style="thin">
        <x:color rgb="FFA6A6A6"/>
      </x:bottom>
    </x:border>
    <x:border>
      <x:left style="thin">
        <x:color rgb="FFD9E1F2"/>
      </x:left>
      <x:right style="thin">
        <x:color rgb="FFD9E1F2"/>
      </x:right>
      <x:top style="thin">
        <x:color rgb="FF000000"/>
      </x:top>
      <x:bottom style="thin">
        <x:color rgb="FFD9E1F2"/>
      </x:bottom>
    </x:border>
  </x:borders>
  <x:cellStyleXfs count="2">
    <x:xf numFmtId="0" fontId="0" fillId="0" borderId="4"/>
    <x:xf numFmtId="44" fontId="6" fillId="0" borderId="4"/>
  </x:cellStyleXfs>
  <x:cellXfs count="1342">
    <x:xf numFmtId="0" fontId="0" fillId="0" borderId="0" xfId="0" applyBorder="1"/>
    <x:xf numFmtId="0" fontId="0" fillId="0" borderId="0" xfId="0" applyBorder="1"/>
    <x:xf numFmtId="0" fontId="8" fillId="0" borderId="0" xfId="0" applyFont="1" applyBorder="1" applyAlignment="1">
      <x:alignment vertical="center"/>
    </x:xf>
    <x:xf numFmtId="0" fontId="0" fillId="0" borderId="0" xfId="0" applyBorder="1" applyAlignment="1">
      <x:alignment vertical="center"/>
    </x:xf>
    <x:xf numFmtId="44" fontId="0" fillId="0" borderId="0" xfId="1" applyFont="1" applyBorder="1"/>
    <x:xf numFmtId="44" fontId="2" fillId="8" borderId="1" xfId="0" applyNumberFormat="1" applyFont="1" applyFill="1" applyBorder="1" applyAlignment="1">
      <x:alignment vertical="top" wrapText="1"/>
    </x:xf>
    <x:xf numFmtId="44" fontId="2"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0" fontId="2" fillId="8"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4" fontId="4" fillId="2" borderId="1" xfId="0" applyNumberFormat="1" applyFont="1" applyFill="1" applyBorder="1" applyAlignment="1">
      <x:alignment vertical="center" wrapText="1"/>
    </x:xf>
    <x:xf numFmtId="164" fontId="4" fillId="2" borderId="1" xfId="0" applyNumberFormat="1" applyFont="1" applyFill="1" applyBorder="1" applyAlignment="1">
      <x:alignment vertical="center" wrapText="1"/>
    </x:xf>
    <x:xf numFmtId="0" fontId="3" fillId="2" borderId="0" xfId="0" applyNumberFormat="1" applyFont="1" applyFill="1" applyBorder="1" applyAlignment="1">
      <x:alignment vertical="top" wrapText="1"/>
    </x:xf>
    <x:xf numFmtId="4" fontId="2" fillId="7" borderId="0" xfId="0" applyNumberFormat="1" applyFont="1" applyFill="1" applyBorder="1" applyAlignment="1">
      <x:alignment vertical="center" wrapText="1"/>
    </x:xf>
    <x:xf numFmtId="4" fontId="2" fillId="6" borderId="1" xfId="0" applyNumberFormat="1" applyFont="1" applyFill="1" applyBorder="1" applyAlignment="1">
      <x:alignment vertical="center" wrapText="1"/>
    </x:xf>
    <x:xf numFmtId="0" fontId="4" fillId="15" borderId="0" xfId="0" applyNumberFormat="1" applyFont="1" applyFill="1" applyBorder="1" applyAlignment="1">
      <x:alignment horizontal="center" vertical="center" wrapText="1"/>
    </x:xf>
    <x:xf numFmtId="0" fontId="2" fillId="0" borderId="1"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4" fontId="2" fillId="0" borderId="0" xfId="0" applyNumberFormat="1" applyFont="1" applyFill="1" applyBorder="1" applyAlignment="1">
      <x:alignment vertical="center" wrapText="1"/>
    </x:xf>
    <x:xf numFmtId="164" fontId="2" fillId="0" borderId="0" xfId="0" applyNumberFormat="1" applyFont="1" applyFill="1" applyBorder="1" applyAlignment="1">
      <x:alignment vertical="center" wrapText="1"/>
    </x:xf>
    <x:xf numFmtId="165" fontId="2" fillId="0" borderId="1" xfId="0" applyNumberFormat="1" applyFont="1" applyFill="1" applyBorder="1" applyAlignment="1">
      <x:alignment vertical="center" wrapText="1"/>
    </x:xf>
    <x:xf numFmtId="0" fontId="2"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vertical="top" wrapText="1"/>
    </x:xf>
    <x:xf numFmtId="0" fontId="7" fillId="2"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4" fillId="2" borderId="0"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2" fillId="14" borderId="1" xfId="0" applyNumberFormat="1" applyFont="1" applyFill="1" applyBorder="1" applyAlignment="1">
      <x:alignment vertical="center" wrapText="1"/>
    </x:xf>
    <x:xf numFmtId="0" fontId="2" fillId="14" borderId="0" xfId="0" applyNumberFormat="1" applyFont="1" applyFill="1" applyBorder="1" applyAlignment="1">
      <x:alignment vertical="center" wrapText="1"/>
    </x:xf>
    <x:xf numFmtId="0" fontId="2" fillId="13" borderId="1" xfId="0" applyNumberFormat="1" applyFont="1" applyFill="1" applyBorder="1" applyAlignment="1">
      <x:alignment vertical="center" wrapText="1"/>
    </x:xf>
    <x:xf numFmtId="0" fontId="2" fillId="13" borderId="0" xfId="0" applyNumberFormat="1" applyFont="1" applyFill="1" applyBorder="1" applyAlignment="1">
      <x:alignment vertical="center" wrapText="1"/>
    </x:xf>
    <x:xf numFmtId="166" fontId="0" fillId="0" borderId="0" xfId="0" applyNumberFormat="1" applyFont="1" applyFill="1" applyBorder="1" applyAlignment="1">
      <x:alignment vertical="top" wrapText="1"/>
    </x:xf>
    <x:xf numFmtId="44" fontId="0" fillId="0" borderId="0" xfId="0" applyNumberFormat="1" applyFont="1" applyFill="1" applyBorder="1" applyAlignment="1">
      <x:alignment vertical="top" wrapText="1"/>
    </x:xf>
    <x:xf numFmtId="44" fontId="0" fillId="8" borderId="1" xfId="0" applyNumberFormat="1" applyFont="1" applyFill="1" applyBorder="1" applyAlignment="1">
      <x:alignment vertical="top" wrapText="1"/>
    </x:xf>
    <x:xf numFmtId="44" fontId="0" fillId="8" borderId="0" xfId="0" applyNumberFormat="1" applyFont="1" applyFill="1" applyBorder="1" applyAlignment="1">
      <x:alignment vertical="top" wrapText="1"/>
    </x:xf>
    <x:xf numFmtId="44" fontId="4" fillId="2" borderId="0" xfId="0" applyNumberFormat="1" applyFont="1" applyFill="1" applyBorder="1" applyAlignment="1">
      <x:alignment vertical="top" wrapText="1"/>
    </x:xf>
    <x:xf numFmtId="44" fontId="0" fillId="0" borderId="0" xfId="0" applyNumberFormat="1" applyFont="1" applyFill="1" applyBorder="1" applyAlignment="1">
      <x:alignment wrapText="1"/>
    </x:xf>
    <x:xf numFmtId="167" fontId="0" fillId="0" borderId="0" xfId="0" applyNumberFormat="1" applyFont="1" applyFill="1" applyBorder="1" applyAlignment="1">
      <x:alignment wrapText="1"/>
    </x:xf>
    <x:xf numFmtId="164" fontId="0" fillId="0" borderId="0" xfId="0" applyNumberFormat="1" applyFont="1" applyFill="1" applyBorder="1" applyAlignment="1">
      <x:alignment vertical="top" wrapText="1"/>
    </x:xf>
    <x:xf numFmtId="0" fontId="0" fillId="16" borderId="7" xfId="0" applyNumberFormat="1" applyFont="1" applyFill="1" applyBorder="1" applyAlignment="1">
      <x:alignment wrapText="1"/>
    </x:xf>
    <x:xf numFmtId="0" fontId="0" fillId="16" borderId="8" xfId="0" applyNumberFormat="1" applyFont="1" applyFill="1" applyBorder="1" applyAlignment="1">
      <x:alignment wrapText="1"/>
    </x:xf>
    <x:xf numFmtId="0" fontId="0" fillId="16" borderId="2" xfId="0" applyNumberFormat="1" applyFont="1" applyFill="1" applyBorder="1" applyAlignment="1">
      <x:alignment wrapText="1"/>
    </x:xf>
    <x:xf numFmtId="0" fontId="0" fillId="16" borderId="0" xfId="0" applyNumberFormat="1" applyFont="1" applyFill="1" applyBorder="1" applyAlignment="1">
      <x:alignment wrapText="1"/>
    </x:xf>
    <x:xf numFmtId="164" fontId="0" fillId="7" borderId="8"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164" fontId="0" fillId="7" borderId="0" xfId="0" applyNumberFormat="1" applyFont="1" applyFill="1" applyBorder="1" applyAlignment="1">
      <x:alignment wrapText="1"/>
    </x:xf>
    <x:xf numFmtId="0" fontId="0" fillId="7" borderId="0" xfId="0" applyNumberFormat="1" applyFont="1" applyFill="1" applyBorder="1" applyAlignment="1">
      <x:alignment wrapText="1"/>
    </x:xf>
    <x:xf numFmtId="0" fontId="0" fillId="7" borderId="10" xfId="0" applyNumberFormat="1" applyFont="1" applyFill="1" applyBorder="1" applyAlignment="1">
      <x:alignment wrapText="1"/>
    </x:xf>
    <x:xf numFmtId="164" fontId="0" fillId="7" borderId="6" xfId="0" applyNumberFormat="1" applyFont="1" applyFill="1" applyBorder="1" applyAlignment="1">
      <x:alignment wrapText="1"/>
    </x:xf>
    <x:xf numFmtId="0" fontId="0" fillId="7" borderId="6" xfId="0" applyNumberFormat="1" applyFont="1" applyFill="1" applyBorder="1" applyAlignment="1">
      <x:alignment wrapText="1"/>
    </x:xf>
    <x:xf numFmtId="0" fontId="0" fillId="7" borderId="11" xfId="0" applyNumberFormat="1" applyFont="1" applyFill="1" applyBorder="1" applyAlignment="1">
      <x:alignment wrapText="1"/>
    </x:xf>
    <x:xf numFmtId="49" fontId="0" fillId="7" borderId="8" xfId="0" applyNumberFormat="1" applyFont="1" applyFill="1" applyBorder="1" applyAlignment="1">
      <x:alignment wrapText="1"/>
    </x:xf>
    <x:xf numFmtId="49" fontId="0" fillId="7" borderId="0" xfId="0" applyNumberFormat="1" applyFont="1" applyFill="1" applyBorder="1" applyAlignment="1">
      <x:alignment wrapText="1"/>
    </x:xf>
    <x:xf numFmtId="2" fontId="0" fillId="7" borderId="0" xfId="0" applyNumberFormat="1" applyFont="1" applyFill="1" applyBorder="1" applyAlignment="1">
      <x:alignment wrapText="1"/>
    </x:xf>
    <x:xf numFmtId="2" fontId="0" fillId="7" borderId="6" xfId="0" applyNumberFormat="1" applyFont="1" applyFill="1" applyBorder="1" applyAlignment="1">
      <x:alignment wrapText="1"/>
    </x:xf>
    <x:xf numFmtId="167" fontId="0" fillId="7" borderId="0" xfId="0" applyNumberFormat="1" applyFont="1" applyFill="1" applyBorder="1" applyAlignment="1">
      <x:alignment wrapText="1"/>
    </x:xf>
    <x:xf numFmtId="167" fontId="0" fillId="7" borderId="6" xfId="0" applyNumberFormat="1" applyFont="1" applyFill="1" applyBorder="1" applyAlignment="1">
      <x:alignment wrapText="1"/>
    </x:xf>
    <x:xf numFmtId="49" fontId="0" fillId="7" borderId="6" xfId="0" applyNumberFormat="1" applyFont="1" applyFill="1" applyBorder="1" applyAlignment="1">
      <x:alignment wrapText="1"/>
    </x:xf>
    <x:xf numFmtId="0" fontId="10" fillId="16" borderId="2" xfId="0" applyNumberFormat="1" applyFont="1" applyFill="1" applyBorder="1" applyAlignment="1">
      <x:alignment wrapText="1"/>
    </x:xf>
    <x:xf numFmtId="0" fontId="10" fillId="16" borderId="0" xfId="0" applyNumberFormat="1" applyFont="1" applyFill="1" applyBorder="1" applyAlignment="1">
      <x:alignment wrapText="1"/>
    </x:xf>
    <x:xf numFmtId="0" fontId="10" fillId="16" borderId="5" xfId="0" applyNumberFormat="1" applyFont="1" applyFill="1" applyBorder="1" applyAlignment="1">
      <x:alignment wrapText="1"/>
    </x:xf>
    <x:xf numFmtId="0" fontId="10" fillId="16" borderId="6" xfId="0" applyNumberFormat="1" applyFont="1" applyFill="1" applyBorder="1" applyAlignment="1">
      <x:alignment wrapText="1"/>
    </x:xf>
    <x:xf numFmtId="4" fontId="2" fillId="6" borderId="0" xfId="0" applyNumberFormat="1" applyFont="1" applyFill="1" applyBorder="1" applyAlignment="1">
      <x:alignment vertical="center" wrapText="1"/>
    </x:xf>
    <x:xf numFmtId="0" fontId="2" fillId="6" borderId="1" xfId="0" applyNumberFormat="1" applyFont="1" applyFill="1" applyBorder="1" applyAlignment="1">
      <x:alignment vertical="center" wrapText="1"/>
    </x:xf>
    <x:xf numFmtId="0" fontId="2" fillId="6" borderId="0" xfId="0" applyNumberFormat="1" applyFont="1" applyFill="1" applyBorder="1" applyAlignment="1">
      <x:alignment vertical="center" wrapText="1"/>
    </x:xf>
    <x:xf numFmtId="164" fontId="10" fillId="7" borderId="0" xfId="0" applyNumberFormat="1" applyFont="1" applyFill="1" applyBorder="1" applyAlignment="1">
      <x:alignment wrapText="1"/>
    </x:xf>
    <x:xf numFmtId="0" fontId="10" fillId="7" borderId="0" xfId="0" applyNumberFormat="1" applyFont="1" applyFill="1" applyBorder="1" applyAlignment="1">
      <x:alignment wrapText="1"/>
    </x:xf>
    <x:xf numFmtId="49" fontId="10" fillId="7" borderId="0" xfId="0" applyNumberFormat="1" applyFont="1" applyFill="1" applyBorder="1" applyAlignment="1">
      <x:alignment wrapText="1"/>
    </x:xf>
    <x:xf numFmtId="0" fontId="10" fillId="7" borderId="10" xfId="0" applyNumberFormat="1" applyFont="1" applyFill="1" applyBorder="1" applyAlignment="1">
      <x:alignment wrapText="1"/>
    </x:xf>
    <x:xf numFmtId="164" fontId="10" fillId="7" borderId="6" xfId="0" applyNumberFormat="1" applyFont="1" applyFill="1" applyBorder="1" applyAlignment="1">
      <x:alignment wrapText="1"/>
    </x:xf>
    <x:xf numFmtId="0" fontId="10" fillId="7" borderId="6" xfId="0" applyNumberFormat="1" applyFont="1" applyFill="1" applyBorder="1" applyAlignment="1">
      <x:alignment wrapText="1"/>
    </x:xf>
    <x:xf numFmtId="49" fontId="10" fillId="7" borderId="6" xfId="0" applyNumberFormat="1" applyFont="1" applyFill="1" applyBorder="1" applyAlignment="1">
      <x:alignment wrapText="1"/>
    </x:xf>
    <x:xf numFmtId="0" fontId="10" fillId="7" borderId="11" xfId="0" applyNumberFormat="1" applyFont="1" applyFill="1" applyBorder="1" applyAlignment="1">
      <x:alignment wrapText="1"/>
    </x:xf>
    <x:xf numFmtId="0" fontId="0" fillId="6" borderId="2" xfId="0" applyNumberFormat="1" applyFont="1" applyFill="1" applyBorder="1" applyAlignment="1">
      <x:alignment wrapText="1"/>
    </x:xf>
    <x:xf numFmtId="0" fontId="0" fillId="6" borderId="0" xfId="0" applyNumberFormat="1" applyFont="1" applyFill="1" applyBorder="1" applyAlignment="1">
      <x:alignment wrapText="1"/>
    </x:xf>
    <x:xf numFmtId="2" fontId="0" fillId="6" borderId="0" xfId="0" applyNumberFormat="1" applyFont="1" applyFill="1" applyBorder="1" applyAlignment="1">
      <x:alignment wrapText="1"/>
    </x:xf>
    <x:xf numFmtId="164" fontId="0" fillId="6" borderId="0"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2" fontId="0" fillId="6" borderId="6" xfId="0" applyNumberFormat="1" applyFont="1" applyFill="1" applyBorder="1" applyAlignment="1">
      <x:alignment wrapText="1"/>
    </x:xf>
    <x:xf numFmtId="164" fontId="0" fillId="6" borderId="6" xfId="0" applyNumberFormat="1" applyFont="1" applyFill="1" applyBorder="1" applyAlignment="1">
      <x:alignment wrapText="1"/>
    </x:xf>
    <x:xf numFmtId="164" fontId="11" fillId="17" borderId="0" xfId="0" applyNumberFormat="1" applyFont="1" applyFill="1" applyBorder="1" applyAlignment="1">
      <x:alignment wrapText="1"/>
    </x:xf>
    <x:xf numFmtId="164" fontId="0" fillId="18" borderId="0" xfId="0" applyNumberFormat="1" applyFont="1" applyFill="1" applyBorder="1" applyAlignment="1">
      <x:alignment wrapText="1"/>
    </x:xf>
    <x:xf numFmtId="0" fontId="2" fillId="21" borderId="0" xfId="0" applyNumberFormat="1" applyFont="1" applyFill="1" applyBorder="1"/>
    <x:xf numFmtId="0" fontId="0" fillId="22" borderId="0" xfId="0" applyNumberFormat="1" applyFont="1" applyFill="1" applyBorder="1"/>
    <x:xf numFmtId="0" fontId="0" fillId="23" borderId="0" xfId="0" applyNumberFormat="1" applyFont="1" applyFill="1" applyBorder="1"/>
    <x:xf numFmtId="0" fontId="0" fillId="24" borderId="0" xfId="0" applyNumberFormat="1" applyFont="1" applyFill="1" applyBorder="1"/>
    <x:xf numFmtId="0" fontId="2" fillId="25" borderId="0" xfId="0" applyNumberFormat="1" applyFont="1" applyFill="1" applyBorder="1"/>
    <x:xf numFmtId="0" fontId="4" fillId="26" borderId="12" xfId="0" applyNumberFormat="1" applyFont="1" applyFill="1" applyBorder="1" applyAlignment="1">
      <x:alignment vertical="top" wrapText="1"/>
    </x:xf>
    <x:xf numFmtId="0" fontId="4" fillId="26" borderId="13" xfId="0" applyNumberFormat="1" applyFont="1" applyFill="1" applyBorder="1" applyAlignment="1">
      <x:alignment vertical="top" wrapText="1"/>
    </x:xf>
    <x:xf numFmtId="0" fontId="4" fillId="26" borderId="14" xfId="0" applyNumberFormat="1" applyFont="1" applyFill="1" applyBorder="1" applyAlignment="1">
      <x:alignment vertical="top" wrapText="1"/>
    </x:xf>
    <x:xf numFmtId="0" fontId="0" fillId="0" borderId="0" xfId="0" applyNumberFormat="1" applyFont="1" applyFill="1" applyBorder="1" applyAlignment="1">
      <x:alignment vertical="top"/>
    </x:xf>
    <x:xf numFmtId="0" fontId="2" fillId="23" borderId="0" xfId="0" applyNumberFormat="1" applyFont="1" applyFill="1" applyBorder="1" applyAlignment="1">
      <x:alignment vertical="top" wrapText="1"/>
    </x:xf>
    <x:xf numFmtId="0" fontId="2" fillId="24" borderId="0" xfId="0" applyNumberFormat="1" applyFont="1" applyFill="1" applyBorder="1" applyAlignment="1">
      <x:alignment vertical="top" wrapText="1"/>
    </x:xf>
    <x:xf numFmtId="0" fontId="2" fillId="22" borderId="0" xfId="0" applyNumberFormat="1" applyFont="1" applyFill="1" applyBorder="1" applyAlignment="1">
      <x:alignment vertical="top" wrapText="1"/>
    </x:xf>
    <x:xf numFmtId="0" fontId="2" fillId="0" borderId="0" xfId="0" applyFont="1" applyBorder="1"/>
    <x:xf numFmtId="0" fontId="2" fillId="0" borderId="0" xfId="0" applyFont="1" applyBorder="1" applyAlignment="1">
      <x:alignment vertical="center"/>
    </x:xf>
    <x:xf numFmtId="0" fontId="2" fillId="5" borderId="1"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2" fillId="4"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11" xfId="0" applyNumberFormat="1" applyFont="1" applyFill="1" applyBorder="1" applyAlignment="1">
      <x:alignment vertical="center" wrapText="1"/>
    </x:xf>
    <x:xf numFmtId="0" fontId="2" fillId="21" borderId="0" xfId="0" applyNumberFormat="1" applyFont="1" applyFill="1" applyBorder="1" applyAlignment="1">
      <x:alignment horizontal="center" vertical="center"/>
    </x:xf>
    <x:xf numFmtId="0" fontId="0" fillId="23" borderId="0" xfId="0" applyNumberFormat="1" applyFont="1" applyFill="1" applyBorder="1" applyAlignment="1">
      <x:alignment vertical="center" wrapText="1"/>
    </x:xf>
    <x:xf numFmtId="0" fontId="0" fillId="0" borderId="1" xfId="0" applyNumberFormat="1" applyFont="1" applyFill="1" applyBorder="1" applyAlignment="1">
      <x:alignment vertical="center"/>
    </x:xf>
    <x:xf numFmtId="4" fontId="0" fillId="0" borderId="1" xfId="0" applyNumberFormat="1" applyFont="1" applyFill="1" applyBorder="1" applyAlignment="1">
      <x:alignment vertical="center" wrapText="1"/>
    </x:xf>
    <x:xf numFmtId="44" fontId="0" fillId="0" borderId="1" xfId="0" applyNumberFormat="1" applyFont="1" applyFill="1" applyBorder="1" applyAlignment="1">
      <x:alignment vertical="center" wrapText="1"/>
    </x:xf>
    <x:xf numFmtId="44" fontId="0" fillId="0" borderId="0" xfId="0" applyNumberFormat="1" applyFont="1" applyFill="1" applyBorder="1" applyAlignment="1">
      <x:alignment vertical="center" wrapText="1"/>
    </x:xf>
    <x:xf numFmtId="44" fontId="2" fillId="3" borderId="1" xfId="0" applyNumberFormat="1" applyFont="1" applyFill="1" applyBorder="1" applyAlignment="1">
      <x:alignment vertical="center" wrapText="1"/>
    </x:xf>
    <x:xf numFmtId="0" fontId="2" fillId="3" borderId="0" xfId="0" applyNumberFormat="1" applyFont="1" applyFill="1" applyBorder="1" applyAlignment="1">
      <x:alignment vertical="center" wrapText="1"/>
    </x:xf>
    <x:xf numFmtId="44" fontId="0" fillId="8" borderId="1" xfId="0" applyNumberFormat="1" applyFont="1" applyFill="1" applyBorder="1" applyAlignment="1">
      <x:alignment vertical="center" wrapText="1"/>
    </x:xf>
    <x:xf numFmtId="164" fontId="0" fillId="8" borderId="1" xfId="0" applyNumberFormat="1" applyFont="1" applyFill="1" applyBorder="1" applyAlignment="1">
      <x:alignment vertical="center"/>
    </x:xf>
    <x:xf numFmtId="164" fontId="2" fillId="4" borderId="1" xfId="0" applyNumberFormat="1" applyFont="1" applyFill="1" applyBorder="1" applyAlignment="1">
      <x:alignment vertical="center"/>
    </x:xf>
    <x:xf numFmtId="44" fontId="0" fillId="0" borderId="2" xfId="0" applyNumberFormat="1" applyFont="1" applyFill="1" applyBorder="1" applyAlignment="1">
      <x:alignment vertical="center" wrapText="1"/>
    </x:xf>
    <x:xf numFmtId="164" fontId="2" fillId="4" borderId="1" xfId="0" applyNumberFormat="1" applyFont="1" applyFill="1" applyBorder="1" applyAlignment="1">
      <x:alignment vertical="center" wrapText="1"/>
    </x:xf>
    <x:xf numFmtId="164" fontId="0" fillId="8" borderId="1" xfId="0" applyNumberFormat="1" applyFont="1" applyFill="1" applyBorder="1" applyAlignment="1">
      <x:alignment vertical="center" wrapText="1"/>
    </x:xf>
    <x:xf numFmtId="164" fontId="0" fillId="0" borderId="0" xfId="0" applyNumberFormat="1" applyFont="1" applyFill="1" applyBorder="1" applyAlignment="1">
      <x:alignment vertical="center" wrapText="1"/>
    </x:xf>
    <x:xf numFmtId="44" fontId="2" fillId="8" borderId="1" xfId="0" applyNumberFormat="1" applyFont="1" applyFill="1" applyBorder="1" applyAlignment="1">
      <x:alignment vertical="center" wrapText="1"/>
    </x:xf>
    <x:xf numFmtId="44" fontId="2" fillId="4" borderId="1" xfId="0" applyNumberFormat="1" applyFont="1" applyFill="1" applyBorder="1" applyAlignment="1">
      <x:alignment vertical="center" wrapText="1"/>
    </x:xf>
    <x:xf numFmtId="44" fontId="0" fillId="8" borderId="0" xfId="0" applyNumberFormat="1" applyFont="1" applyFill="1" applyBorder="1" applyAlignment="1">
      <x:alignment vertical="center" wrapText="1"/>
    </x:xf>
    <x:xf numFmtId="44" fontId="2" fillId="8" borderId="0" xfId="0" applyNumberFormat="1" applyFont="1" applyFill="1" applyBorder="1" applyAlignment="1">
      <x:alignment vertical="top" wrapText="1"/>
    </x:xf>
    <x:xf numFmtId="0" fontId="3" fillId="2" borderId="0" xfId="0" applyNumberFormat="1" applyFont="1" applyFill="1" applyBorder="1" applyAlignment="1">
      <x:alignment vertical="center" wrapText="1"/>
    </x:xf>
    <x:xf numFmtId="10" fontId="0" fillId="7" borderId="0" xfId="0" applyNumberFormat="1" applyFont="1" applyFill="1" applyBorder="1" applyAlignment="1">
      <x:alignment vertical="center" wrapText="1"/>
    </x:xf>
    <x:xf numFmtId="164" fontId="0" fillId="7" borderId="0" xfId="0" applyNumberFormat="1" applyFont="1" applyFill="1" applyBorder="1" applyAlignment="1">
      <x:alignment vertical="center" wrapText="1"/>
    </x:xf>
    <x:xf numFmtId="0" fontId="0" fillId="10" borderId="1" xfId="0" applyNumberFormat="1" applyFont="1" applyFill="1" applyBorder="1" applyAlignment="1">
      <x:alignment vertical="center" wrapText="1"/>
    </x:xf>
    <x:xf numFmtId="0" fontId="0" fillId="11"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167" fontId="0" fillId="7" borderId="0" xfId="0" applyNumberFormat="1" applyFont="1" applyFill="1" applyBorder="1" applyAlignment="1">
      <x:alignment vertical="center" wrapText="1"/>
    </x:xf>
    <x:xf numFmtId="0" fontId="5" fillId="12" borderId="0" xfId="0" applyNumberFormat="1" applyFont="1" applyFill="1" applyBorder="1" applyAlignment="1">
      <x:alignment vertical="center" wrapText="1"/>
    </x:xf>
    <x:xf numFmtId="4" fontId="5" fillId="12" borderId="0" xfId="0" applyNumberFormat="1" applyFont="1" applyFill="1" applyBorder="1" applyAlignment="1">
      <x:alignment vertical="center" wrapText="1"/>
    </x:xf>
    <x:xf numFmtId="164" fontId="5" fillId="12" borderId="0" xfId="0" applyNumberFormat="1" applyFont="1" applyFill="1" applyBorder="1" applyAlignment="1">
      <x:alignment vertical="center" wrapText="1"/>
    </x:xf>
    <x:xf numFmtId="0" fontId="5" fillId="12"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0" fillId="14" borderId="1" xfId="0" applyNumberFormat="1" applyFont="1" applyFill="1" applyBorder="1" applyAlignment="1">
      <x:alignment vertical="center" wrapText="1"/>
    </x:xf>
    <x:xf numFmtId="4" fontId="0" fillId="7" borderId="1" xfId="0" applyNumberFormat="1" applyFont="1" applyFill="1" applyBorder="1" applyAlignment="1">
      <x:alignment vertical="center" wrapText="1"/>
    </x:xf>
    <x:xf numFmtId="4" fontId="0" fillId="6" borderId="1" xfId="0" applyNumberFormat="1" applyFont="1" applyFill="1" applyBorder="1" applyAlignment="1">
      <x:alignment vertical="center" wrapText="1"/>
    </x:xf>
    <x:xf numFmtId="0" fontId="0" fillId="6" borderId="1" xfId="0" applyNumberFormat="1" applyFont="1" applyFill="1" applyBorder="1" applyAlignment="1">
      <x:alignment vertical="center" wrapText="1"/>
    </x:xf>
    <x:xf numFmtId="0" fontId="0" fillId="13" borderId="1" xfId="0" applyNumberFormat="1" applyFont="1" applyFill="1" applyBorder="1" applyAlignment="1">
      <x:alignment vertical="center" wrapText="1"/>
    </x:xf>
    <x:xf numFmtId="4" fontId="2" fillId="7" borderId="1" xfId="0" applyNumberFormat="1" applyFont="1" applyFill="1" applyBorder="1" applyAlignment="1">
      <x:alignment vertical="center" wrapText="1"/>
    </x:xf>
    <x:xf numFmtId="0" fontId="0" fillId="14" borderId="0" xfId="0" applyNumberFormat="1" applyFont="1" applyFill="1" applyBorder="1" applyAlignment="1">
      <x:alignment vertical="center" wrapText="1"/>
    </x:xf>
    <x:xf numFmtId="4" fontId="0" fillId="7" borderId="0" xfId="0" applyNumberFormat="1" applyFont="1" applyFill="1" applyBorder="1" applyAlignment="1">
      <x:alignment vertical="center" wrapText="1"/>
    </x:xf>
    <x:xf numFmtId="4" fontId="0" fillId="6" borderId="0" xfId="0" applyNumberFormat="1" applyFont="1" applyFill="1" applyBorder="1" applyAlignment="1">
      <x:alignment vertical="center" wrapText="1"/>
    </x:xf>
    <x:xf numFmtId="0" fontId="0" fillId="13" borderId="0" xfId="0" applyNumberFormat="1" applyFont="1" applyFill="1" applyBorder="1" applyAlignment="1">
      <x:alignment vertical="center" wrapText="1"/>
    </x:xf>
    <x:xf numFmtId="0" fontId="2" fillId="4" borderId="3" xfId="0" applyNumberFormat="1" applyFont="1" applyFill="1" applyBorder="1" applyAlignment="1">
      <x:alignment vertical="center" wrapText="1"/>
    </x:xf>
    <x:xf numFmtId="4" fontId="2" fillId="4" borderId="3" xfId="0" applyNumberFormat="1" applyFont="1" applyFill="1" applyBorder="1" applyAlignment="1">
      <x:alignment vertical="center" wrapText="1"/>
    </x:xf>
    <x:xf numFmtId="164" fontId="2" fillId="4" borderId="3" xfId="0" applyNumberFormat="1" applyFont="1" applyFill="1" applyBorder="1" applyAlignment="1">
      <x:alignment vertical="center" wrapText="1"/>
    </x:xf>
    <x:xf numFmtId="164" fontId="0" fillId="0" borderId="1" xfId="0" applyNumberFormat="1" applyFont="1" applyFill="1" applyBorder="1" applyAlignment="1">
      <x:alignment vertical="center" wrapText="1"/>
    </x:xf>
    <x:xf numFmtId="165" fontId="0" fillId="0" borderId="1" xfId="0" applyNumberFormat="1" applyFont="1" applyFill="1" applyBorder="1" applyAlignment="1">
      <x:alignment vertical="center" wrapText="1"/>
    </x:xf>
    <x:xf numFmtId="4" fontId="2" fillId="0" borderId="1" xfId="0" applyNumberFormat="1" applyFont="1" applyFill="1" applyBorder="1" applyAlignment="1">
      <x:alignment vertical="center" wrapText="1"/>
    </x:xf>
    <x:xf numFmtId="164" fontId="2" fillId="0" borderId="1" xfId="0" applyNumberFormat="1" applyFont="1" applyFill="1" applyBorder="1" applyAlignment="1">
      <x:alignment vertical="center" wrapText="1"/>
    </x:xf>
    <x:xf numFmtId="4" fontId="0" fillId="0" borderId="0" xfId="0" applyNumberFormat="1" applyFont="1" applyFill="1" applyBorder="1" applyAlignment="1">
      <x:alignment vertical="center" wrapText="1"/>
    </x:xf>
    <x:xf numFmtId="10" fontId="0" fillId="0" borderId="1" xfId="0" applyNumberFormat="1" applyFont="1" applyFill="1" applyBorder="1" applyAlignment="1">
      <x:alignment vertical="center" wrapText="1"/>
    </x:xf>
    <x:xf numFmtId="165" fontId="0" fillId="0" borderId="0" xfId="0" applyNumberFormat="1" applyFont="1" applyFill="1" applyBorder="1" applyAlignment="1">
      <x:alignment vertical="center" wrapText="1"/>
    </x:xf>
    <x:xf numFmtId="0" fontId="4" fillId="9" borderId="0" xfId="0" applyNumberFormat="1" applyFont="1" applyFill="1" applyBorder="1" applyAlignment="1">
      <x:alignment vertical="center" wrapText="1"/>
    </x:xf>
    <x:xf numFmtId="44" fontId="0" fillId="6" borderId="0" xfId="0" applyNumberFormat="1" applyFont="1" applyFill="1" applyBorder="1" applyAlignment="1">
      <x:alignment vertical="center" wrapText="1"/>
    </x:xf>
    <x:xf numFmtId="167" fontId="0" fillId="0" borderId="0" xfId="0" applyNumberFormat="1" applyFont="1" applyFill="1" applyBorder="1" applyAlignment="1">
      <x:alignment vertical="center" wrapText="1"/>
    </x:xf>
    <x:xf numFmtId="167" fontId="0" fillId="6" borderId="0" xfId="0" applyNumberFormat="1" applyFont="1" applyFill="1" applyBorder="1" applyAlignment="1">
      <x:alignment vertical="center" wrapText="1"/>
    </x:xf>
    <x:xf numFmtId="167" fontId="4" fillId="2" borderId="0" xfId="0" applyNumberFormat="1" applyFont="1" applyFill="1" applyBorder="1" applyAlignment="1">
      <x:alignment vertical="center" wrapText="1"/>
    </x:xf>
    <x:xf numFmtId="44" fontId="4" fillId="2" borderId="0" xfId="0" applyNumberFormat="1" applyFont="1" applyFill="1" applyBorder="1" applyAlignment="1">
      <x:alignment vertic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2" fillId="21" borderId="0" xfId="0" applyNumberFormat="1" applyFont="1" applyFill="1" applyBorder="1" applyAlignment="1">
      <x:alignment vertical="center"/>
    </x:xf>
    <x:xf numFmtId="0" fontId="0" fillId="22" borderId="0" xfId="0" applyNumberFormat="1" applyFont="1" applyFill="1" applyBorder="1" applyAlignment="1">
      <x:alignment vertical="center"/>
    </x:xf>
    <x:xf numFmtId="164" fontId="0" fillId="22" borderId="0" xfId="0" applyNumberFormat="1" applyFont="1" applyFill="1" applyBorder="1" applyAlignment="1">
      <x:alignment vertical="center"/>
    </x:xf>
    <x:xf numFmtId="0" fontId="0" fillId="24" borderId="0" xfId="0" applyNumberFormat="1" applyFont="1" applyFill="1" applyBorder="1" applyAlignment="1">
      <x:alignment vertical="center"/>
    </x:xf>
    <x:xf numFmtId="164" fontId="0" fillId="24" borderId="0" xfId="0" applyNumberFormat="1" applyFont="1" applyFill="1" applyBorder="1" applyAlignment="1">
      <x:alignment vertical="center"/>
    </x:xf>
    <x:xf numFmtId="0" fontId="0" fillId="23" borderId="0" xfId="0" applyNumberFormat="1" applyFont="1" applyFill="1" applyBorder="1" applyAlignment="1">
      <x:alignment vertical="center"/>
    </x:xf>
    <x:xf numFmtId="164" fontId="0" fillId="23" borderId="0" xfId="0" applyNumberFormat="1" applyFont="1" applyFill="1" applyBorder="1" applyAlignment="1">
      <x:alignment vertical="center"/>
    </x:xf>
    <x:xf numFmtId="0" fontId="2" fillId="25" borderId="0" xfId="0" applyNumberFormat="1" applyFont="1" applyFill="1" applyBorder="1" applyAlignment="1">
      <x:alignment vertical="center"/>
    </x:xf>
    <x:xf numFmtId="0" fontId="4" fillId="26" borderId="0" xfId="0" applyNumberFormat="1" applyFont="1" applyFill="1" applyBorder="1" applyAlignment="1">
      <x:alignment vertical="center" wrapText="1"/>
    </x:xf>
    <x:xf numFmtId="164" fontId="0" fillId="22" borderId="0" xfId="0" applyNumberFormat="1" applyFont="1" applyFill="1" applyBorder="1" applyAlignment="1">
      <x:alignment vertical="center" wrapText="1"/>
    </x:xf>
    <x:xf numFmtId="168" fontId="0" fillId="22" borderId="0" xfId="0" applyNumberFormat="1" applyFont="1" applyFill="1" applyBorder="1" applyAlignment="1">
      <x:alignment vertical="center" wrapText="1"/>
    </x:xf>
    <x:xf numFmtId="168" fontId="11" fillId="23" borderId="0" xfId="0" applyNumberFormat="1" applyFont="1" applyFill="1" applyBorder="1" applyAlignment="1">
      <x:alignment vertical="center" wrapText="1"/>
    </x:xf>
    <x:xf numFmtId="0" fontId="0" fillId="22" borderId="0" xfId="0" applyNumberFormat="1" applyFont="1" applyFill="1" applyBorder="1" applyAlignment="1">
      <x:alignment vertical="center" wrapText="1"/>
    </x:xf>
    <x:xf numFmtId="0" fontId="2" fillId="23" borderId="0" xfId="0" applyNumberFormat="1" applyFont="1" applyFill="1" applyBorder="1" applyAlignment="1">
      <x:alignment vertical="center" wrapText="1"/>
    </x:xf>
    <x:xf numFmtId="0" fontId="2" fillId="24" borderId="0" xfId="0" applyNumberFormat="1" applyFont="1" applyFill="1" applyBorder="1" applyAlignment="1">
      <x:alignment vertical="center" wrapText="1"/>
    </x:xf>
    <x:xf numFmtId="168" fontId="14" fillId="23" borderId="0" xfId="0" applyNumberFormat="1" applyFont="1" applyFill="1" applyBorder="1" applyAlignment="1">
      <x:alignment vertical="center" wrapText="1"/>
    </x:xf>
    <x:xf numFmtId="0" fontId="2" fillId="22" borderId="0" xfId="0" applyNumberFormat="1" applyFont="1" applyFill="1" applyBorder="1" applyAlignment="1">
      <x:alignment vertical="center" wrapText="1"/>
    </x:xf>
    <x:xf numFmtId="164" fontId="2" fillId="6" borderId="1" xfId="0" applyNumberFormat="1" applyFont="1" applyFill="1" applyBorder="1" applyAlignment="1">
      <x:alignment horizontal="center" vertical="center" wrapText="1"/>
    </x:xf>
    <x:xf numFmtId="10" fontId="0" fillId="7" borderId="0" xfId="0" applyNumberFormat="1" applyFont="1" applyFill="1" applyBorder="1" applyAlignment="1">
      <x:alignment vertical="center" wrapText="1"/>
    </x:xf>
    <x:xf numFmtId="10" fontId="0" fillId="7" borderId="1" xfId="0" applyNumberFormat="1" applyFont="1" applyFill="1" applyBorder="1" applyAlignment="1">
      <x:alignment vertical="center" wrapText="1"/>
    </x:xf>
    <x:xf numFmtId="1" fontId="0" fillId="7" borderId="0" xfId="0" applyNumberFormat="1" applyFont="1" applyFill="1" applyBorder="1" applyAlignment="1">
      <x:alignment vertical="center" wrapText="1"/>
    </x:xf>
    <x:xf numFmtId="0" fontId="4" fillId="19" borderId="0" xfId="0" applyNumberFormat="1" applyFont="1" applyFill="1" applyBorder="1" applyAlignment="1">
      <x:alignment vertical="center"/>
    </x:xf>
    <x:xf numFmtId="0" fontId="2" fillId="3"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2" fillId="3" borderId="7" xfId="0" applyNumberFormat="1" applyFont="1" applyFill="1" applyBorder="1" applyAlignment="1">
      <x:alignment vertical="center" wrapText="1"/>
    </x:xf>
    <x:xf numFmtId="0" fontId="2" fillId="3" borderId="8" xfId="0" applyNumberFormat="1" applyFont="1" applyFill="1" applyBorder="1" applyAlignment="1">
      <x:alignment vertical="center" wrapText="1"/>
    </x:xf>
    <x:xf numFmtId="0" fontId="2" fillId="3" borderId="9"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164" fontId="0" fillId="0" borderId="2"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4" fillId="19" borderId="0" xfId="0" applyNumberFormat="1" applyFont="1" applyFill="1" applyBorder="1"/>
    <x:xf numFmtId="0" fontId="7" fillId="2" borderId="2"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11" borderId="2" xfId="0" applyNumberFormat="1" applyFont="1" applyFill="1" applyBorder="1" applyAlignment="1">
      <x:alignment vertical="center" wrapText="1"/>
    </x:xf>
    <x:xf numFmtId="44" fontId="0" fillId="0" borderId="2" xfId="0" applyNumberFormat="1" applyFont="1" applyFill="1" applyBorder="1" applyAlignment="1">
      <x:alignment vertical="top" wrapText="1"/>
    </x:xf>
    <x:xf numFmtId="44" fontId="0" fillId="0" borderId="2" xfId="0" applyNumberFormat="1" applyFont="1" applyFill="1" applyBorder="1" applyAlignment="1">
      <x:alignment vertical="top"/>
    </x:xf>
    <x:xf numFmtId="0" fontId="0" fillId="0" borderId="0" xfId="0" applyNumberFormat="1" applyFont="1" applyFill="1" applyBorder="1" applyAlignment="1"/>
    <x:xf numFmtId="44" fontId="0" fillId="0" borderId="2" xfId="0" applyNumberFormat="1" applyFont="1" applyFill="1" applyBorder="1" applyAlignment="1">
      <x:alignment vertical="center"/>
    </x:xf>
    <x:xf numFmtId="0" fontId="0" fillId="0" borderId="0" xfId="0" applyNumberFormat="1" applyFont="1" applyFill="1" applyBorder="1" applyAlignment="1">
      <x:alignment vertical="center"/>
    </x:xf>
    <x:xf numFmtId="44" fontId="2" fillId="3" borderId="2" xfId="0" applyNumberFormat="1" applyFont="1" applyFill="1" applyBorder="1" applyAlignment="1">
      <x:alignment vertical="top" wrapText="1"/>
    </x:xf>
    <x:xf numFmtId="0" fontId="4" fillId="2" borderId="2" xfId="0" applyNumberFormat="1" applyFont="1" applyFill="1" applyBorder="1" applyAlignment="1">
      <x:alignment vertical="center" wrapText="1"/>
    </x:xf>
    <x:xf numFmtId="0" fontId="0" fillId="0" borderId="2" xfId="0" applyNumberFormat="1" applyFont="1" applyFill="1" applyBorder="1" applyAlignment="1">
      <x:alignment vertical="center" wrapText="1"/>
    </x:xf>
    <x:xf numFmtId="10" fontId="0" fillId="7" borderId="0"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2" fillId="7" borderId="5" xfId="0" applyNumberFormat="1" applyFont="1" applyFill="1" applyBorder="1" applyAlignment="1">
      <x:alignment vertical="center" wrapText="1"/>
    </x:xf>
    <x:xf numFmtId="0" fontId="2" fillId="7" borderId="6" xfId="0" applyNumberFormat="1" applyFont="1" applyFill="1" applyBorder="1" applyAlignment="1">
      <x:alignment vertical="center" wrapText="1"/>
    </x:xf>
    <x:xf numFmtId="0" fontId="5" fillId="12"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5" fillId="12" borderId="4" xfId="0" applyNumberFormat="1" applyFont="1" applyFill="1" applyBorder="1" applyAlignment="1">
      <x:alignment vertical="center" wrapText="1"/>
    </x:xf>
    <x:xf numFmtId="0" fontId="0" fillId="3" borderId="0" xfId="0" applyNumberFormat="1" applyFont="1" applyFill="1" applyBorder="1" applyAlignment="1">
      <x:alignment wrapText="1"/>
    </x:xf>
    <x:xf numFmtId="0" fontId="9" fillId="3" borderId="0" xfId="0" applyNumberFormat="1" applyFont="1" applyFill="1" applyBorder="1" applyAlignment="1">
      <x:alignment wrapText="1"/>
    </x:xf>
    <x:xf numFmtId="0" fontId="5" fillId="2" borderId="0" xfId="0" applyNumberFormat="1" applyFont="1" applyFill="1" applyBorder="1" applyAlignment="1">
      <x:alignment vertical="center" wrapText="1"/>
    </x:xf>
    <x:xf numFmtId="44" fontId="4" fillId="2"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2" fillId="7" borderId="0" xfId="0" applyNumberFormat="1" applyFont="1" applyFill="1" applyBorder="1" applyAlignment="1">
      <x:alignment vertical="center" wrapText="1"/>
    </x:xf>
    <x:xf numFmtId="0" fontId="5" fillId="2"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5" fillId="19" borderId="0" xfId="0" applyNumberFormat="1" applyFont="1" applyFill="1" applyBorder="1" applyAlignment="1">
      <x:alignment vertical="center"/>
    </x:xf>
    <x:xf numFmtId="0" fontId="12" fillId="20" borderId="0" xfId="0" applyNumberFormat="1" applyFont="1" applyFill="1" applyBorder="1" applyAlignment="1">
      <x:alignment vertical="center" wrapText="1"/>
    </x:xf>
    <x:xf numFmtId="0" fontId="2" fillId="20" borderId="0" xfId="0" applyNumberFormat="1" applyFont="1" applyFill="1" applyBorder="1" applyAlignment="1">
      <x:alignment vertical="center" wrapText="1"/>
    </x:xf>
    <x:xf numFmtId="0" fontId="0" fillId="21" borderId="0" xfId="0" applyNumberFormat="1" applyFont="1" applyFill="1" applyBorder="1" applyAlignment="1">
      <x:alignment vertical="center" wrapText="1"/>
    </x:xf>
    <x:xf numFmtId="0" fontId="13" fillId="22" borderId="0" xfId="0" applyNumberFormat="1" applyFont="1" applyFill="1" applyBorder="1" applyAlignment="1">
      <x:alignment vertical="center"/>
    </x:xf>
    <x:xf numFmtId="0" fontId="15" fillId="27" borderId="0" xfId="0" applyNumberFormat="1" applyFont="1" applyFill="1" applyBorder="1" applyAlignment="1">
      <x:alignment vertical="center" wrapText="1"/>
    </x:xf>
    <x:xf numFmtId="0" fontId="0" fillId="0" borderId="15" xfId="0" applyNumberFormat="1" applyFont="1" applyFill="1" applyBorder="1"/>
    <x:xf numFmtId="0" fontId="8" fillId="0" borderId="15" xfId="0" applyNumberFormat="1" applyFont="1" applyFill="1" applyBorder="1" applyAlignment="1">
      <x:alignment vertical="center"/>
    </x:xf>
    <x:xf numFmtId="0" fontId="0" fillId="0" borderId="15" xfId="0" applyNumberFormat="1" applyFont="1" applyFill="1" applyBorder="1" applyAlignment="1">
      <x:alignment vertical="center"/>
    </x:xf>
    <x:xf numFmtId="44" fontId="0" fillId="0" borderId="15" xfId="0" applyNumberFormat="1" applyFont="1" applyFill="1" applyBorder="1"/>
    <x:xf numFmtId="44" fontId="2" fillId="8" borderId="16" xfId="0" applyNumberFormat="1" applyFont="1" applyFill="1" applyBorder="1" applyAlignment="1">
      <x:alignment vertical="top" wrapText="1"/>
    </x:xf>
    <x:xf numFmtId="44" fontId="2" fillId="4" borderId="16"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2" fillId="8" borderId="16" xfId="0" applyNumberFormat="1" applyFont="1" applyFill="1" applyBorder="1" applyAlignment="1">
      <x:alignment vertical="top" wrapText="1"/>
    </x:xf>
    <x:xf numFmtId="0" fontId="2" fillId="3" borderId="16" xfId="0" applyNumberFormat="1" applyFont="1" applyFill="1" applyBorder="1" applyAlignment="1">
      <x:alignment vertical="top" wrapText="1"/>
    </x:xf>
    <x:xf numFmtId="0" fontId="2" fillId="4" borderId="15" xfId="0" applyNumberFormat="1" applyFont="1" applyFill="1" applyBorder="1" applyAlignment="1">
      <x:alignment vertical="top" wrapText="1"/>
    </x:xf>
    <x:xf numFmtId="0" fontId="4" fillId="2" borderId="15" xfId="0" applyNumberFormat="1" applyFont="1" applyFill="1" applyBorder="1" applyAlignment="1">
      <x:alignment vertical="top" wrapText="1"/>
    </x:xf>
    <x:xf numFmtId="0" fontId="4" fillId="2" borderId="15" xfId="0" applyNumberFormat="1" applyFont="1" applyFill="1" applyBorder="1" applyAlignment="1">
      <x:alignment vertical="center" wrapText="1"/>
    </x:xf>
    <x:xf numFmtId="0" fontId="4" fillId="2" borderId="16" xfId="0" applyNumberFormat="1" applyFont="1" applyFill="1" applyBorder="1" applyAlignment="1">
      <x:alignment vertical="center" wrapText="1"/>
    </x:xf>
    <x:xf numFmtId="4" fontId="4" fillId="2" borderId="16" xfId="0" applyNumberFormat="1" applyFont="1" applyFill="1" applyBorder="1" applyAlignment="1">
      <x:alignment vertical="center" wrapText="1"/>
    </x:xf>
    <x:xf numFmtId="164" fontId="4" fillId="2" borderId="16" xfId="0" applyNumberFormat="1" applyFont="1" applyFill="1" applyBorder="1" applyAlignment="1">
      <x:alignment vertical="center" wrapText="1"/>
    </x:xf>
    <x:xf numFmtId="0" fontId="3" fillId="2" borderId="15" xfId="0" applyNumberFormat="1" applyFont="1" applyFill="1" applyBorder="1" applyAlignment="1">
      <x:alignment vertical="top" wrapText="1"/>
    </x:xf>
    <x:xf numFmtId="4" fontId="2" fillId="7" borderId="15" xfId="0" applyNumberFormat="1" applyFont="1" applyFill="1" applyBorder="1" applyAlignment="1">
      <x:alignment vertical="center" wrapText="1"/>
    </x:xf>
    <x:xf numFmtId="4" fontId="2" fillId="6" borderId="16" xfId="0" applyNumberFormat="1" applyFont="1" applyFill="1" applyBorder="1" applyAlignment="1">
      <x:alignment vertical="center" wrapText="1"/>
    </x:xf>
    <x:xf numFmtId="0" fontId="4" fillId="15" borderId="15" xfId="0" applyNumberFormat="1" applyFont="1" applyFill="1" applyBorder="1" applyAlignment="1">
      <x:alignment horizontal="center" vertical="center" wrapText="1"/>
    </x:xf>
    <x:xf numFmtId="0" fontId="2" fillId="0" borderId="16" xfId="0" applyNumberFormat="1" applyFont="1" applyFill="1" applyBorder="1" applyAlignment="1">
      <x:alignment vertical="center" wrapText="1"/>
    </x:xf>
    <x:xf numFmtId="0" fontId="2" fillId="0" borderId="15" xfId="0" applyNumberFormat="1" applyFont="1" applyFill="1" applyBorder="1" applyAlignment="1">
      <x:alignment vertical="center" wrapText="1"/>
    </x:xf>
    <x:xf numFmtId="4" fontId="2" fillId="0" borderId="15" xfId="0" applyNumberFormat="1" applyFont="1" applyFill="1" applyBorder="1" applyAlignment="1">
      <x:alignment vertical="center" wrapText="1"/>
    </x:xf>
    <x:xf numFmtId="164" fontId="2" fillId="0" borderId="15" xfId="0" applyNumberFormat="1" applyFont="1" applyFill="1" applyBorder="1" applyAlignment="1">
      <x:alignment vertical="center" wrapText="1"/>
    </x:xf>
    <x:xf numFmtId="165" fontId="2" fillId="0" borderId="16" xfId="0" applyNumberFormat="1" applyFont="1" applyFill="1" applyBorder="1" applyAlignment="1">
      <x:alignment vertical="center" wrapText="1"/>
    </x:xf>
    <x:xf numFmtId="0" fontId="2" fillId="0" borderId="15"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vertical="top" wrapText="1"/>
    </x:xf>
    <x:xf numFmtId="0" fontId="7" fillId="2" borderId="15" xfId="0" applyNumberFormat="1" applyFont="1" applyFill="1" applyBorder="1" applyAlignment="1">
      <x:alignment vertical="center" wrapText="1"/>
    </x:xf>
    <x:xf numFmtId="0" fontId="4" fillId="2" borderId="15" xfId="0" applyNumberFormat="1" applyFont="1" applyFill="1" applyBorder="1" applyAlignment="1">
      <x:alignment horizontal="center" vertical="center" wrapText="1"/>
    </x:xf>
    <x:xf numFmtId="0" fontId="2" fillId="3" borderId="16" xfId="0" applyNumberFormat="1" applyFont="1" applyFill="1" applyBorder="1" applyAlignment="1">
      <x:alignment vertical="center" wrapText="1"/>
    </x:xf>
    <x:xf numFmtId="0" fontId="2" fillId="14" borderId="16" xfId="0" applyNumberFormat="1" applyFont="1" applyFill="1" applyBorder="1" applyAlignment="1">
      <x:alignment vertical="center" wrapText="1"/>
    </x:xf>
    <x:xf numFmtId="0" fontId="2" fillId="14" borderId="15" xfId="0" applyNumberFormat="1" applyFont="1" applyFill="1" applyBorder="1" applyAlignment="1">
      <x:alignment vertical="center" wrapText="1"/>
    </x:xf>
    <x:xf numFmtId="0" fontId="2" fillId="13" borderId="16" xfId="0" applyNumberFormat="1" applyFont="1" applyFill="1" applyBorder="1" applyAlignment="1">
      <x:alignment vertical="center" wrapText="1"/>
    </x:xf>
    <x:xf numFmtId="0" fontId="2" fillId="13" borderId="15" xfId="0" applyNumberFormat="1" applyFont="1" applyFill="1" applyBorder="1" applyAlignment="1">
      <x:alignment vertical="center" wrapText="1"/>
    </x:xf>
    <x:xf numFmtId="166" fontId="0" fillId="0" borderId="15" xfId="0" applyNumberFormat="1" applyFont="1" applyFill="1" applyBorder="1" applyAlignment="1">
      <x:alignment vertical="top" wrapText="1"/>
    </x:xf>
    <x:xf numFmtId="44" fontId="0" fillId="0" borderId="15" xfId="0" applyNumberFormat="1" applyFont="1" applyFill="1" applyBorder="1" applyAlignment="1">
      <x:alignment vertical="top" wrapText="1"/>
    </x:xf>
    <x:xf numFmtId="44" fontId="0" fillId="8" borderId="16" xfId="0" applyNumberFormat="1" applyFont="1" applyFill="1" applyBorder="1" applyAlignment="1">
      <x:alignment vertical="top" wrapText="1"/>
    </x:xf>
    <x:xf numFmtId="44" fontId="0" fillId="8" borderId="15" xfId="0" applyNumberFormat="1" applyFont="1" applyFill="1" applyBorder="1" applyAlignment="1">
      <x:alignment vertical="top" wrapText="1"/>
    </x:xf>
    <x:xf numFmtId="44" fontId="4" fillId="2" borderId="15" xfId="0" applyNumberFormat="1" applyFont="1" applyFill="1" applyBorder="1" applyAlignment="1">
      <x:alignment vertical="top" wrapText="1"/>
    </x:xf>
    <x:xf numFmtId="44" fontId="0" fillId="0" borderId="15" xfId="0" applyNumberFormat="1" applyFont="1" applyFill="1" applyBorder="1" applyAlignment="1">
      <x:alignment wrapText="1"/>
    </x:xf>
    <x:xf numFmtId="167" fontId="0" fillId="0" borderId="15" xfId="0" applyNumberFormat="1" applyFont="1" applyFill="1" applyBorder="1" applyAlignment="1">
      <x:alignment wrapText="1"/>
    </x:xf>
    <x:xf numFmtId="164" fontId="0" fillId="0" borderId="15" xfId="0" applyNumberFormat="1" applyFont="1" applyFill="1" applyBorder="1" applyAlignment="1">
      <x:alignment vertical="top" wrapText="1"/>
    </x:xf>
    <x:xf numFmtId="0" fontId="0" fillId="16" borderId="17" xfId="0" applyNumberFormat="1" applyFont="1" applyFill="1" applyBorder="1" applyAlignment="1">
      <x:alignment wrapText="1"/>
    </x:xf>
    <x:xf numFmtId="0" fontId="0" fillId="16" borderId="18" xfId="0" applyNumberFormat="1" applyFont="1" applyFill="1" applyBorder="1" applyAlignment="1">
      <x:alignment wrapText="1"/>
    </x:xf>
    <x:xf numFmtId="0" fontId="0" fillId="16" borderId="19" xfId="0" applyNumberFormat="1" applyFont="1" applyFill="1" applyBorder="1" applyAlignment="1">
      <x:alignment wrapText="1"/>
    </x:xf>
    <x:xf numFmtId="0" fontId="0" fillId="16" borderId="15" xfId="0" applyNumberFormat="1" applyFont="1" applyFill="1" applyBorder="1" applyAlignment="1">
      <x:alignment wrapText="1"/>
    </x:xf>
    <x:xf numFmtId="164" fontId="0" fillId="7" borderId="18" xfId="0" applyNumberFormat="1" applyFont="1" applyFill="1" applyBorder="1" applyAlignment="1">
      <x:alignment wrapText="1"/>
    </x:xf>
    <x:xf numFmtId="0" fontId="0" fillId="7" borderId="18" xfId="0" applyNumberFormat="1" applyFont="1" applyFill="1" applyBorder="1" applyAlignment="1">
      <x:alignment wrapText="1"/>
    </x:xf>
    <x:xf numFmtId="0" fontId="0" fillId="7" borderId="20" xfId="0" applyNumberFormat="1" applyFont="1" applyFill="1" applyBorder="1" applyAlignment="1">
      <x:alignment wrapText="1"/>
    </x:xf>
    <x:xf numFmtId="164" fontId="0" fillId="7" borderId="15" xfId="0" applyNumberFormat="1" applyFont="1" applyFill="1" applyBorder="1" applyAlignment="1">
      <x:alignment wrapText="1"/>
    </x:xf>
    <x:xf numFmtId="0" fontId="0" fillId="7" borderId="15" xfId="0" applyNumberFormat="1" applyFont="1" applyFill="1" applyBorder="1" applyAlignment="1">
      <x:alignment wrapText="1"/>
    </x:xf>
    <x:xf numFmtId="0" fontId="0" fillId="7" borderId="21" xfId="0" applyNumberFormat="1" applyFont="1" applyFill="1" applyBorder="1" applyAlignment="1">
      <x:alignment wrapText="1"/>
    </x:xf>
    <x:xf numFmtId="164" fontId="0" fillId="7" borderId="22" xfId="0" applyNumberFormat="1" applyFont="1" applyFill="1" applyBorder="1" applyAlignment="1">
      <x:alignment wrapText="1"/>
    </x:xf>
    <x:xf numFmtId="0" fontId="0" fillId="7" borderId="22" xfId="0" applyNumberFormat="1" applyFont="1" applyFill="1" applyBorder="1" applyAlignment="1">
      <x:alignment wrapText="1"/>
    </x:xf>
    <x:xf numFmtId="0" fontId="0" fillId="7" borderId="23" xfId="0" applyNumberFormat="1" applyFont="1" applyFill="1" applyBorder="1" applyAlignment="1">
      <x:alignment wrapText="1"/>
    </x:xf>
    <x:xf numFmtId="49" fontId="0" fillId="7" borderId="18" xfId="0" applyNumberFormat="1" applyFont="1" applyFill="1" applyBorder="1" applyAlignment="1">
      <x:alignment wrapText="1"/>
    </x:xf>
    <x:xf numFmtId="49" fontId="0" fillId="7" borderId="15" xfId="0" applyNumberFormat="1" applyFont="1" applyFill="1" applyBorder="1" applyAlignment="1">
      <x:alignment wrapText="1"/>
    </x:xf>
    <x:xf numFmtId="2" fontId="0" fillId="7" borderId="15" xfId="0" applyNumberFormat="1" applyFont="1" applyFill="1" applyBorder="1" applyAlignment="1">
      <x:alignment wrapText="1"/>
    </x:xf>
    <x:xf numFmtId="2" fontId="0" fillId="7" borderId="22" xfId="0" applyNumberFormat="1" applyFont="1" applyFill="1" applyBorder="1" applyAlignment="1">
      <x:alignment wrapText="1"/>
    </x:xf>
    <x:xf numFmtId="167" fontId="0" fillId="7" borderId="15" xfId="0" applyNumberFormat="1" applyFont="1" applyFill="1" applyBorder="1" applyAlignment="1">
      <x:alignment wrapText="1"/>
    </x:xf>
    <x:xf numFmtId="167" fontId="0" fillId="7" borderId="22" xfId="0" applyNumberFormat="1" applyFont="1" applyFill="1" applyBorder="1" applyAlignment="1">
      <x:alignment wrapText="1"/>
    </x:xf>
    <x:xf numFmtId="49" fontId="0" fillId="7" borderId="22" xfId="0" applyNumberFormat="1" applyFont="1" applyFill="1" applyBorder="1" applyAlignment="1">
      <x:alignment wrapText="1"/>
    </x:xf>
    <x:xf numFmtId="0" fontId="10" fillId="16" borderId="19"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24" xfId="0" applyNumberFormat="1" applyFont="1" applyFill="1" applyBorder="1" applyAlignment="1">
      <x:alignment wrapText="1"/>
    </x:xf>
    <x:xf numFmtId="0" fontId="10" fillId="16" borderId="22" xfId="0" applyNumberFormat="1" applyFont="1" applyFill="1" applyBorder="1" applyAlignment="1">
      <x:alignment wrapText="1"/>
    </x:xf>
    <x:xf numFmtId="4" fontId="2" fillId="6" borderId="15" xfId="0" applyNumberFormat="1" applyFont="1" applyFill="1" applyBorder="1" applyAlignment="1">
      <x:alignment vertical="center" wrapText="1"/>
    </x:xf>
    <x:xf numFmtId="0" fontId="2" fillId="6" borderId="16" xfId="0" applyNumberFormat="1" applyFont="1" applyFill="1" applyBorder="1" applyAlignment="1">
      <x:alignment vertical="center" wrapText="1"/>
    </x:xf>
    <x:xf numFmtId="0" fontId="2" fillId="6" borderId="15" xfId="0" applyNumberFormat="1" applyFont="1" applyFill="1" applyBorder="1" applyAlignment="1">
      <x:alignment vertical="center" wrapText="1"/>
    </x:xf>
    <x:xf numFmtId="164" fontId="10" fillId="7" borderId="15" xfId="0" applyNumberFormat="1" applyFont="1" applyFill="1" applyBorder="1" applyAlignment="1">
      <x:alignment wrapText="1"/>
    </x:xf>
    <x:xf numFmtId="0" fontId="10" fillId="7" borderId="15" xfId="0" applyNumberFormat="1" applyFont="1" applyFill="1" applyBorder="1" applyAlignment="1">
      <x:alignment wrapText="1"/>
    </x:xf>
    <x:xf numFmtId="49" fontId="10" fillId="7" borderId="15" xfId="0" applyNumberFormat="1" applyFont="1" applyFill="1" applyBorder="1" applyAlignment="1">
      <x:alignment wrapText="1"/>
    </x:xf>
    <x:xf numFmtId="0" fontId="10" fillId="7" borderId="21" xfId="0" applyNumberFormat="1" applyFont="1" applyFill="1" applyBorder="1" applyAlignment="1">
      <x:alignment wrapText="1"/>
    </x:xf>
    <x:xf numFmtId="164" fontId="10" fillId="7" borderId="22" xfId="0" applyNumberFormat="1" applyFont="1" applyFill="1" applyBorder="1" applyAlignment="1">
      <x:alignment wrapText="1"/>
    </x:xf>
    <x:xf numFmtId="0" fontId="10" fillId="7" borderId="22" xfId="0" applyNumberFormat="1" applyFont="1" applyFill="1" applyBorder="1" applyAlignment="1">
      <x:alignment wrapText="1"/>
    </x:xf>
    <x:xf numFmtId="49" fontId="10" fillId="7" borderId="22" xfId="0" applyNumberFormat="1" applyFont="1" applyFill="1" applyBorder="1" applyAlignment="1">
      <x:alignment wrapText="1"/>
    </x:xf>
    <x:xf numFmtId="0" fontId="10" fillId="7" borderId="23" xfId="0" applyNumberFormat="1" applyFont="1" applyFill="1" applyBorder="1" applyAlignment="1">
      <x:alignment wrapText="1"/>
    </x:xf>
    <x:xf numFmtId="0" fontId="0" fillId="6" borderId="19" xfId="0" applyNumberFormat="1" applyFont="1" applyFill="1" applyBorder="1" applyAlignment="1">
      <x:alignment wrapText="1"/>
    </x:xf>
    <x:xf numFmtId="0" fontId="0" fillId="6" borderId="15" xfId="0" applyNumberFormat="1" applyFont="1" applyFill="1" applyBorder="1" applyAlignment="1">
      <x:alignment wrapText="1"/>
    </x:xf>
    <x:xf numFmtId="2" fontId="0" fillId="6" borderId="15" xfId="0" applyNumberFormat="1" applyFont="1" applyFill="1" applyBorder="1" applyAlignment="1">
      <x:alignment wrapText="1"/>
    </x:xf>
    <x:xf numFmtId="164" fontId="0" fillId="6" borderId="15" xfId="0" applyNumberFormat="1" applyFont="1" applyFill="1" applyBorder="1" applyAlignment="1">
      <x:alignment wrapText="1"/>
    </x:xf>
    <x:xf numFmtId="0" fontId="0" fillId="6" borderId="24" xfId="0" applyNumberFormat="1" applyFont="1" applyFill="1" applyBorder="1" applyAlignment="1">
      <x:alignment wrapText="1"/>
    </x:xf>
    <x:xf numFmtId="0" fontId="0" fillId="6" borderId="22" xfId="0" applyNumberFormat="1" applyFont="1" applyFill="1" applyBorder="1" applyAlignment="1">
      <x:alignment wrapText="1"/>
    </x:xf>
    <x:xf numFmtId="2" fontId="0" fillId="6" borderId="22" xfId="0" applyNumberFormat="1" applyFont="1" applyFill="1" applyBorder="1" applyAlignment="1">
      <x:alignment wrapText="1"/>
    </x:xf>
    <x:xf numFmtId="164" fontId="0" fillId="6" borderId="22" xfId="0" applyNumberFormat="1" applyFont="1" applyFill="1" applyBorder="1" applyAlignment="1">
      <x:alignment wrapText="1"/>
    </x:xf>
    <x:xf numFmtId="164" fontId="11" fillId="7" borderId="15" xfId="0" applyNumberFormat="1" applyFont="1" applyFill="1" applyBorder="1" applyAlignment="1">
      <x:alignment wrapText="1"/>
    </x:xf>
    <x:xf numFmtId="0" fontId="2" fillId="3" borderId="15" xfId="0" applyNumberFormat="1" applyFont="1" applyFill="1" applyBorder="1"/>
    <x:xf numFmtId="0" fontId="0" fillId="6" borderId="15" xfId="0" applyNumberFormat="1" applyFont="1" applyFill="1" applyBorder="1"/>
    <x:xf numFmtId="0" fontId="0" fillId="7" borderId="15" xfId="0" applyNumberFormat="1" applyFont="1" applyFill="1" applyBorder="1"/>
    <x:xf numFmtId="0" fontId="0" fillId="24" borderId="15" xfId="0" applyNumberFormat="1" applyFont="1" applyFill="1" applyBorder="1"/>
    <x:xf numFmtId="0" fontId="2" fillId="5" borderId="15" xfId="0" applyNumberFormat="1" applyFont="1" applyFill="1" applyBorder="1"/>
    <x:xf numFmtId="0" fontId="4" fillId="9" borderId="25" xfId="0" applyNumberFormat="1" applyFont="1" applyFill="1" applyBorder="1" applyAlignment="1">
      <x:alignment vertical="top" wrapText="1"/>
    </x:xf>
    <x:xf numFmtId="0" fontId="4" fillId="9" borderId="26" xfId="0" applyNumberFormat="1" applyFont="1" applyFill="1" applyBorder="1" applyAlignment="1">
      <x:alignment vertical="top" wrapText="1"/>
    </x:xf>
    <x:xf numFmtId="0" fontId="4" fillId="9" borderId="27" xfId="0" applyNumberFormat="1" applyFont="1" applyFill="1" applyBorder="1" applyAlignment="1">
      <x:alignment vertical="top" wrapText="1"/>
    </x:xf>
    <x:xf numFmtId="0" fontId="0" fillId="0" borderId="15" xfId="0" applyNumberFormat="1" applyFont="1" applyFill="1" applyBorder="1" applyAlignment="1">
      <x:alignment vertical="top"/>
    </x:xf>
    <x:xf numFmtId="0" fontId="2" fillId="7" borderId="15" xfId="0" applyNumberFormat="1" applyFont="1" applyFill="1" applyBorder="1" applyAlignment="1">
      <x:alignment vertical="top" wrapText="1"/>
    </x:xf>
    <x:xf numFmtId="0" fontId="2" fillId="24" borderId="15" xfId="0" applyNumberFormat="1" applyFont="1" applyFill="1" applyBorder="1" applyAlignment="1">
      <x:alignment vertical="top" wrapText="1"/>
    </x:xf>
    <x:xf numFmtId="0" fontId="2" fillId="6" borderId="15" xfId="0" applyNumberFormat="1" applyFont="1" applyFill="1" applyBorder="1" applyAlignment="1">
      <x:alignment vertical="top" wrapText="1"/>
    </x:xf>
    <x:xf numFmtId="0" fontId="2" fillId="0" borderId="15" xfId="0" applyNumberFormat="1" applyFont="1" applyFill="1" applyBorder="1"/>
    <x:xf numFmtId="0" fontId="2" fillId="0" borderId="15" xfId="0" applyNumberFormat="1" applyFont="1" applyFill="1" applyBorder="1" applyAlignment="1">
      <x:alignment vertical="center"/>
    </x:xf>
    <x:xf numFmtId="0" fontId="2" fillId="5" borderId="16" xfId="0" applyNumberFormat="1" applyFont="1" applyFill="1" applyBorder="1" applyAlignment="1">
      <x:alignment vertical="center" wrapText="1"/>
    </x:xf>
    <x:xf numFmtId="0" fontId="2" fillId="5" borderId="15" xfId="0" applyNumberFormat="1" applyFont="1" applyFill="1" applyBorder="1" applyAlignment="1">
      <x:alignment vertical="center" wrapText="1"/>
    </x:xf>
    <x:xf numFmtId="0" fontId="0" fillId="0" borderId="15" xfId="0" applyNumberFormat="1" applyFont="1" applyFill="1" applyBorder="1" applyAlignment="1">
      <x:alignment vertical="center" wrapText="1"/>
    </x:xf>
    <x:xf numFmtId="0" fontId="0" fillId="0" borderId="16" xfId="0" applyNumberFormat="1" applyFont="1" applyFill="1" applyBorder="1" applyAlignment="1">
      <x:alignment vertical="center" wrapText="1"/>
    </x:xf>
    <x:xf numFmtId="0" fontId="2" fillId="4" borderId="16" xfId="0" applyNumberFormat="1" applyFont="1" applyFill="1" applyBorder="1" applyAlignment="1">
      <x:alignment vertical="center" wrapText="1"/>
    </x:xf>
    <x:xf numFmtId="0" fontId="2" fillId="4" borderId="15" xfId="0" applyNumberFormat="1" applyFont="1" applyFill="1" applyBorder="1" applyAlignment="1">
      <x:alignment vertical="center" wrapText="1"/>
    </x:xf>
    <x:xf numFmtId="0" fontId="0" fillId="7" borderId="16" xfId="0" applyNumberFormat="1" applyFont="1" applyFill="1" applyBorder="1" applyAlignment="1">
      <x:alignment vertical="center" wrapText="1"/>
    </x:xf>
    <x:xf numFmtId="0" fontId="0" fillId="0" borderId="19" xfId="0" applyNumberFormat="1" applyFont="1" applyFill="1" applyBorder="1" applyAlignment="1">
      <x:alignment vertical="center" wrapText="1"/>
    </x:xf>
    <x:xf numFmtId="0" fontId="0" fillId="0" borderId="21" xfId="0" applyNumberFormat="1" applyFont="1" applyFill="1" applyBorder="1" applyAlignment="1">
      <x:alignment vertical="center" wrapText="1"/>
    </x:xf>
    <x:xf numFmtId="0" fontId="0" fillId="0" borderId="24" xfId="0" applyNumberFormat="1" applyFont="1" applyFill="1" applyBorder="1" applyAlignment="1">
      <x:alignment vertical="center" wrapText="1"/>
    </x:xf>
    <x:xf numFmtId="0" fontId="0" fillId="0" borderId="22" xfId="0" applyNumberFormat="1" applyFont="1" applyFill="1" applyBorder="1" applyAlignment="1">
      <x:alignment vertical="center" wrapText="1"/>
    </x:xf>
    <x:xf numFmtId="0" fontId="0" fillId="0" borderId="23" xfId="0" applyNumberFormat="1" applyFont="1" applyFill="1" applyBorder="1" applyAlignment="1">
      <x:alignment vertical="center" wrapText="1"/>
    </x:xf>
    <x:xf numFmtId="0" fontId="2" fillId="3" borderId="15" xfId="0" applyNumberFormat="1" applyFont="1" applyFill="1" applyBorder="1" applyAlignment="1">
      <x:alignment horizontal="center" vertical="center"/>
    </x:xf>
    <x:xf numFmtId="0" fontId="0" fillId="7" borderId="15" xfId="0" applyNumberFormat="1" applyFont="1" applyFill="1" applyBorder="1" applyAlignment="1">
      <x:alignment vertical="center" wrapText="1"/>
    </x:xf>
    <x:xf numFmtId="0" fontId="0" fillId="0" borderId="16" xfId="0" applyNumberFormat="1" applyFont="1" applyFill="1" applyBorder="1" applyAlignment="1">
      <x:alignment vertical="center"/>
    </x:xf>
    <x:xf numFmtId="4" fontId="0" fillId="0" borderId="16" xfId="0" applyNumberFormat="1" applyFont="1" applyFill="1" applyBorder="1" applyAlignment="1">
      <x:alignment vertical="center" wrapText="1"/>
    </x:xf>
    <x:xf numFmtId="44" fontId="0" fillId="0" borderId="16" xfId="0" applyNumberFormat="1" applyFont="1" applyFill="1" applyBorder="1" applyAlignment="1">
      <x:alignment vertical="center" wrapText="1"/>
    </x:xf>
    <x:xf numFmtId="44" fontId="0" fillId="0" borderId="15" xfId="0" applyNumberFormat="1" applyFont="1" applyFill="1" applyBorder="1" applyAlignment="1">
      <x:alignment vertical="center" wrapText="1"/>
    </x:xf>
    <x:xf numFmtId="44" fontId="2" fillId="3" borderId="16" xfId="0" applyNumberFormat="1" applyFont="1" applyFill="1" applyBorder="1" applyAlignment="1">
      <x:alignment vertical="center" wrapText="1"/>
    </x:xf>
    <x:xf numFmtId="0" fontId="2" fillId="3" borderId="15" xfId="0" applyNumberFormat="1" applyFont="1" applyFill="1" applyBorder="1" applyAlignment="1">
      <x:alignment vertical="center" wrapText="1"/>
    </x:xf>
    <x:xf numFmtId="44" fontId="0" fillId="8" borderId="16" xfId="0" applyNumberFormat="1" applyFont="1" applyFill="1" applyBorder="1" applyAlignment="1">
      <x:alignment vertical="center" wrapText="1"/>
    </x:xf>
    <x:xf numFmtId="164" fontId="0" fillId="8" borderId="16" xfId="0" applyNumberFormat="1" applyFont="1" applyFill="1" applyBorder="1" applyAlignment="1">
      <x:alignment vertical="center"/>
    </x:xf>
    <x:xf numFmtId="164" fontId="2" fillId="4" borderId="16" xfId="0" applyNumberFormat="1" applyFont="1" applyFill="1" applyBorder="1" applyAlignment="1">
      <x:alignment vertical="center"/>
    </x:xf>
    <x:xf numFmtId="44" fontId="0" fillId="0" borderId="19" xfId="0" applyNumberFormat="1" applyFont="1" applyFill="1" applyBorder="1" applyAlignment="1">
      <x:alignment vertical="center" wrapText="1"/>
    </x:xf>
    <x:xf numFmtId="164" fontId="2" fillId="4" borderId="16" xfId="0" applyNumberFormat="1" applyFont="1" applyFill="1" applyBorder="1" applyAlignment="1">
      <x:alignment vertical="center" wrapText="1"/>
    </x:xf>
    <x:xf numFmtId="164" fontId="0" fillId="8" borderId="16" xfId="0" applyNumberFormat="1" applyFont="1" applyFill="1" applyBorder="1" applyAlignment="1">
      <x:alignment vertical="center" wrapText="1"/>
    </x:xf>
    <x:xf numFmtId="164" fontId="0" fillId="0" borderId="15" xfId="0" applyNumberFormat="1" applyFont="1" applyFill="1" applyBorder="1" applyAlignment="1">
      <x:alignment vertical="center" wrapText="1"/>
    </x:xf>
    <x:xf numFmtId="44" fontId="2" fillId="8" borderId="16" xfId="0" applyNumberFormat="1" applyFont="1" applyFill="1" applyBorder="1" applyAlignment="1">
      <x:alignment vertical="center" wrapText="1"/>
    </x:xf>
    <x:xf numFmtId="44" fontId="2" fillId="4" borderId="16" xfId="0" applyNumberFormat="1" applyFont="1" applyFill="1" applyBorder="1" applyAlignment="1">
      <x:alignment vertical="center" wrapText="1"/>
    </x:xf>
    <x:xf numFmtId="44" fontId="0" fillId="8" borderId="15" xfId="0" applyNumberFormat="1" applyFont="1" applyFill="1" applyBorder="1" applyAlignment="1">
      <x:alignment vertical="center" wrapText="1"/>
    </x:xf>
    <x:xf numFmtId="44" fontId="2" fillId="8" borderId="15" xfId="0" applyNumberFormat="1" applyFont="1" applyFill="1" applyBorder="1" applyAlignment="1">
      <x:alignment vertical="top" wrapText="1"/>
    </x:xf>
    <x:xf numFmtId="0" fontId="3" fillId="2" borderId="15" xfId="0" applyNumberFormat="1" applyFont="1" applyFill="1" applyBorder="1" applyAlignment="1">
      <x:alignment vertical="center" wrapText="1"/>
    </x:xf>
    <x:xf numFmtId="10" fontId="0" fillId="7" borderId="15" xfId="0" applyNumberFormat="1" applyFont="1" applyFill="1" applyBorder="1" applyAlignment="1">
      <x:alignment vertical="center" wrapText="1"/>
    </x:xf>
    <x:xf numFmtId="164" fontId="0" fillId="7" borderId="15" xfId="0" applyNumberFormat="1" applyFont="1" applyFill="1" applyBorder="1" applyAlignment="1">
      <x:alignment vertical="center" wrapText="1"/>
    </x:xf>
    <x:xf numFmtId="0" fontId="0" fillId="10" borderId="16" xfId="0" applyNumberFormat="1" applyFont="1" applyFill="1" applyBorder="1" applyAlignment="1">
      <x:alignment vertical="center" wrapText="1"/>
    </x:xf>
    <x:xf numFmtId="0" fontId="0" fillId="11" borderId="16" xfId="0" applyNumberFormat="1" applyFont="1" applyFill="1" applyBorder="1" applyAlignment="1">
      <x:alignment vertical="center" wrapText="1"/>
    </x:xf>
    <x:xf numFmtId="167" fontId="0" fillId="7" borderId="15"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4" fontId="5" fillId="12" borderId="15" xfId="0" applyNumberFormat="1" applyFont="1" applyFill="1" applyBorder="1" applyAlignment="1">
      <x:alignment vertical="center" wrapText="1"/>
    </x:xf>
    <x:xf numFmtId="164" fontId="5" fillId="12" borderId="15" xfId="0" applyNumberFormat="1" applyFont="1" applyFill="1" applyBorder="1" applyAlignment="1">
      <x:alignment vertical="center" wrapText="1"/>
    </x:xf>
    <x:xf numFmtId="0" fontId="5" fillId="12" borderId="16" xfId="0" applyNumberFormat="1" applyFont="1" applyFill="1" applyBorder="1" applyAlignment="1">
      <x:alignment vertical="center" wrapText="1"/>
    </x:xf>
    <x:xf numFmtId="0" fontId="0" fillId="6" borderId="15" xfId="0" applyNumberFormat="1" applyFont="1" applyFill="1" applyBorder="1" applyAlignment="1">
      <x:alignment vertical="center" wrapText="1"/>
    </x:xf>
    <x:xf numFmtId="0" fontId="0" fillId="14" borderId="16" xfId="0" applyNumberFormat="1" applyFont="1" applyFill="1" applyBorder="1" applyAlignment="1">
      <x:alignment vertical="center" wrapText="1"/>
    </x:xf>
    <x:xf numFmtId="4" fontId="0" fillId="7" borderId="16" xfId="0" applyNumberFormat="1" applyFont="1" applyFill="1" applyBorder="1" applyAlignment="1">
      <x:alignment vertical="center" wrapText="1"/>
    </x:xf>
    <x:xf numFmtId="4" fontId="0" fillId="6" borderId="16" xfId="0" applyNumberFormat="1" applyFont="1" applyFill="1" applyBorder="1" applyAlignment="1">
      <x:alignment vertical="center" wrapText="1"/>
    </x:xf>
    <x:xf numFmtId="0" fontId="0" fillId="6" borderId="16" xfId="0" applyNumberFormat="1" applyFont="1" applyFill="1" applyBorder="1" applyAlignment="1">
      <x:alignment vertical="center" wrapText="1"/>
    </x:xf>
    <x:xf numFmtId="0" fontId="0" fillId="13" borderId="16" xfId="0" applyNumberFormat="1" applyFont="1" applyFill="1" applyBorder="1" applyAlignment="1">
      <x:alignment vertical="center" wrapText="1"/>
    </x:xf>
    <x:xf numFmtId="4" fontId="2" fillId="7" borderId="16" xfId="0" applyNumberFormat="1" applyFont="1" applyFill="1" applyBorder="1" applyAlignment="1">
      <x:alignment vertical="center" wrapText="1"/>
    </x:xf>
    <x:xf numFmtId="0" fontId="0" fillId="14" borderId="15" xfId="0" applyNumberFormat="1" applyFont="1" applyFill="1" applyBorder="1" applyAlignment="1">
      <x:alignment vertical="center" wrapText="1"/>
    </x:xf>
    <x:xf numFmtId="4" fontId="0" fillId="7" borderId="15" xfId="0" applyNumberFormat="1" applyFont="1" applyFill="1" applyBorder="1" applyAlignment="1">
      <x:alignment vertical="center" wrapText="1"/>
    </x:xf>
    <x:xf numFmtId="4" fontId="0" fillId="6" borderId="15" xfId="0" applyNumberFormat="1" applyFont="1" applyFill="1" applyBorder="1" applyAlignment="1">
      <x:alignment vertical="center" wrapText="1"/>
    </x:xf>
    <x:xf numFmtId="0" fontId="0" fillId="13" borderId="15" xfId="0" applyNumberFormat="1" applyFont="1" applyFill="1" applyBorder="1" applyAlignment="1">
      <x:alignment vertical="center" wrapText="1"/>
    </x:xf>
    <x:xf numFmtId="0" fontId="2" fillId="4" borderId="28" xfId="0" applyNumberFormat="1" applyFont="1" applyFill="1" applyBorder="1" applyAlignment="1">
      <x:alignment vertical="center" wrapText="1"/>
    </x:xf>
    <x:xf numFmtId="4" fontId="2" fillId="4" borderId="28" xfId="0" applyNumberFormat="1" applyFont="1" applyFill="1" applyBorder="1" applyAlignment="1">
      <x:alignment vertical="center" wrapText="1"/>
    </x:xf>
    <x:xf numFmtId="164" fontId="2" fillId="4" borderId="28" xfId="0" applyNumberFormat="1" applyFont="1" applyFill="1" applyBorder="1" applyAlignment="1">
      <x:alignment vertical="center" wrapText="1"/>
    </x:xf>
    <x:xf numFmtId="164" fontId="0" fillId="0" borderId="16" xfId="0" applyNumberFormat="1" applyFont="1" applyFill="1" applyBorder="1" applyAlignment="1">
      <x:alignment vertical="center" wrapText="1"/>
    </x:xf>
    <x:xf numFmtId="165" fontId="0" fillId="0" borderId="16" xfId="0" applyNumberFormat="1" applyFont="1" applyFill="1" applyBorder="1" applyAlignment="1">
      <x:alignment vertical="center" wrapText="1"/>
    </x:xf>
    <x:xf numFmtId="4" fontId="2" fillId="0" borderId="16" xfId="0" applyNumberFormat="1" applyFont="1" applyFill="1" applyBorder="1" applyAlignment="1">
      <x:alignment vertical="center" wrapText="1"/>
    </x:xf>
    <x:xf numFmtId="164" fontId="2" fillId="0" borderId="16" xfId="0" applyNumberFormat="1" applyFont="1" applyFill="1" applyBorder="1" applyAlignment="1">
      <x:alignment vertical="center" wrapText="1"/>
    </x:xf>
    <x:xf numFmtId="4" fontId="0" fillId="0" borderId="15" xfId="0" applyNumberFormat="1" applyFont="1" applyFill="1" applyBorder="1" applyAlignment="1">
      <x:alignment vertical="center" wrapText="1"/>
    </x:xf>
    <x:xf numFmtId="10" fontId="0" fillId="0" borderId="16" xfId="0" applyNumberFormat="1" applyFont="1" applyFill="1" applyBorder="1" applyAlignment="1">
      <x:alignment vertical="center" wrapText="1"/>
    </x:xf>
    <x:xf numFmtId="165" fontId="0" fillId="0" borderId="15" xfId="0" applyNumberFormat="1" applyFont="1" applyFill="1" applyBorder="1" applyAlignment="1">
      <x:alignment vertical="center" wrapText="1"/>
    </x:xf>
    <x:xf numFmtId="0" fontId="4" fillId="9" borderId="15" xfId="0" applyNumberFormat="1" applyFont="1" applyFill="1" applyBorder="1" applyAlignment="1">
      <x:alignment vertical="center" wrapText="1"/>
    </x:xf>
    <x:xf numFmtId="44" fontId="0" fillId="6" borderId="15" xfId="0" applyNumberFormat="1" applyFont="1" applyFill="1" applyBorder="1" applyAlignment="1">
      <x:alignment vertical="center" wrapText="1"/>
    </x:xf>
    <x:xf numFmtId="167" fontId="0" fillId="0" borderId="15" xfId="0" applyNumberFormat="1" applyFont="1" applyFill="1" applyBorder="1" applyAlignment="1">
      <x:alignment vertical="center" wrapText="1"/>
    </x:xf>
    <x:xf numFmtId="167" fontId="0" fillId="6" borderId="15" xfId="0" applyNumberFormat="1" applyFont="1" applyFill="1" applyBorder="1" applyAlignment="1">
      <x:alignment vertical="center" wrapText="1"/>
    </x:xf>
    <x:xf numFmtId="167" fontId="4" fillId="2" borderId="15" xfId="0" applyNumberFormat="1" applyFont="1" applyFill="1" applyBorder="1" applyAlignment="1">
      <x:alignment vertical="center" wrapText="1"/>
    </x:xf>
    <x:xf numFmtId="44" fontId="4" fillId="2" borderId="15" xfId="0" applyNumberFormat="1" applyFont="1" applyFill="1" applyBorder="1" applyAlignment="1">
      <x:alignment vertical="center" wrapText="1"/>
    </x:xf>
    <x:xf numFmtId="0" fontId="4" fillId="2" borderId="17" xfId="0" applyNumberFormat="1" applyFont="1" applyFill="1" applyBorder="1" applyAlignment="1">
      <x:alignment horizontal="center" vertical="center" wrapText="1"/>
    </x:xf>
    <x:xf numFmtId="0" fontId="4" fillId="2" borderId="18" xfId="0" applyNumberFormat="1" applyFont="1" applyFill="1" applyBorder="1" applyAlignment="1">
      <x:alignment horizontal="center" vertical="center" wrapText="1"/>
    </x:xf>
    <x:xf numFmtId="0" fontId="4" fillId="2" borderId="20" xfId="0" applyNumberFormat="1" applyFont="1" applyFill="1" applyBorder="1" applyAlignment="1">
      <x:alignment horizontal="center" vertical="center" wrapText="1"/>
    </x:xf>
    <x:xf numFmtId="0" fontId="2" fillId="3" borderId="15" xfId="0" applyNumberFormat="1" applyFont="1" applyFill="1" applyBorder="1" applyAlignment="1">
      <x:alignment vertical="center"/>
    </x:xf>
    <x:xf numFmtId="0" fontId="0" fillId="6" borderId="15" xfId="0" applyNumberFormat="1" applyFont="1" applyFill="1" applyBorder="1" applyAlignment="1">
      <x:alignment vertical="center"/>
    </x:xf>
    <x:xf numFmtId="164" fontId="0" fillId="6" borderId="15" xfId="0" applyNumberFormat="1" applyFont="1" applyFill="1" applyBorder="1" applyAlignment="1">
      <x:alignment vertical="center"/>
    </x:xf>
    <x:xf numFmtId="0" fontId="0" fillId="24" borderId="15" xfId="0" applyNumberFormat="1" applyFont="1" applyFill="1" applyBorder="1" applyAlignment="1">
      <x:alignment vertical="center"/>
    </x:xf>
    <x:xf numFmtId="164" fontId="0" fillId="24" borderId="15" xfId="0" applyNumberFormat="1" applyFont="1" applyFill="1" applyBorder="1" applyAlignment="1">
      <x:alignment vertical="center"/>
    </x:xf>
    <x:xf numFmtId="0" fontId="0" fillId="7" borderId="15" xfId="0" applyNumberFormat="1" applyFont="1" applyFill="1" applyBorder="1" applyAlignment="1">
      <x:alignment vertical="center"/>
    </x:xf>
    <x:xf numFmtId="164" fontId="0" fillId="7" borderId="15" xfId="0" applyNumberFormat="1" applyFont="1" applyFill="1" applyBorder="1" applyAlignment="1">
      <x:alignment vertical="center"/>
    </x:xf>
    <x:xf numFmtId="0" fontId="2" fillId="5" borderId="15" xfId="0" applyNumberFormat="1" applyFont="1" applyFill="1" applyBorder="1" applyAlignment="1">
      <x:alignment vertical="center"/>
    </x:xf>
    <x:xf numFmtId="164" fontId="0" fillId="6" borderId="15" xfId="0" applyNumberFormat="1" applyFont="1" applyFill="1" applyBorder="1" applyAlignment="1">
      <x:alignment vertical="center" wrapText="1"/>
    </x:xf>
    <x:xf numFmtId="168" fontId="0" fillId="6" borderId="15" xfId="0" applyNumberFormat="1" applyFont="1" applyFill="1" applyBorder="1" applyAlignment="1">
      <x:alignment vertical="center" wrapText="1"/>
    </x:xf>
    <x:xf numFmtId="168" fontId="11" fillId="7" borderId="15" xfId="0" applyNumberFormat="1" applyFont="1" applyFill="1" applyBorder="1" applyAlignment="1">
      <x:alignment vertical="center" wrapText="1"/>
    </x:xf>
    <x:xf numFmtId="0" fontId="2" fillId="7" borderId="15" xfId="0" applyNumberFormat="1" applyFont="1" applyFill="1" applyBorder="1" applyAlignment="1">
      <x:alignment vertical="center" wrapText="1"/>
    </x:xf>
    <x:xf numFmtId="0" fontId="2" fillId="24" borderId="15" xfId="0" applyNumberFormat="1" applyFont="1" applyFill="1" applyBorder="1" applyAlignment="1">
      <x:alignment vertical="center" wrapText="1"/>
    </x:xf>
    <x:xf numFmtId="168" fontId="14" fillId="7" borderId="15" xfId="0" applyNumberFormat="1" applyFont="1" applyFill="1" applyBorder="1" applyAlignment="1">
      <x:alignment vertical="center" wrapText="1"/>
    </x:xf>
    <x:xf numFmtId="164" fontId="2" fillId="6" borderId="16" xfId="0" applyNumberFormat="1" applyFont="1" applyFill="1" applyBorder="1" applyAlignment="1">
      <x:alignment horizontal="center" vertical="center" wrapText="1"/>
    </x:xf>
    <x:xf numFmtId="10" fontId="0" fillId="7" borderId="16" xfId="0" applyNumberFormat="1" applyFont="1" applyFill="1" applyBorder="1" applyAlignment="1">
      <x:alignment vertical="center" wrapText="1"/>
    </x:xf>
    <x:xf numFmtId="1" fontId="0" fillId="7" borderId="15" xfId="0" applyNumberFormat="1" applyFont="1" applyFill="1" applyBorder="1" applyAlignment="1">
      <x:alignment vertical="center" wrapText="1"/>
    </x:xf>
    <x:xf numFmtId="0" fontId="4" fillId="2" borderId="15" xfId="0" applyNumberFormat="1" applyFont="1" applyFill="1" applyBorder="1" applyAlignment="1">
      <x:alignment vertical="center"/>
    </x:xf>
    <x:xf numFmtId="0" fontId="5" fillId="2" borderId="16" xfId="0" applyNumberFormat="1" applyFont="1" applyFill="1" applyBorder="1" applyAlignment="1">
      <x:alignment vertical="center" wrapText="1"/>
    </x:xf>
    <x:xf numFmtId="0" fontId="1" fillId="2" borderId="15" xfId="0" applyNumberFormat="1" applyFont="1" applyFill="1" applyBorder="1" applyAlignment="1">
      <x:alignment vertical="center" wrapText="1"/>
    </x:xf>
    <x:xf numFmtId="0" fontId="2" fillId="3" borderId="17" xfId="0" applyNumberFormat="1" applyFont="1" applyFill="1" applyBorder="1" applyAlignment="1">
      <x:alignment vertical="center" wrapText="1"/>
    </x:xf>
    <x:xf numFmtId="0" fontId="2" fillId="3" borderId="18" xfId="0" applyNumberFormat="1" applyFont="1" applyFill="1" applyBorder="1" applyAlignment="1">
      <x:alignment vertical="center" wrapText="1"/>
    </x:xf>
    <x:xf numFmtId="0" fontId="2" fillId="3" borderId="20" xfId="0" applyNumberFormat="1" applyFont="1" applyFill="1" applyBorder="1" applyAlignment="1">
      <x:alignment vertical="center" wrapText="1"/>
    </x:xf>
    <x:xf numFmtId="164" fontId="0" fillId="0" borderId="19" xfId="0" applyNumberFormat="1" applyFont="1" applyFill="1" applyBorder="1" applyAlignment="1">
      <x:alignment vertical="center" wrapText="1"/>
    </x:xf>
    <x:xf numFmtId="0" fontId="4" fillId="2" borderId="15" xfId="0" applyNumberFormat="1" applyFont="1" applyFill="1" applyBorder="1"/>
    <x:xf numFmtId="0" fontId="7" fillId="2" borderId="19" xfId="0" applyNumberFormat="1" applyFont="1" applyFill="1" applyBorder="1" applyAlignment="1">
      <x:alignment vertical="center" wrapText="1"/>
    </x:xf>
    <x:xf numFmtId="0" fontId="2" fillId="11" borderId="19" xfId="0" applyNumberFormat="1" applyFont="1" applyFill="1" applyBorder="1" applyAlignment="1">
      <x:alignment vertical="center" wrapText="1"/>
    </x:xf>
    <x:xf numFmtId="44" fontId="0" fillId="0" borderId="19" xfId="0" applyNumberFormat="1" applyFont="1" applyFill="1" applyBorder="1" applyAlignment="1">
      <x:alignment vertical="top" wrapText="1"/>
    </x:xf>
    <x:xf numFmtId="44" fontId="0" fillId="0" borderId="19" xfId="0" applyNumberFormat="1" applyFont="1" applyFill="1" applyBorder="1" applyAlignment="1">
      <x:alignment vertical="top"/>
    </x:xf>
    <x:xf numFmtId="44" fontId="0" fillId="0" borderId="19" xfId="0" applyNumberFormat="1" applyFont="1" applyFill="1" applyBorder="1" applyAlignment="1">
      <x:alignment vertical="center"/>
    </x:xf>
    <x:xf numFmtId="44" fontId="2" fillId="3" borderId="19" xfId="0" applyNumberFormat="1" applyFont="1" applyFill="1" applyBorder="1" applyAlignment="1">
      <x:alignment vertical="top" wrapText="1"/>
    </x:xf>
    <x:xf numFmtId="0" fontId="4" fillId="2" borderId="19" xfId="0" applyNumberFormat="1" applyFont="1" applyFill="1" applyBorder="1" applyAlignment="1">
      <x:alignment vertical="center" wrapText="1"/>
    </x:xf>
    <x:xf numFmtId="0" fontId="2" fillId="7" borderId="24" xfId="0" applyNumberFormat="1" applyFont="1" applyFill="1" applyBorder="1" applyAlignment="1">
      <x:alignment vertical="center" wrapText="1"/>
    </x:xf>
    <x:xf numFmtId="0" fontId="2" fillId="7" borderId="22" xfId="0" applyNumberFormat="1" applyFont="1" applyFill="1" applyBorder="1" applyAlignment="1">
      <x:alignment vertical="center" wrapText="1"/>
    </x:xf>
    <x:xf numFmtId="0" fontId="5" fillId="12" borderId="24" xfId="0" applyNumberFormat="1" applyFont="1" applyFill="1" applyBorder="1" applyAlignment="1">
      <x:alignment vertical="center" wrapText="1"/>
    </x:xf>
    <x:xf numFmtId="0" fontId="0" fillId="3" borderId="15" xfId="0" applyNumberFormat="1" applyFont="1" applyFill="1" applyBorder="1" applyAlignment="1">
      <x:alignment wrapText="1"/>
    </x:xf>
    <x:xf numFmtId="0" fontId="9" fillId="3" borderId="15" xfId="0" applyNumberFormat="1" applyFont="1" applyFill="1" applyBorder="1" applyAlignment="1">
      <x:alignment wrapText="1"/>
    </x:xf>
    <x:xf numFmtId="0" fontId="5" fillId="2" borderId="15" xfId="0" applyNumberFormat="1" applyFont="1" applyFill="1" applyBorder="1" applyAlignment="1">
      <x:alignment vertical="center" wrapText="1"/>
    </x:xf>
    <x:xf numFmtId="0" fontId="5" fillId="2" borderId="15" xfId="0" applyNumberFormat="1" applyFont="1" applyFill="1" applyBorder="1" applyAlignment="1">
      <x:alignment wrapText="1"/>
    </x:xf>
    <x:xf numFmtId="0" fontId="5" fillId="2" borderId="15" xfId="0" applyNumberFormat="1" applyFont="1" applyFill="1" applyBorder="1" applyAlignment="1">
      <x:alignment vertical="center"/>
    </x:xf>
    <x:xf numFmtId="0" fontId="12" fillId="11" borderId="15" xfId="0" applyNumberFormat="1" applyFont="1" applyFill="1" applyBorder="1" applyAlignment="1">
      <x:alignment vertical="center" wrapText="1"/>
    </x:xf>
    <x:xf numFmtId="0" fontId="2" fillId="11" borderId="15" xfId="0" applyNumberFormat="1" applyFont="1" applyFill="1" applyBorder="1" applyAlignment="1">
      <x:alignment vertical="center" wrapText="1"/>
    </x:xf>
    <x:xf numFmtId="0" fontId="0" fillId="3" borderId="15" xfId="0" applyNumberFormat="1" applyFont="1" applyFill="1" applyBorder="1" applyAlignment="1">
      <x:alignment vertical="center" wrapText="1"/>
    </x:xf>
    <x:xf numFmtId="0" fontId="13" fillId="6" borderId="15" xfId="0" applyNumberFormat="1" applyFont="1" applyFill="1" applyBorder="1" applyAlignment="1">
      <x:alignment vertical="center"/>
    </x:xf>
    <x:xf numFmtId="0" fontId="15" fillId="6" borderId="15" xfId="0" applyNumberFormat="1" applyFont="1" applyFill="1" applyBorder="1" applyAlignment="1">
      <x:alignment vertical="center" wrapText="1"/>
    </x:xf>
    <x:xf numFmtId="0" fontId="0" fillId="28" borderId="0" xfId="0" applyNumberFormat="1" applyFont="1" applyFill="1" applyBorder="1"/>
    <x:xf numFmtId="0" fontId="5" fillId="28" borderId="0" xfId="0" applyNumberFormat="1" applyFont="1" applyFill="1" applyBorder="1"/>
    <x:xf numFmtId="0" fontId="5" fillId="28" borderId="0" xfId="0" applyNumberFormat="1" applyFont="1" applyFill="1" applyBorder="1" applyAlignment="1">
      <x:alignment vertical="center"/>
    </x:xf>
    <x:xf numFmtId="0" fontId="0" fillId="28" borderId="15" xfId="0" applyNumberFormat="1" applyFont="1" applyFill="1" applyBorder="1"/>
    <x:xf numFmtId="0" fontId="5" fillId="28" borderId="15" xfId="0" applyNumberFormat="1" applyFont="1" applyFill="1" applyBorder="1"/>
    <x:xf numFmtId="0" fontId="5" fillId="28" borderId="15" xfId="0" applyNumberFormat="1" applyFont="1" applyFill="1" applyBorder="1" applyAlignment="1">
      <x:alignment vertical="center"/>
    </x:xf>
    <x:xf numFmtId="0" fontId="0" fillId="29" borderId="0" xfId="0" applyNumberFormat="1" applyFont="1" applyFill="1" applyBorder="1"/>
    <x:xf numFmtId="0" fontId="16" fillId="29" borderId="0" xfId="0" applyNumberFormat="1" applyFont="1" applyFill="1" applyBorder="1"/>
    <x:xf numFmtId="0" fontId="16" fillId="29" borderId="0" xfId="0" applyNumberFormat="1" applyFont="1" applyFill="1" applyBorder="1" applyAlignment="1">
      <x:alignment wrapText="1"/>
    </x:xf>
    <x:xf numFmtId="0" fontId="0" fillId="29" borderId="15" xfId="0" applyNumberFormat="1" applyFont="1" applyFill="1" applyBorder="1"/>
    <x:xf numFmtId="0" fontId="16" fillId="29" borderId="15" xfId="0" applyNumberFormat="1" applyFont="1" applyFill="1" applyBorder="1"/>
    <x:xf numFmtId="0" fontId="16" fillId="29" borderId="15" xfId="0" applyNumberFormat="1" applyFont="1" applyFill="1" applyBorder="1" applyAlignment="1">
      <x:alignment wrapText="1"/>
    </x:xf>
    <x:xf numFmtId="0" fontId="4" fillId="28" borderId="0" xfId="0" applyNumberFormat="1" applyFont="1" applyFill="1" applyBorder="1"/>
    <x:xf numFmtId="0" fontId="4" fillId="28" borderId="15" xfId="0" applyNumberFormat="1" applyFont="1" applyFill="1" applyBorder="1"/>
    <x:xf numFmtId="0" fontId="0" fillId="30" borderId="0" xfId="0" applyNumberFormat="1" applyFont="1" applyFill="1" applyBorder="1"/>
    <x:xf numFmtId="0" fontId="0" fillId="30" borderId="15" xfId="0" applyNumberFormat="1" applyFont="1" applyFill="1" applyBorder="1"/>
    <x:xf numFmtId="200" fontId="0" fillId="0" borderId="0" xfId="0" applyNumberFormat="1" applyFont="1" applyFill="1" applyBorder="1"/>
    <x:xf numFmtId="200" fontId="0" fillId="30" borderId="0" xfId="0" applyNumberFormat="1" applyFont="1" applyFill="1" applyBorder="1"/>
    <x:xf numFmtId="200" fontId="0" fillId="0" borderId="15" xfId="0" applyNumberFormat="1" applyFont="1" applyFill="1" applyBorder="1"/>
    <x:xf numFmtId="200" fontId="0" fillId="30" borderId="15" xfId="0" applyNumberFormat="1" applyFont="1" applyFill="1" applyBorder="1"/>
    <x:xf numFmtId="201" fontId="0" fillId="30" borderId="0" xfId="0" applyNumberFormat="1" applyFont="1" applyFill="1" applyBorder="1"/>
    <x:xf numFmtId="201" fontId="0" fillId="30" borderId="15" xfId="0" applyNumberFormat="1" applyFont="1" applyFill="1" applyBorder="1"/>
    <x:xf numFmtId="201" fontId="0" fillId="0" borderId="0" xfId="0" applyNumberFormat="1" applyFont="1" applyFill="1" applyBorder="1"/>
    <x:xf numFmtId="201" fontId="0" fillId="0" borderId="15" xfId="0" applyNumberFormat="1" applyFont="1" applyFill="1" applyBorder="1"/>
    <x:xf numFmtId="202" fontId="0" fillId="0" borderId="0" xfId="0" applyNumberFormat="1" applyFont="1" applyFill="1" applyBorder="1"/>
    <x:xf numFmtId="202" fontId="0" fillId="30" borderId="0" xfId="0" applyNumberFormat="1" applyFont="1" applyFill="1" applyBorder="1"/>
    <x:xf numFmtId="202" fontId="0" fillId="0" borderId="15" xfId="0" applyNumberFormat="1" applyFont="1" applyFill="1" applyBorder="1"/>
    <x:xf numFmtId="202" fontId="0" fillId="30" borderId="15" xfId="0" applyNumberFormat="1" applyFont="1" applyFill="1" applyBorder="1"/>
    <x:xf numFmtId="203" fontId="0" fillId="0" borderId="0" xfId="0" applyNumberFormat="1" applyFont="1" applyFill="1" applyBorder="1"/>
    <x:xf numFmtId="203" fontId="0" fillId="30" borderId="0" xfId="0" applyNumberFormat="1" applyFont="1" applyFill="1" applyBorder="1"/>
    <x:xf numFmtId="203" fontId="0" fillId="0" borderId="15" xfId="0" applyNumberFormat="1" applyFont="1" applyFill="1" applyBorder="1"/>
    <x:xf numFmtId="203" fontId="0" fillId="30" borderId="15" xfId="0" applyNumberFormat="1" applyFont="1" applyFill="1" applyBorder="1"/>
    <x:xf numFmtId="0" fontId="0" fillId="0" borderId="0" xfId="0" applyNumberFormat="1" applyFont="1" applyFill="1" applyBorder="1"/>
    <x:xf numFmtId="204" fontId="0" fillId="0" borderId="0" xfId="0" applyNumberFormat="1" applyFont="1" applyFill="1" applyBorder="1"/>
    <x:xf numFmtId="204" fontId="0" fillId="0" borderId="15" xfId="0" applyNumberFormat="1" applyFont="1" applyFill="1" applyBorder="1"/>
    <x:xf numFmtId="205" fontId="0" fillId="30" borderId="0" xfId="0" applyNumberFormat="1" applyFont="1" applyFill="1" applyBorder="1"/>
    <x:xf numFmtId="205" fontId="0" fillId="30" borderId="15" xfId="0" applyNumberFormat="1" applyFont="1" applyFill="1" applyBorder="1"/>
    <x:xf numFmtId="0" fontId="0" fillId="31" borderId="0" xfId="0" applyNumberFormat="1" applyFont="1" applyFill="1" applyBorder="1"/>
    <x:xf numFmtId="0" fontId="2" fillId="31" borderId="0" xfId="0" applyNumberFormat="1" applyFont="1" applyFill="1" applyBorder="1"/>
    <x:xf numFmtId="0" fontId="0" fillId="31" borderId="15" xfId="0" applyNumberFormat="1" applyFont="1" applyFill="1" applyBorder="1"/>
    <x:xf numFmtId="0" fontId="2" fillId="31" borderId="15" xfId="0" applyNumberFormat="1" applyFont="1" applyFill="1" applyBorder="1"/>
    <x:xf numFmtId="203" fontId="0" fillId="31" borderId="0" xfId="0" applyNumberFormat="1" applyFont="1" applyFill="1" applyBorder="1"/>
    <x:xf numFmtId="203" fontId="2" fillId="31" borderId="0" xfId="0" applyNumberFormat="1" applyFont="1" applyFill="1" applyBorder="1"/>
    <x:xf numFmtId="203" fontId="0" fillId="31" borderId="15" xfId="0" applyNumberFormat="1" applyFont="1" applyFill="1" applyBorder="1"/>
    <x:xf numFmtId="203" fontId="2" fillId="31" borderId="15" xfId="0" applyNumberFormat="1" applyFont="1" applyFill="1" applyBorder="1"/>
    <x:xf numFmtId="0" fontId="0" fillId="29" borderId="0" xfId="0" applyNumberFormat="1" applyFont="1" applyFill="1" applyBorder="1" applyAlignment="1">
      <x:alignment wrapText="1"/>
    </x:xf>
    <x:xf numFmtId="0" fontId="0" fillId="29" borderId="15" xfId="0" applyNumberFormat="1" applyFont="1" applyFill="1" applyBorder="1" applyAlignment="1">
      <x:alignment wrapText="1"/>
    </x:xf>
    <x:xf numFmtId="0" fontId="0" fillId="32" borderId="0" xfId="0" applyNumberFormat="1" applyFont="1" applyFill="1" applyBorder="1"/>
    <x:xf numFmtId="0" fontId="2" fillId="32" borderId="0" xfId="0" applyNumberFormat="1" applyFont="1" applyFill="1" applyBorder="1"/>
    <x:xf numFmtId="0" fontId="0" fillId="32" borderId="15" xfId="0" applyNumberFormat="1" applyFont="1" applyFill="1" applyBorder="1"/>
    <x:xf numFmtId="0" fontId="2" fillId="32" borderId="15" xfId="0" applyNumberFormat="1" applyFont="1" applyFill="1" applyBorder="1"/>
    <x:xf numFmtId="0" fontId="5" fillId="28" borderId="0" xfId="0" applyNumberFormat="1" applyFont="1" applyFill="1" applyBorder="1" applyAlignment="1">
      <x:alignment vertical="top"/>
    </x:xf>
    <x:xf numFmtId="0" fontId="16" fillId="29" borderId="0" xfId="0" applyNumberFormat="1" applyFont="1" applyFill="1" applyBorder="1" applyAlignment="1">
      <x:alignment vertical="top" wrapText="1"/>
    </x:xf>
    <x:xf numFmtId="0" fontId="4" fillId="28" borderId="0" xfId="0" applyNumberFormat="1" applyFont="1" applyFill="1" applyBorder="1" applyAlignment="1">
      <x:alignment vertical="top"/>
    </x:xf>
    <x:xf numFmtId="200" fontId="0" fillId="0" borderId="0" xfId="0" applyNumberFormat="1" applyFont="1" applyFill="1" applyBorder="1" applyAlignment="1">
      <x:alignment vertical="top"/>
    </x:xf>
    <x:xf numFmtId="200" fontId="0" fillId="30" borderId="0" xfId="0" applyNumberFormat="1" applyFont="1" applyFill="1" applyBorder="1" applyAlignment="1">
      <x:alignment vertical="top"/>
    </x:xf>
    <x:xf numFmtId="201" fontId="0" fillId="30" borderId="0" xfId="0" applyNumberFormat="1" applyFont="1" applyFill="1" applyBorder="1" applyAlignment="1">
      <x:alignment vertical="top"/>
    </x:xf>
    <x:xf numFmtId="202" fontId="0" fillId="0" borderId="0" xfId="0" applyNumberFormat="1" applyFont="1" applyFill="1" applyBorder="1" applyAlignment="1">
      <x:alignment vertical="top"/>
    </x:xf>
    <x:xf numFmtId="202" fontId="0" fillId="30" borderId="0" xfId="0" applyNumberFormat="1" applyFont="1" applyFill="1" applyBorder="1" applyAlignment="1">
      <x:alignment vertical="top"/>
    </x:xf>
    <x:xf numFmtId="201" fontId="0" fillId="0" borderId="0" xfId="0" applyNumberFormat="1" applyFont="1" applyFill="1" applyBorder="1" applyAlignment="1">
      <x:alignment vertical="top"/>
    </x:xf>
    <x:xf numFmtId="203" fontId="0" fillId="0" borderId="0" xfId="0" applyNumberFormat="1" applyFont="1" applyFill="1" applyBorder="1" applyAlignment="1">
      <x:alignment vertical="top"/>
    </x:xf>
    <x:xf numFmtId="0" fontId="0" fillId="29" borderId="0" xfId="0" applyNumberFormat="1" applyFont="1" applyFill="1" applyBorder="1" applyAlignment="1">
      <x:alignment vertical="top" wrapText="1"/>
    </x:xf>
    <x:xf numFmtId="203" fontId="0" fillId="30" borderId="0" xfId="0" applyNumberFormat="1" applyFont="1" applyFill="1" applyBorder="1" applyAlignment="1">
      <x:alignment vertical="top"/>
    </x:xf>
    <x:xf numFmtId="0" fontId="0" fillId="30" borderId="0" xfId="0" applyNumberFormat="1" applyFont="1" applyFill="1" applyBorder="1" applyAlignment="1">
      <x:alignment vertical="top"/>
    </x:xf>
    <x:xf numFmtId="204" fontId="0" fillId="0" borderId="0" xfId="0" applyNumberFormat="1" applyFont="1" applyFill="1" applyBorder="1" applyAlignment="1">
      <x:alignment vertical="top"/>
    </x:xf>
    <x:xf numFmtId="205" fontId="0" fillId="30" borderId="0" xfId="0" applyNumberFormat="1" applyFont="1" applyFill="1" applyBorder="1" applyAlignment="1">
      <x:alignment vertical="top"/>
    </x:xf>
    <x:xf numFmtId="0" fontId="2" fillId="31" borderId="0" xfId="0" applyNumberFormat="1" applyFont="1" applyFill="1" applyBorder="1" applyAlignment="1">
      <x:alignment vertical="top"/>
    </x:xf>
    <x:xf numFmtId="203" fontId="2" fillId="31" borderId="0" xfId="0" applyNumberFormat="1" applyFont="1" applyFill="1" applyBorder="1" applyAlignment="1">
      <x:alignment vertical="top"/>
    </x:xf>
    <x:xf numFmtId="0" fontId="2" fillId="32" borderId="0" xfId="0" applyNumberFormat="1" applyFont="1" applyFill="1" applyBorder="1" applyAlignment="1">
      <x:alignment vertical="top"/>
    </x:xf>
    <x:xf numFmtId="0" fontId="0" fillId="29" borderId="0" xfId="0" applyNumberFormat="1" applyFont="1" applyFill="1" applyBorder="1" applyAlignment="1">
      <x:alignment vertical="top"/>
    </x:xf>
    <x:xf numFmtId="0" fontId="5" fillId="28" borderId="15" xfId="0" applyNumberFormat="1" applyFont="1" applyFill="1" applyBorder="1" applyAlignment="1">
      <x:alignment vertical="top"/>
    </x:xf>
    <x:xf numFmtId="0" fontId="16" fillId="29" borderId="15" xfId="0" applyNumberFormat="1" applyFont="1" applyFill="1" applyBorder="1" applyAlignment="1">
      <x:alignment vertical="top" wrapText="1"/>
    </x:xf>
    <x:xf numFmtId="0" fontId="4" fillId="28" borderId="15" xfId="0" applyNumberFormat="1" applyFont="1" applyFill="1" applyBorder="1" applyAlignment="1">
      <x:alignment vertical="top"/>
    </x:xf>
    <x:xf numFmtId="200" fontId="0" fillId="0" borderId="15" xfId="0" applyNumberFormat="1" applyFont="1" applyFill="1" applyBorder="1" applyAlignment="1">
      <x:alignment vertical="top"/>
    </x:xf>
    <x:xf numFmtId="200" fontId="0" fillId="30" borderId="15" xfId="0" applyNumberFormat="1" applyFont="1" applyFill="1" applyBorder="1" applyAlignment="1">
      <x:alignment vertical="top"/>
    </x:xf>
    <x:xf numFmtId="201" fontId="0" fillId="30" borderId="15" xfId="0" applyNumberFormat="1" applyFont="1" applyFill="1" applyBorder="1" applyAlignment="1">
      <x:alignment vertical="top"/>
    </x:xf>
    <x:xf numFmtId="202" fontId="0" fillId="0" borderId="15" xfId="0" applyNumberFormat="1" applyFont="1" applyFill="1" applyBorder="1" applyAlignment="1">
      <x:alignment vertical="top"/>
    </x:xf>
    <x:xf numFmtId="202" fontId="0" fillId="30" borderId="15" xfId="0" applyNumberFormat="1" applyFont="1" applyFill="1" applyBorder="1" applyAlignment="1">
      <x:alignment vertical="top"/>
    </x:xf>
    <x:xf numFmtId="201" fontId="0" fillId="0" borderId="15" xfId="0" applyNumberFormat="1" applyFont="1" applyFill="1" applyBorder="1" applyAlignment="1">
      <x:alignment vertical="top"/>
    </x:xf>
    <x:xf numFmtId="203" fontId="0" fillId="0" borderId="15" xfId="0" applyNumberFormat="1" applyFont="1" applyFill="1" applyBorder="1" applyAlignment="1">
      <x:alignment vertical="top"/>
    </x:xf>
    <x:xf numFmtId="0" fontId="0" fillId="29" borderId="15" xfId="0" applyNumberFormat="1" applyFont="1" applyFill="1" applyBorder="1" applyAlignment="1">
      <x:alignment vertical="top" wrapText="1"/>
    </x:xf>
    <x:xf numFmtId="203" fontId="0" fillId="30" borderId="15" xfId="0" applyNumberFormat="1" applyFont="1" applyFill="1" applyBorder="1" applyAlignment="1">
      <x:alignment vertical="top"/>
    </x:xf>
    <x:xf numFmtId="0" fontId="0" fillId="30" borderId="15" xfId="0" applyNumberFormat="1" applyFont="1" applyFill="1" applyBorder="1" applyAlignment="1">
      <x:alignment vertical="top"/>
    </x:xf>
    <x:xf numFmtId="204" fontId="0" fillId="0" borderId="15" xfId="0" applyNumberFormat="1" applyFont="1" applyFill="1" applyBorder="1" applyAlignment="1">
      <x:alignment vertical="top"/>
    </x:xf>
    <x:xf numFmtId="205" fontId="0" fillId="30" borderId="15" xfId="0" applyNumberFormat="1" applyFont="1" applyFill="1" applyBorder="1" applyAlignment="1">
      <x:alignment vertical="top"/>
    </x:xf>
    <x:xf numFmtId="0" fontId="2" fillId="31" borderId="15" xfId="0" applyNumberFormat="1" applyFont="1" applyFill="1" applyBorder="1" applyAlignment="1">
      <x:alignment vertical="top"/>
    </x:xf>
    <x:xf numFmtId="203" fontId="2" fillId="31" borderId="15" xfId="0" applyNumberFormat="1" applyFont="1" applyFill="1" applyBorder="1" applyAlignment="1">
      <x:alignment vertical="top"/>
    </x:xf>
    <x:xf numFmtId="0" fontId="2" fillId="32" borderId="15" xfId="0" applyNumberFormat="1" applyFont="1" applyFill="1" applyBorder="1" applyAlignment="1">
      <x:alignment vertical="top"/>
    </x:xf>
    <x:xf numFmtId="0" fontId="0" fillId="29" borderId="15" xfId="0" applyNumberFormat="1" applyFont="1" applyFill="1" applyBorder="1" applyAlignment="1">
      <x:alignment vertical="top"/>
    </x:xf>
    <x:xf numFmtId="0" fontId="5" fillId="28" borderId="0" xfId="0" applyNumberFormat="1" applyFont="1" applyFill="1" applyBorder="1" applyAlignment="1">
      <x:alignment vertical="top" wrapText="1"/>
    </x:xf>
    <x:xf numFmtId="0" fontId="4" fillId="28"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30" borderId="0" xfId="0" applyNumberFormat="1" applyFont="1" applyFill="1" applyBorder="1" applyAlignment="1">
      <x:alignment vertical="top" wrapText="1"/>
    </x:xf>
    <x:xf numFmtId="201" fontId="0" fillId="3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2" fontId="0" fillId="3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3" fontId="0" fillId="0" borderId="0" xfId="0" applyNumberFormat="1" applyFont="1" applyFill="1" applyBorder="1" applyAlignment="1">
      <x:alignment vertical="top" wrapText="1"/>
    </x:xf>
    <x:xf numFmtId="203" fontId="0" fillId="30" borderId="0" xfId="0" applyNumberFormat="1" applyFont="1" applyFill="1" applyBorder="1" applyAlignment="1">
      <x:alignment vertical="top" wrapText="1"/>
    </x:xf>
    <x:xf numFmtId="0" fontId="0" fillId="30" borderId="0" xfId="0" applyNumberFormat="1" applyFont="1" applyFill="1" applyBorder="1" applyAlignment="1">
      <x:alignment vertical="top" wrapText="1"/>
    </x:xf>
    <x:xf numFmtId="204" fontId="0" fillId="0" borderId="0" xfId="0" applyNumberFormat="1" applyFont="1" applyFill="1" applyBorder="1" applyAlignment="1">
      <x:alignment vertical="top" wrapText="1"/>
    </x:xf>
    <x:xf numFmtId="205" fontId="0" fillId="30" borderId="0" xfId="0" applyNumberFormat="1" applyFont="1" applyFill="1" applyBorder="1" applyAlignment="1">
      <x:alignment vertical="top" wrapText="1"/>
    </x:xf>
    <x:xf numFmtId="0" fontId="2" fillId="31" borderId="0" xfId="0" applyNumberFormat="1" applyFont="1" applyFill="1" applyBorder="1" applyAlignment="1">
      <x:alignment vertical="top" wrapText="1"/>
    </x:xf>
    <x:xf numFmtId="203" fontId="2" fillId="31" borderId="0" xfId="0" applyNumberFormat="1" applyFont="1" applyFill="1" applyBorder="1" applyAlignment="1">
      <x:alignment vertical="top" wrapText="1"/>
    </x:xf>
    <x:xf numFmtId="0" fontId="2" fillId="32" borderId="0" xfId="0" applyNumberFormat="1" applyFont="1" applyFill="1" applyBorder="1" applyAlignment="1">
      <x:alignment vertical="top" wrapText="1"/>
    </x:xf>
    <x:xf numFmtId="0" fontId="5" fillId="28" borderId="15" xfId="0" applyNumberFormat="1" applyFont="1" applyFill="1" applyBorder="1" applyAlignment="1">
      <x:alignment vertical="top" wrapText="1"/>
    </x:xf>
    <x:xf numFmtId="0" fontId="4" fillId="28" borderId="15"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30" borderId="15" xfId="0" applyNumberFormat="1" applyFont="1" applyFill="1" applyBorder="1" applyAlignment="1">
      <x:alignment vertical="top" wrapText="1"/>
    </x:xf>
    <x:xf numFmtId="201" fontId="0" fillId="30" borderId="15" xfId="0" applyNumberFormat="1" applyFont="1" applyFill="1" applyBorder="1" applyAlignment="1">
      <x:alignment vertical="top" wrapText="1"/>
    </x:xf>
    <x:xf numFmtId="202" fontId="0" fillId="0" borderId="15" xfId="0" applyNumberFormat="1" applyFont="1" applyFill="1" applyBorder="1" applyAlignment="1">
      <x:alignment vertical="top" wrapText="1"/>
    </x:xf>
    <x:xf numFmtId="202" fontId="0" fillId="30" borderId="15" xfId="0" applyNumberFormat="1" applyFont="1" applyFill="1" applyBorder="1" applyAlignment="1">
      <x:alignment vertical="top" wrapText="1"/>
    </x:xf>
    <x:xf numFmtId="201" fontId="0" fillId="0" borderId="15" xfId="0" applyNumberFormat="1" applyFont="1" applyFill="1" applyBorder="1" applyAlignment="1">
      <x:alignment vertical="top" wrapText="1"/>
    </x:xf>
    <x:xf numFmtId="203" fontId="0" fillId="0" borderId="15" xfId="0" applyNumberFormat="1" applyFont="1" applyFill="1" applyBorder="1" applyAlignment="1">
      <x:alignment vertical="top" wrapText="1"/>
    </x:xf>
    <x:xf numFmtId="203" fontId="0" fillId="30" borderId="15" xfId="0" applyNumberFormat="1" applyFont="1" applyFill="1" applyBorder="1" applyAlignment="1">
      <x:alignment vertical="top" wrapText="1"/>
    </x:xf>
    <x:xf numFmtId="0" fontId="0" fillId="30" borderId="15" xfId="0" applyNumberFormat="1" applyFont="1" applyFill="1" applyBorder="1" applyAlignment="1">
      <x:alignment vertical="top" wrapText="1"/>
    </x:xf>
    <x:xf numFmtId="204" fontId="0" fillId="0" borderId="15" xfId="0" applyNumberFormat="1" applyFont="1" applyFill="1" applyBorder="1" applyAlignment="1">
      <x:alignment vertical="top" wrapText="1"/>
    </x:xf>
    <x:xf numFmtId="205" fontId="0" fillId="30" borderId="15" xfId="0" applyNumberFormat="1" applyFont="1" applyFill="1" applyBorder="1" applyAlignment="1">
      <x:alignment vertical="top" wrapText="1"/>
    </x:xf>
    <x:xf numFmtId="0" fontId="2" fillId="31" borderId="15" xfId="0" applyNumberFormat="1" applyFont="1" applyFill="1" applyBorder="1" applyAlignment="1">
      <x:alignment vertical="top" wrapText="1"/>
    </x:xf>
    <x:xf numFmtId="203" fontId="2" fillId="31" borderId="15" xfId="0" applyNumberFormat="1" applyFont="1" applyFill="1" applyBorder="1" applyAlignment="1">
      <x:alignment vertical="top" wrapText="1"/>
    </x:xf>
    <x:xf numFmtId="0" fontId="2" fillId="32" borderId="15" xfId="0" applyNumberFormat="1" applyFont="1" applyFill="1" applyBorder="1" applyAlignment="1">
      <x:alignment vertical="top" wrapText="1"/>
    </x:xf>
    <x:xf numFmtId="0" fontId="4" fillId="28" borderId="0" xfId="0" applyNumberFormat="1" applyFont="1" applyFill="1" applyBorder="1" applyAlignment="1">
      <x:alignment wrapText="1"/>
    </x:xf>
    <x:xf numFmtId="0" fontId="4" fillId="28" borderId="0" xfId="0" applyNumberFormat="1" applyFont="1" applyFill="1" applyBorder="1" applyAlignment="1">
      <x:alignment horizontal="center" wrapText="1"/>
    </x:xf>
    <x:xf numFmtId="0" fontId="4" fillId="28" borderId="15" xfId="0" applyNumberFormat="1" applyFont="1" applyFill="1" applyBorder="1" applyAlignment="1">
      <x:alignment wrapText="1"/>
    </x:xf>
    <x:xf numFmtId="0" fontId="4" fillId="28" borderId="15" xfId="0" applyNumberFormat="1" applyFont="1" applyFill="1" applyBorder="1" applyAlignment="1">
      <x:alignment horizontal="center" wrapText="1"/>
    </x:xf>
    <x:xf numFmtId="164" fontId="0" fillId="31" borderId="0" xfId="0" applyNumberFormat="1" applyFont="1" applyFill="1" applyBorder="1" applyAlignment="1">
      <x:alignment vertical="center" wrapText="1"/>
    </x:xf>
    <x:xf numFmtId="164" fontId="2" fillId="31" borderId="0" xfId="0" applyNumberFormat="1" applyFont="1" applyFill="1" applyBorder="1" applyAlignment="1">
      <x:alignment vertical="center" wrapText="1"/>
    </x:xf>
    <x:xf numFmtId="203" fontId="2" fillId="31" borderId="0" xfId="0" applyNumberFormat="1" applyFont="1" applyFill="1" applyBorder="1" applyAlignment="1">
      <x:alignment vertical="center" wrapText="1"/>
    </x:xf>
    <x:xf numFmtId="164" fontId="0" fillId="31" borderId="15" xfId="0" applyNumberFormat="1" applyFont="1" applyFill="1" applyBorder="1" applyAlignment="1">
      <x:alignment vertical="center" wrapText="1"/>
    </x:xf>
    <x:xf numFmtId="164" fontId="2" fillId="31" borderId="15" xfId="0" applyNumberFormat="1" applyFont="1" applyFill="1" applyBorder="1" applyAlignment="1">
      <x:alignment vertical="center" wrapText="1"/>
    </x:xf>
    <x:xf numFmtId="203" fontId="2" fillId="31" borderId="15" xfId="0" applyNumberFormat="1" applyFont="1" applyFill="1" applyBorder="1" applyAlignment="1">
      <x:alignment vertical="center" wrapText="1"/>
    </x:xf>
    <x:xf numFmtId="10" fontId="0" fillId="29" borderId="0" xfId="0" applyNumberFormat="1" applyFont="1" applyFill="1" applyBorder="1" applyAlignment="1">
      <x:alignment vertical="center" wrapText="1"/>
    </x:xf>
    <x:xf numFmtId="10" fontId="0" fillId="29" borderId="15" xfId="0" applyNumberFormat="1" applyFont="1" applyFill="1" applyBorder="1" applyAlignment="1">
      <x:alignment vertical="center" wrapText="1"/>
    </x:xf>
    <x:xf numFmtId="204" fontId="0" fillId="0" borderId="0" xfId="0" applyNumberFormat="1" applyFont="1" applyFill="1" applyBorder="1" applyAlignment="1">
      <x:alignment vertical="center" wrapText="1"/>
    </x:xf>
    <x:xf numFmtId="204" fontId="0" fillId="0" borderId="15" xfId="0" applyNumberFormat="1" applyFont="1" applyFill="1" applyBorder="1" applyAlignment="1">
      <x:alignment vertical="center" wrapText="1"/>
    </x:xf>
    <x:xf numFmtId="203" fontId="0" fillId="6" borderId="0" xfId="0" applyNumberFormat="1" applyFont="1" applyFill="1" applyBorder="1" applyAlignment="1">
      <x:alignment vertical="center" wrapText="1"/>
    </x:xf>
    <x:xf numFmtId="203" fontId="0" fillId="6" borderId="15" xfId="0" applyNumberFormat="1" applyFont="1" applyFill="1" applyBorder="1" applyAlignment="1">
      <x:alignment vertical="center" wrapText="1"/>
    </x:xf>
    <x:xf numFmtId="203" fontId="0" fillId="0" borderId="0" xfId="0" applyNumberFormat="1" applyFont="1" applyFill="1" applyBorder="1" applyAlignment="1">
      <x:alignment wrapText="1"/>
    </x:xf>
    <x:xf numFmtId="203" fontId="0" fillId="0" borderId="15" xfId="0" applyNumberFormat="1" applyFont="1" applyFill="1" applyBorder="1" applyAlignment="1">
      <x:alignment wrapText="1"/>
    </x:xf>
    <x:xf numFmtId="0" fontId="8" fillId="0" borderId="0" xfId="0" applyNumberFormat="1" applyFont="1" applyFill="1" applyBorder="1" applyAlignment="1">
      <x:alignment vertical="center"/>
    </x:xf>
    <x:xf numFmtId="44" fontId="0" fillId="0" borderId="0" xfId="0" applyNumberFormat="1" applyFont="1" applyFill="1" applyBorder="1"/>
    <x:xf numFmtId="164" fontId="11" fillId="7" borderId="0" xfId="0" applyNumberFormat="1" applyFont="1" applyFill="1" applyBorder="1" applyAlignment="1">
      <x:alignment wrapText="1"/>
    </x:xf>
    <x:xf numFmtId="0" fontId="2" fillId="3" borderId="0" xfId="0" applyNumberFormat="1" applyFont="1" applyFill="1" applyBorder="1"/>
    <x:xf numFmtId="0" fontId="0" fillId="6" borderId="0" xfId="0" applyNumberFormat="1" applyFont="1" applyFill="1" applyBorder="1"/>
    <x:xf numFmtId="0" fontId="0" fillId="7" borderId="0" xfId="0" applyNumberFormat="1" applyFont="1" applyFill="1" applyBorder="1"/>
    <x:xf numFmtId="0" fontId="2" fillId="5" borderId="0" xfId="0" applyNumberFormat="1" applyFont="1" applyFill="1" applyBorder="1"/>
    <x:xf numFmtId="0" fontId="4" fillId="9" borderId="12" xfId="0" applyNumberFormat="1" applyFont="1" applyFill="1" applyBorder="1" applyAlignment="1">
      <x:alignment vertical="top" wrapText="1"/>
    </x:xf>
    <x:xf numFmtId="0" fontId="4" fillId="9" borderId="13" xfId="0" applyNumberFormat="1" applyFont="1" applyFill="1" applyBorder="1" applyAlignment="1">
      <x:alignment vertical="top" wrapText="1"/>
    </x:xf>
    <x:xf numFmtId="0" fontId="4" fillId="9" borderId="14"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3" borderId="0" xfId="0" applyNumberFormat="1" applyFont="1" applyFill="1" applyBorder="1" applyAlignment="1">
      <x:alignment horizontal="center" vertical="center"/>
    </x:xf>
    <x:xf numFmtId="0" fontId="2" fillId="3" borderId="0" xfId="0" applyNumberFormat="1" applyFont="1" applyFill="1" applyBorder="1" applyAlignment="1">
      <x:alignment vertical="center"/>
    </x:xf>
    <x:xf numFmtId="0" fontId="0" fillId="6" borderId="0" xfId="0" applyNumberFormat="1" applyFont="1" applyFill="1" applyBorder="1" applyAlignment="1">
      <x:alignment vertical="center"/>
    </x:xf>
    <x:xf numFmtId="164" fontId="0" fillId="6" borderId="0" xfId="0" applyNumberFormat="1" applyFont="1" applyFill="1" applyBorder="1" applyAlignment="1">
      <x:alignment vertical="center"/>
    </x:xf>
    <x:xf numFmtId="0" fontId="0" fillId="7" borderId="0" xfId="0" applyNumberFormat="1" applyFont="1" applyFill="1" applyBorder="1" applyAlignment="1">
      <x:alignment vertical="center"/>
    </x:xf>
    <x:xf numFmtId="164" fontId="0" fillId="7" borderId="0" xfId="0" applyNumberFormat="1" applyFont="1" applyFill="1" applyBorder="1" applyAlignment="1">
      <x:alignment vertical="center"/>
    </x:xf>
    <x:xf numFmtId="0" fontId="2" fillId="5" borderId="0" xfId="0" applyNumberFormat="1" applyFont="1" applyFill="1" applyBorder="1" applyAlignment="1">
      <x:alignment vertical="center"/>
    </x:xf>
    <x:xf numFmtId="164" fontId="0" fillId="6" borderId="0" xfId="0" applyNumberFormat="1" applyFont="1" applyFill="1" applyBorder="1" applyAlignment="1">
      <x:alignment vertical="center" wrapText="1"/>
    </x:xf>
    <x:xf numFmtId="168" fontId="0" fillId="6" borderId="0" xfId="0" applyNumberFormat="1" applyFont="1" applyFill="1" applyBorder="1" applyAlignment="1">
      <x:alignment vertical="center" wrapText="1"/>
    </x:xf>
    <x:xf numFmtId="168" fontId="11" fillId="7" borderId="0" xfId="0" applyNumberFormat="1" applyFont="1" applyFill="1" applyBorder="1" applyAlignment="1">
      <x:alignment vertical="center" wrapText="1"/>
    </x:xf>
    <x:xf numFmtId="168" fontId="14" fillId="7" borderId="0" xfId="0" applyNumberFormat="1" applyFont="1" applyFill="1" applyBorder="1" applyAlignment="1">
      <x:alignment vertical="center" wrapText="1"/>
    </x:xf>
    <x:xf numFmtId="0" fontId="4" fillId="2" borderId="0" xfId="0" applyNumberFormat="1" applyFont="1" applyFill="1" applyBorder="1" applyAlignment="1">
      <x:alignment vertical="center"/>
    </x:xf>
    <x:xf numFmtId="0" fontId="4" fillId="2" borderId="0" xfId="0" applyNumberFormat="1" applyFont="1" applyFill="1" applyBorder="1"/>
    <x:xf numFmtId="0" fontId="5" fillId="2" borderId="0" xfId="0" applyNumberFormat="1" applyFont="1" applyFill="1" applyBorder="1" applyAlignment="1">
      <x:alignment vertical="center"/>
    </x:xf>
    <x:xf numFmtId="0" fontId="12" fillId="11" borderId="0" xfId="0" applyNumberFormat="1" applyFont="1" applyFill="1" applyBorder="1" applyAlignment="1">
      <x:alignment vertical="center" wrapText="1"/>
    </x:xf>
    <x:xf numFmtId="0" fontId="2" fillId="11" borderId="0" xfId="0" applyNumberFormat="1" applyFont="1" applyFill="1" applyBorder="1" applyAlignment="1">
      <x:alignment vertical="center" wrapText="1"/>
    </x:xf>
    <x:xf numFmtId="0" fontId="0" fillId="3" borderId="0" xfId="0" applyNumberFormat="1" applyFont="1" applyFill="1" applyBorder="1" applyAlignment="1">
      <x:alignment vertical="center" wrapText="1"/>
    </x:xf>
    <x:xf numFmtId="0" fontId="13" fillId="6" borderId="0" xfId="0" applyNumberFormat="1" applyFont="1" applyFill="1" applyBorder="1" applyAlignment="1">
      <x:alignment vertical="center"/>
    </x:xf>
    <x:xf numFmtId="0" fontId="15" fillId="6" borderId="0" xfId="0" applyNumberFormat="1" applyFont="1" applyFill="1" applyBorder="1" applyAlignment="1">
      <x:alignment vertical="center" wrapText="1"/>
    </x:xf>
    <x:xf numFmtId="0" fontId="0" fillId="12" borderId="0" xfId="0" applyNumberFormat="1" applyFont="1" applyFill="1" applyBorder="1"/>
    <x:xf numFmtId="0" fontId="5" fillId="12" borderId="0" xfId="0" applyNumberFormat="1" applyFont="1" applyFill="1" applyBorder="1"/>
    <x:xf numFmtId="0" fontId="5" fillId="12" borderId="0" xfId="0" applyNumberFormat="1" applyFont="1" applyFill="1" applyBorder="1" applyAlignment="1">
      <x:alignment vertical="center"/>
    </x:xf>
    <x:xf numFmtId="0" fontId="4" fillId="12" borderId="0" xfId="0" applyNumberFormat="1" applyFont="1" applyFill="1" applyBorder="1"/>
    <x:xf numFmtId="200" fontId="0" fillId="7" borderId="0" xfId="0" applyNumberFormat="1" applyFont="1" applyFill="1" applyBorder="1"/>
    <x:xf numFmtId="201" fontId="0" fillId="7" borderId="0" xfId="0" applyNumberFormat="1" applyFont="1" applyFill="1" applyBorder="1"/>
    <x:xf numFmtId="202" fontId="0" fillId="7" borderId="0" xfId="0" applyNumberFormat="1" applyFont="1" applyFill="1" applyBorder="1"/>
    <x:xf numFmtId="203" fontId="0" fillId="7" borderId="0" xfId="0" applyNumberFormat="1" applyFont="1" applyFill="1" applyBorder="1"/>
    <x:xf numFmtId="205" fontId="0" fillId="7" borderId="0" xfId="0" applyNumberFormat="1" applyFont="1" applyFill="1" applyBorder="1"/>
    <x:xf numFmtId="0" fontId="2" fillId="6" borderId="0" xfId="0" applyNumberFormat="1" applyFont="1" applyFill="1" applyBorder="1"/>
    <x:xf numFmtId="203" fontId="0" fillId="6" borderId="0" xfId="0" applyNumberFormat="1" applyFont="1" applyFill="1" applyBorder="1"/>
    <x:xf numFmtId="203" fontId="2" fillId="6" borderId="0" xfId="0" applyNumberFormat="1" applyFont="1" applyFill="1" applyBorder="1"/>
    <x:xf numFmtId="0" fontId="0" fillId="3" borderId="0" xfId="0" applyNumberFormat="1" applyFont="1" applyFill="1" applyBorder="1"/>
    <x:xf numFmtId="0" fontId="5" fillId="12" borderId="0" xfId="0" applyNumberFormat="1" applyFont="1" applyFill="1" applyBorder="1" applyAlignment="1">
      <x:alignment vertical="top"/>
    </x:xf>
    <x:xf numFmtId="0" fontId="4" fillId="12" borderId="0" xfId="0" applyNumberFormat="1" applyFont="1" applyFill="1" applyBorder="1" applyAlignment="1">
      <x:alignment vertical="top"/>
    </x:xf>
    <x:xf numFmtId="200" fontId="0" fillId="7" borderId="0" xfId="0" applyNumberFormat="1" applyFont="1" applyFill="1" applyBorder="1" applyAlignment="1">
      <x:alignment vertical="top"/>
    </x:xf>
    <x:xf numFmtId="201" fontId="0" fillId="7" borderId="0" xfId="0" applyNumberFormat="1" applyFont="1" applyFill="1" applyBorder="1" applyAlignment="1">
      <x:alignment vertical="top"/>
    </x:xf>
    <x:xf numFmtId="202" fontId="0" fillId="7" borderId="0" xfId="0" applyNumberFormat="1" applyFont="1" applyFill="1" applyBorder="1" applyAlignment="1">
      <x:alignment vertical="top"/>
    </x:xf>
    <x:xf numFmtId="203" fontId="0" fillId="7" borderId="0" xfId="0" applyNumberFormat="1" applyFont="1" applyFill="1" applyBorder="1" applyAlignment="1">
      <x:alignment vertical="top"/>
    </x:xf>
    <x:xf numFmtId="0" fontId="0" fillId="7" borderId="0" xfId="0" applyNumberFormat="1" applyFont="1" applyFill="1" applyBorder="1" applyAlignment="1">
      <x:alignment vertical="top"/>
    </x:xf>
    <x:xf numFmtId="205" fontId="0" fillId="7" borderId="0" xfId="0" applyNumberFormat="1" applyFont="1" applyFill="1" applyBorder="1" applyAlignment="1">
      <x:alignment vertical="top"/>
    </x:xf>
    <x:xf numFmtId="0" fontId="2" fillId="6" borderId="0" xfId="0" applyNumberFormat="1" applyFont="1" applyFill="1" applyBorder="1" applyAlignment="1">
      <x:alignment vertical="top"/>
    </x:xf>
    <x:xf numFmtId="203" fontId="2" fillId="6" borderId="0" xfId="0" applyNumberFormat="1" applyFont="1" applyFill="1" applyBorder="1" applyAlignment="1">
      <x:alignment vertical="top"/>
    </x:xf>
    <x:xf numFmtId="0" fontId="2" fillId="3" borderId="0" xfId="0" applyNumberFormat="1" applyFont="1" applyFill="1" applyBorder="1" applyAlignment="1">
      <x:alignment vertical="top"/>
    </x:xf>
    <x:xf numFmtId="0" fontId="5"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200" fontId="0" fillId="7" borderId="0" xfId="0" applyNumberFormat="1" applyFont="1" applyFill="1" applyBorder="1" applyAlignment="1">
      <x:alignment vertical="top" wrapText="1"/>
    </x:xf>
    <x:xf numFmtId="201" fontId="0" fillId="7" borderId="0" xfId="0" applyNumberFormat="1" applyFont="1" applyFill="1" applyBorder="1" applyAlignment="1">
      <x:alignment vertical="top" wrapText="1"/>
    </x:xf>
    <x:xf numFmtId="202" fontId="0" fillId="7" borderId="0" xfId="0" applyNumberFormat="1" applyFont="1" applyFill="1" applyBorder="1" applyAlignment="1">
      <x:alignment vertical="top" wrapText="1"/>
    </x:xf>
    <x:xf numFmtId="203" fontId="0" fillId="7" borderId="0" xfId="0" applyNumberFormat="1" applyFont="1" applyFill="1" applyBorder="1" applyAlignment="1">
      <x:alignment vertical="top" wrapText="1"/>
    </x:xf>
    <x:xf numFmtId="0" fontId="0" fillId="7" borderId="0" xfId="0" applyNumberFormat="1" applyFont="1" applyFill="1" applyBorder="1" applyAlignment="1">
      <x:alignment vertical="top" wrapText="1"/>
    </x:xf>
    <x:xf numFmtId="205" fontId="0" fillId="7" borderId="0" xfId="0" applyNumberFormat="1" applyFont="1" applyFill="1" applyBorder="1" applyAlignment="1">
      <x:alignment vertical="top" wrapText="1"/>
    </x:xf>
    <x:xf numFmtId="203" fontId="2" fillId="6"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4" fillId="12" borderId="0" xfId="0" applyNumberFormat="1" applyFont="1" applyFill="1" applyBorder="1" applyAlignment="1">
      <x:alignment wrapText="1"/>
    </x:xf>
    <x:xf numFmtId="0" fontId="4" fillId="12" borderId="0" xfId="0" applyNumberFormat="1" applyFont="1" applyFill="1" applyBorder="1" applyAlignment="1">
      <x:alignment horizontal="center" wrapText="1"/>
    </x:xf>
    <x:xf numFmtId="164" fontId="2" fillId="6" borderId="0" xfId="0" applyNumberFormat="1" applyFont="1" applyFill="1" applyBorder="1" applyAlignment="1">
      <x:alignment vertical="center" wrapText="1"/>
    </x:xf>
    <x:xf numFmtId="203" fontId="2" fillId="6" borderId="0" xfId="0" applyNumberFormat="1" applyFont="1" applyFill="1" applyBorder="1" applyAlignment="1">
      <x:alignment vertical="center" wrapText="1"/>
    </x:xf>
    <x:xf numFmtId="0" fontId="0" fillId="33" borderId="0" xfId="0" applyNumberFormat="1" applyFont="1" applyFill="1" applyBorder="1"/>
    <x:xf numFmtId="0" fontId="5" fillId="33" borderId="0" xfId="0" applyNumberFormat="1" applyFont="1" applyFill="1" applyBorder="1"/>
    <x:xf numFmtId="0" fontId="5" fillId="33" borderId="0" xfId="0" applyNumberFormat="1" applyFont="1" applyFill="1" applyBorder="1" applyAlignment="1">
      <x:alignment vertical="center"/>
    </x:xf>
    <x:xf numFmtId="0" fontId="0" fillId="34" borderId="0" xfId="0" applyNumberFormat="1" applyFont="1" applyFill="1" applyBorder="1"/>
    <x:xf numFmtId="0" fontId="2" fillId="34" borderId="0" xfId="0" applyNumberFormat="1" applyFont="1" applyFill="1" applyBorder="1"/>
    <x:xf numFmtId="0" fontId="2" fillId="34" borderId="0" xfId="0" applyNumberFormat="1" applyFont="1" applyFill="1" applyBorder="1" applyAlignment="1">
      <x:alignment wrapText="1"/>
    </x:xf>
    <x:xf numFmtId="0" fontId="0" fillId="35" borderId="0" xfId="0" applyNumberFormat="1" applyFont="1" applyFill="1" applyBorder="1"/>
    <x:xf numFmtId="0" fontId="4" fillId="35" borderId="0" xfId="0" applyNumberFormat="1" applyFont="1" applyFill="1" applyBorder="1"/>
    <x:xf numFmtId="0" fontId="4" fillId="35" borderId="0" xfId="0" applyNumberFormat="1" applyFont="1" applyFill="1" applyBorder="1" applyAlignment="1">
      <x:alignment wrapText="1"/>
    </x:xf>
    <x:xf numFmtId="0" fontId="4" fillId="35" borderId="0" xfId="0" applyNumberFormat="1" applyFont="1" applyFill="1" applyBorder="1" applyAlignment="1">
      <x:alignment vertical="center" wrapText="1"/>
    </x:xf>
    <x:xf numFmtId="0" fontId="0" fillId="36" borderId="0" xfId="0" applyNumberFormat="1" applyFont="1" applyFill="1" applyBorder="1"/>
    <x:xf numFmtId="0" fontId="17" fillId="36" borderId="0" xfId="0" applyNumberFormat="1" applyFont="1" applyFill="1" applyBorder="1"/>
    <x:xf numFmtId="0" fontId="17" fillId="36" borderId="0" xfId="0" applyNumberFormat="1" applyFont="1" applyFill="1" applyBorder="1" applyAlignment="1">
      <x:alignment vertical="center"/>
    </x:xf>
    <x:xf numFmtId="203" fontId="0" fillId="37" borderId="0" xfId="0" applyNumberFormat="1" applyFont="1" applyFill="1" applyBorder="1" applyAlignment="1">
      <x:alignment wrapText="1"/>
    </x:xf>
    <x:xf numFmtId="0" fontId="0" fillId="37" borderId="0" xfId="0" applyNumberFormat="1" applyFont="1" applyFill="1" applyBorder="1" applyAlignment="1">
      <x:alignment wrapText="1"/>
    </x:xf>
    <x:xf numFmtId="0" fontId="0" fillId="38" borderId="0" xfId="0" applyNumberFormat="1" applyFont="1" applyFill="1" applyBorder="1" applyAlignment="1">
      <x:alignment wrapText="1"/>
    </x:xf>
    <x:xf numFmtId="0" fontId="0" fillId="39" borderId="0" xfId="0" applyNumberFormat="1" applyFont="1" applyFill="1" applyBorder="1" applyAlignment="1">
      <x:alignment wrapText="1"/>
    </x:xf>
    <x:xf numFmtId="203" fontId="0" fillId="39" borderId="0" xfId="0" applyNumberFormat="1" applyFont="1" applyFill="1" applyBorder="1" applyAlignment="1">
      <x:alignment wrapText="1"/>
    </x:xf>
    <x:xf numFmtId="167" fontId="0" fillId="39" borderId="0" xfId="0" applyNumberFormat="1" applyFont="1" applyFill="1" applyBorder="1" applyAlignment="1">
      <x:alignment wrapText="1"/>
    </x:xf>
    <x:xf numFmtId="10" fontId="0" fillId="40" borderId="0" xfId="0" applyNumberFormat="1" applyFont="1" applyFill="1" applyBorder="1" applyAlignment="1">
      <x:alignment vertical="center" wrapText="1"/>
    </x:xf>
    <x:xf numFmtId="164" fontId="0" fillId="37" borderId="0" xfId="0" applyNumberFormat="1" applyFont="1" applyFill="1" applyBorder="1" applyAlignment="1">
      <x:alignment vertical="center" wrapText="1"/>
    </x:xf>
    <x:xf numFmtId="0" fontId="0" fillId="36" borderId="0" xfId="0" applyNumberFormat="1" applyFont="1" applyFill="1" applyBorder="1" applyAlignment="1">
      <x:alignment wrapText="1"/>
    </x:xf>
    <x:xf numFmtId="203" fontId="0" fillId="36" borderId="0" xfId="0" applyNumberFormat="1" applyFont="1" applyFill="1" applyBorder="1" applyAlignment="1">
      <x:alignment wrapText="1"/>
    </x:xf>
    <x:xf numFmtId="0" fontId="17" fillId="36" borderId="0" xfId="0" applyNumberFormat="1" applyFont="1" applyFill="1" applyBorder="1" applyAlignment="1">
      <x:alignment wrapText="1"/>
    </x:xf>
    <x:xf numFmtId="203" fontId="17" fillId="36" borderId="0" xfId="0" applyNumberFormat="1" applyFont="1" applyFill="1" applyBorder="1" applyAlignment="1">
      <x:alignment wrapText="1"/>
    </x:xf>
    <x:xf numFmtId="0" fontId="17" fillId="36" borderId="0" xfId="0" applyNumberFormat="1" applyFont="1" applyFill="1" applyBorder="1" applyAlignment="1">
      <x:alignment vertical="center" wrapText="1"/>
    </x:xf>
    <x:xf numFmtId="203" fontId="17" fillId="36" borderId="0" xfId="0" applyNumberFormat="1" applyFont="1" applyFill="1" applyBorder="1" applyAlignment="1">
      <x:alignment vertical="center" wrapText="1"/>
    </x:xf>
    <x:xf numFmtId="0" fontId="0" fillId="36" borderId="0" xfId="0" applyNumberFormat="1" applyFont="1" applyFill="1" applyBorder="1" applyAlignment="1">
      <x:alignment vertical="center" wrapText="1"/>
    </x:xf>
    <x:xf numFmtId="0" fontId="0" fillId="38" borderId="0" xfId="0" applyNumberFormat="1" applyFont="1" applyFill="1" applyBorder="1" applyAlignment="1">
      <x:alignment vertical="center" wrapText="1"/>
    </x:xf>
    <x:xf numFmtId="0" fontId="0" fillId="2" borderId="0" xfId="0" applyNumberFormat="1" applyFont="1" applyFill="1" applyBorder="1"/>
    <x:xf numFmtId="0" fontId="5"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wrapText="1"/>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wrapText="1"/>
    </x:xf>
    <x:xf numFmtId="0" fontId="17" fillId="3" borderId="0" xfId="0" applyNumberFormat="1" applyFont="1" applyFill="1" applyBorder="1"/>
    <x:xf numFmtId="0" fontId="17" fillId="3" borderId="0" xfId="0" applyNumberFormat="1" applyFont="1" applyFill="1" applyBorder="1" applyAlignment="1">
      <x:alignment vertical="center"/>
    </x:xf>
    <x:xf numFmtId="203" fontId="0" fillId="6" borderId="0" xfId="0" applyNumberFormat="1" applyFont="1" applyFill="1" applyBorder="1" applyAlignment="1">
      <x:alignment wrapText="1"/>
    </x:xf>
    <x:xf numFmtId="0" fontId="0" fillId="5" borderId="0" xfId="0" applyNumberFormat="1" applyFont="1" applyFill="1" applyBorder="1" applyAlignment="1">
      <x:alignment wrapText="1"/>
    </x:xf>
    <x:xf numFmtId="203" fontId="0" fillId="7" borderId="0" xfId="0" applyNumberFormat="1" applyFont="1" applyFill="1" applyBorder="1" applyAlignment="1">
      <x:alignment wrapText="1"/>
    </x:xf>
    <x:xf numFmtId="203" fontId="0" fillId="3" borderId="0" xfId="0" applyNumberFormat="1" applyFont="1" applyFill="1" applyBorder="1" applyAlignment="1">
      <x:alignment wrapText="1"/>
    </x:xf>
    <x:xf numFmtId="0" fontId="17" fillId="3" borderId="0" xfId="0" applyNumberFormat="1" applyFont="1" applyFill="1" applyBorder="1" applyAlignment="1">
      <x:alignment wrapText="1"/>
    </x:xf>
    <x:xf numFmtId="203" fontId="17" fillId="3" borderId="0" xfId="0" applyNumberFormat="1" applyFont="1" applyFill="1" applyBorder="1" applyAlignment="1">
      <x:alignment wrapText="1"/>
    </x:xf>
    <x:xf numFmtId="0" fontId="17" fillId="3" borderId="0" xfId="0" applyNumberFormat="1" applyFont="1" applyFill="1" applyBorder="1" applyAlignment="1">
      <x:alignment vertical="center" wrapText="1"/>
    </x:xf>
    <x:xf numFmtId="203" fontId="17" fillId="3" borderId="0"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41" borderId="0" xfId="0" applyNumberFormat="1" applyFont="1" applyFill="1" applyBorder="1"/>
    <x:xf numFmtId="0" fontId="4" fillId="41" borderId="0" xfId="0" applyNumberFormat="1" applyFont="1" applyFill="1" applyBorder="1"/>
    <x:xf numFmtId="0" fontId="4" fillId="41" borderId="0" xfId="0" applyNumberFormat="1" applyFont="1" applyFill="1" applyBorder="1" applyAlignment="1">
      <x:alignment wrapText="1"/>
    </x:xf>
    <x:xf numFmtId="0" fontId="0" fillId="42" borderId="0" xfId="0" applyNumberFormat="1" applyFont="1" applyFill="1" applyBorder="1"/>
    <x:xf numFmtId="0" fontId="2" fillId="42" borderId="0" xfId="0" applyNumberFormat="1" applyFont="1" applyFill="1" applyBorder="1"/>
    <x:xf numFmtId="0" fontId="2" fillId="42" borderId="0" xfId="0" applyNumberFormat="1" applyFont="1" applyFill="1" applyBorder="1" applyAlignment="1">
      <x:alignment wrapText="1"/>
    </x:xf>
    <x:xf numFmtId="0" fontId="0" fillId="43" borderId="0" xfId="0" applyNumberFormat="1" applyFont="1" applyFill="1" applyBorder="1"/>
    <x:xf numFmtId="0" fontId="1" fillId="43" borderId="0" xfId="0" applyNumberFormat="1" applyFont="1" applyFill="1" applyBorder="1"/>
    <x:xf numFmtId="0" fontId="1" fillId="43" borderId="0" xfId="0" applyNumberFormat="1" applyFont="1" applyFill="1" applyBorder="1" applyAlignment="1">
      <x:alignment vertical="center"/>
    </x:xf>
    <x:xf numFmtId="0" fontId="0" fillId="44" borderId="0" xfId="0" applyNumberFormat="1" applyFont="1" applyFill="1" applyBorder="1" applyAlignment="1">
      <x:alignment wrapText="1"/>
    </x:xf>
    <x:xf numFmtId="0" fontId="2" fillId="44" borderId="0" xfId="0" applyNumberFormat="1" applyFont="1" applyFill="1" applyBorder="1" applyAlignment="1">
      <x:alignment wrapText="1"/>
    </x:xf>
    <x:xf numFmtId="0" fontId="0" fillId="45" borderId="0" xfId="0" applyNumberFormat="1" applyFont="1" applyFill="1" applyBorder="1" applyAlignment="1">
      <x:alignment wrapText="1"/>
    </x:xf>
    <x:xf numFmtId="0" fontId="2" fillId="45"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x:xf numFmtId="0" fontId="1" fillId="2" borderId="0" xfId="0" applyNumberFormat="1" applyFont="1" applyFill="1" applyBorder="1" applyAlignment="1">
      <x:alignment vertical="center"/>
    </x:xf>
    <x:xf numFmtId="0" fontId="2" fillId="6" borderId="0" xfId="0" applyNumberFormat="1" applyFont="1" applyFill="1" applyBorder="1" applyAlignment="1">
      <x:alignment wrapText="1"/>
    </x:xf>
    <x:xf numFmtId="0" fontId="2" fillId="5" borderId="0" xfId="0" applyNumberFormat="1" applyFont="1" applyFill="1" applyBorder="1" applyAlignment="1">
      <x:alignment wrapText="1"/>
    </x:xf>
    <x:xf numFmtId="0" fontId="0" fillId="46" borderId="1" xfId="0" applyNumberFormat="1" applyFont="1" applyFill="1" applyBorder="1" applyAlignment="1">
      <x:alignment vertical="center" wrapText="1"/>
    </x:xf>
    <x:xf numFmtId="0" fontId="0" fillId="46" borderId="0" xfId="0" applyNumberFormat="1" applyFont="1" applyFill="1" applyBorder="1" applyAlignment="1">
      <x:alignment vertical="center" wrapText="1"/>
    </x:xf>
    <x:xf numFmtId="0" fontId="0" fillId="47" borderId="0" xfId="0" applyNumberFormat="1" applyFont="1" applyFill="1" applyBorder="1"/>
    <x:xf numFmtId="0" fontId="4" fillId="47" borderId="0" xfId="0" applyNumberFormat="1" applyFont="1" applyFill="1" applyBorder="1"/>
    <x:xf numFmtId="0" fontId="4" fillId="47" borderId="0" xfId="0" applyNumberFormat="1" applyFont="1" applyFill="1" applyBorder="1" applyAlignment="1">
      <x:alignment wrapText="1"/>
    </x:xf>
    <x:xf numFmtId="0" fontId="0" fillId="48" borderId="0" xfId="0" applyNumberFormat="1" applyFont="1" applyFill="1" applyBorder="1"/>
    <x:xf numFmtId="206" fontId="0" fillId="48" borderId="0" xfId="0" applyNumberFormat="1" applyFont="1" applyFill="1" applyBorder="1"/>
    <x:xf numFmtId="206" fontId="0" fillId="48" borderId="0" xfId="0" applyNumberFormat="1" applyFont="1" applyFill="1" applyBorder="1" applyAlignment="1">
      <x:alignment wrapText="1"/>
    </x:xf>
    <x:xf numFmtId="0" fontId="4" fillId="2" borderId="0" xfId="0" applyNumberFormat="1" applyFont="1" applyFill="1" applyBorder="1" applyAlignment="1">
      <x:alignment wrapText="1"/>
    </x:xf>
    <x:xf numFmtId="206" fontId="0" fillId="6" borderId="0" xfId="0" applyNumberFormat="1" applyFont="1" applyFill="1" applyBorder="1"/>
    <x:xf numFmtId="206" fontId="0" fillId="6" borderId="0" xfId="0" applyNumberFormat="1" applyFont="1" applyFill="1" applyBorder="1" applyAlignment="1">
      <x:alignment wrapText="1"/>
    </x:xf>
    <x:xf numFmtId="0" fontId="0" fillId="49" borderId="0" xfId="0" applyNumberFormat="1" applyFont="1" applyFill="1" applyBorder="1"/>
    <x:xf numFmtId="0" fontId="4" fillId="49" borderId="0" xfId="0" applyNumberFormat="1" applyFont="1" applyFill="1" applyBorder="1"/>
    <x:xf numFmtId="0" fontId="4" fillId="49" borderId="0" xfId="0" applyNumberFormat="1" applyFont="1" applyFill="1" applyBorder="1" applyAlignment="1">
      <x:alignment wrapText="1"/>
    </x:xf>
    <x:xf numFmtId="0" fontId="4" fillId="49" borderId="0" xfId="0" applyNumberFormat="1" applyFont="1" applyFill="1" applyBorder="1" applyAlignment="1">
      <x:alignment vertical="center" wrapText="1"/>
    </x:xf>
    <x:xf numFmtId="0" fontId="0" fillId="50" borderId="0" xfId="0" applyNumberFormat="1" applyFont="1" applyFill="1" applyBorder="1"/>
    <x:xf numFmtId="0" fontId="2" fillId="50" borderId="0" xfId="0" applyNumberFormat="1" applyFont="1" applyFill="1" applyBorder="1"/>
    <x:xf numFmtId="0" fontId="2" fillId="50" borderId="0" xfId="0" applyNumberFormat="1" applyFont="1" applyFill="1" applyBorder="1" applyAlignment="1">
      <x:alignment wrapText="1"/>
    </x:xf>
    <x:xf numFmtId="0" fontId="2" fillId="50" borderId="0" xfId="0" applyNumberFormat="1" applyFont="1" applyFill="1" applyBorder="1" applyAlignment="1">
      <x:alignment vertical="center" wrapText="1"/>
    </x:xf>
    <x:xf numFmtId="0" fontId="0" fillId="51" borderId="0" xfId="0" applyNumberFormat="1" applyFont="1" applyFill="1" applyBorder="1"/>
    <x:xf numFmtId="0" fontId="13" fillId="51" borderId="0" xfId="0" applyNumberFormat="1" applyFont="1" applyFill="1" applyBorder="1"/>
    <x:xf numFmtId="0" fontId="13" fillId="51"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50" borderId="0" xfId="0" applyNumberFormat="1" applyFont="1" applyFill="1" applyBorder="1" applyAlignment="1">
      <x:alignment wrapText="1"/>
    </x:xf>
    <x:xf numFmtId="0" fontId="2" fillId="51" borderId="0" xfId="0" applyNumberFormat="1" applyFont="1" applyFill="1" applyBorder="1" applyAlignment="1">
      <x:alignment wrapText="1"/>
    </x:xf>
    <x:xf numFmtId="0" fontId="0" fillId="51" borderId="0" xfId="0" applyNumberFormat="1" applyFont="1" applyFill="1" applyBorder="1" applyAlignment="1">
      <x:alignment wrapText="1"/>
    </x:xf>
    <x:xf numFmtId="0" fontId="18" fillId="51" borderId="0" xfId="0" applyNumberFormat="1" applyFont="1" applyFill="1" applyBorder="1" applyAlignment="1">
      <x:alignment wrapText="1"/>
    </x:xf>
    <x:xf numFmtId="0" fontId="2" fillId="51" borderId="0" xfId="0" applyNumberFormat="1" applyFont="1" applyFill="1" applyBorder="1"/>
    <x:xf numFmtId="0" fontId="2" fillId="51" borderId="0" xfId="0" applyNumberFormat="1" applyFont="1" applyFill="1" applyBorder="1" applyAlignment="1">
      <x:alignment horizontal="center"/>
    </x:xf>
    <x:xf numFmtId="0" fontId="0" fillId="52" borderId="0" xfId="0" applyNumberFormat="1" applyFont="1" applyFill="1" applyBorder="1"/>
    <x:xf numFmtId="0" fontId="4" fillId="52" borderId="0" xfId="0" applyNumberFormat="1" applyFont="1" applyFill="1" applyBorder="1"/>
    <x:xf numFmtId="0" fontId="4" fillId="52" borderId="0" xfId="0" applyNumberFormat="1" applyFont="1" applyFill="1" applyBorder="1" applyAlignment="1">
      <x:alignment wrapText="1"/>
    </x:xf>
    <x:xf numFmtId="0" fontId="0" fillId="53" borderId="0" xfId="0" applyNumberFormat="1" applyFont="1" applyFill="1" applyBorder="1"/>
    <x:xf numFmtId="0" fontId="0" fillId="53" borderId="0" xfId="0" applyNumberFormat="1" applyFont="1" applyFill="1" applyBorder="1" applyAlignment="1">
      <x:alignment wrapText="1"/>
    </x:xf>
    <x:xf numFmtId="167" fontId="0" fillId="0" borderId="0" xfId="0" applyNumberFormat="1" applyFont="1" applyFill="1" applyBorder="1"/>
    <x:xf numFmtId="0" fontId="4" fillId="49" borderId="0" xfId="0" applyNumberFormat="1" applyFont="1" applyFill="1" applyBorder="1" applyAlignment="1">
      <x:alignment vertical="top" wrapText="1"/>
    </x:xf>
    <x:xf numFmtId="0" fontId="2" fillId="50" borderId="0" xfId="0" applyNumberFormat="1" applyFont="1" applyFill="1" applyBorder="1" applyAlignment="1">
      <x:alignment vertical="top" wrapText="1"/>
    </x:xf>
    <x:xf numFmtId="0" fontId="13" fillId="51" borderId="0" xfId="0" applyNumberFormat="1" applyFont="1" applyFill="1" applyBorder="1" applyAlignment="1">
      <x:alignment vertical="top" wrapText="1"/>
    </x:xf>
    <x:xf numFmtId="0" fontId="4" fillId="49" borderId="0" xfId="0" applyNumberFormat="1" applyFont="1" applyFill="1" applyBorder="1" applyAlignment="1">
      <x:alignment vertical="top"/>
    </x:xf>
    <x:xf numFmtId="0" fontId="2" fillId="51" borderId="0" xfId="0" applyNumberFormat="1" applyFont="1" applyFill="1" applyBorder="1" applyAlignment="1">
      <x:alignment horizontal="center" vertical="top"/>
    </x:xf>
    <x:xf numFmtId="0" fontId="18" fillId="51" borderId="0" xfId="0" applyNumberFormat="1" applyFont="1" applyFill="1" applyBorder="1" applyAlignment="1">
      <x:alignment vertical="top" wrapText="1"/>
    </x:xf>
    <x:xf numFmtId="0" fontId="4" fillId="52" borderId="0" xfId="0" applyNumberFormat="1" applyFont="1" applyFill="1" applyBorder="1" applyAlignment="1">
      <x:alignment vertical="top" wrapText="1"/>
    </x:xf>
    <x:xf numFmtId="0" fontId="0" fillId="53" borderId="0" xfId="0" applyNumberFormat="1" applyFont="1" applyFill="1" applyBorder="1" applyAlignment="1">
      <x:alignment vertical="top"/>
    </x:xf>
    <x:xf numFmtId="0" fontId="0" fillId="53" borderId="0" xfId="0" applyNumberFormat="1" applyFont="1" applyFill="1" applyBorder="1" applyAlignment="1">
      <x:alignment vertical="top" wrapText="1"/>
    </x:xf>
    <x:xf numFmtId="167" fontId="0" fillId="0" borderId="0" xfId="0" applyNumberFormat="1" applyFont="1" applyFill="1" applyBorder="1" applyAlignment="1">
      <x:alignment vertical="top"/>
    </x:xf>
    <x:xf numFmtId="0" fontId="2" fillId="51" borderId="0" xfId="0" applyNumberFormat="1" applyFont="1" applyFill="1" applyBorder="1" applyAlignment="1">
      <x:alignment horizontal="center" vertical="top" wrapText="1"/>
    </x:xf>
    <x:xf numFmtId="167" fontId="0" fillId="0" borderId="0" xfId="0" applyNumberFormat="1" applyFont="1" applyFill="1" applyBorder="1" applyAlignment="1">
      <x:alignment vertical="top" wrapText="1"/>
    </x:xf>
    <x:xf numFmtId="0" fontId="0" fillId="51" borderId="0" xfId="0" applyNumberFormat="1" applyFont="1" applyFill="1" applyBorder="1" applyAlignment="1">
      <x:alignment vertical="center" wrapText="1"/>
    </x:xf>
    <x:xf numFmtId="0" fontId="2" fillId="51" borderId="0" xfId="0" applyNumberFormat="1" applyFont="1" applyFill="1" applyBorder="1" applyAlignment="1">
      <x:alignment vertical="center" wrapText="1"/>
    </x:xf>
    <x:xf numFmtId="0" fontId="2" fillId="54" borderId="0" xfId="0" applyNumberFormat="1" applyFont="1" applyFill="1" applyBorder="1" applyAlignment="1">
      <x:alignment wrapText="1"/>
    </x:xf>
    <x:xf numFmtId="0" fontId="0" fillId="54" borderId="0" xfId="0" applyNumberFormat="1" applyFont="1" applyFill="1" applyBorder="1" applyAlignment="1">
      <x:alignment wrapText="1"/>
    </x:xf>
    <x:xf numFmtId="0" fontId="0" fillId="49" borderId="0" xfId="0" applyNumberFormat="1" applyFont="1" applyFill="1" applyBorder="1" applyAlignment="1">
      <x:alignment vertical="top" wrapText="1"/>
    </x:xf>
    <x:xf numFmtId="0" fontId="0" fillId="52" borderId="0" xfId="0" applyNumberFormat="1" applyFont="1" applyFill="1" applyBorder="1" applyAlignment="1">
      <x:alignment vertical="top" wrapText="1"/>
    </x:xf>
    <x:xf numFmtId="0" fontId="0" fillId="55" borderId="0" xfId="0" applyNumberFormat="1" applyFont="1" applyFill="1" applyBorder="1" applyAlignment="1">
      <x:alignment vertical="top" wrapText="1"/>
    </x:xf>
    <x:xf numFmtId="0" fontId="0" fillId="5" borderId="0" xfId="0" applyNumberFormat="1" applyFont="1" applyFill="1" applyBorder="1"/>
    <x:xf numFmtId="0" fontId="13" fillId="3" borderId="0" xfId="0" applyNumberFormat="1" applyFont="1" applyFill="1" applyBorder="1"/>
    <x:xf numFmtId="0" fontId="13" fillId="3" borderId="0" xfId="0" applyNumberFormat="1" applyFont="1" applyFill="1" applyBorder="1" applyAlignment="1">
      <x:alignment wrapText="1"/>
    </x:xf>
    <x:xf numFmtId="0" fontId="18" fillId="3" borderId="0" xfId="0" applyNumberFormat="1" applyFont="1" applyFill="1" applyBorder="1" applyAlignment="1">
      <x:alignment wrapText="1"/>
    </x:xf>
    <x:xf numFmtId="0" fontId="2" fillId="3" borderId="0" xfId="0" applyNumberFormat="1" applyFont="1" applyFill="1" applyBorder="1" applyAlignment="1">
      <x:alignment horizontal="center"/>
    </x:xf>
    <x:xf numFmtId="0" fontId="2" fillId="5" borderId="0" xfId="0" applyNumberFormat="1" applyFont="1" applyFill="1" applyBorder="1" applyAlignment="1">
      <x:alignment vertical="top" wrapText="1"/>
    </x:xf>
    <x:xf numFmtId="0" fontId="13" fillId="3" borderId="0" xfId="0" applyNumberFormat="1" applyFont="1" applyFill="1" applyBorder="1" applyAlignment="1">
      <x:alignment vertical="top" wrapText="1"/>
    </x:xf>
    <x:xf numFmtId="0" fontId="4" fillId="2" borderId="0" xfId="0" applyNumberFormat="1" applyFont="1" applyFill="1" applyBorder="1" applyAlignment="1">
      <x:alignment vertical="top"/>
    </x:xf>
    <x:xf numFmtId="0" fontId="2" fillId="3" borderId="0" xfId="0" applyNumberFormat="1" applyFont="1" applyFill="1" applyBorder="1" applyAlignment="1">
      <x:alignment horizontal="center" vertical="top"/>
    </x:xf>
    <x:xf numFmtId="0" fontId="18" fillId="3" borderId="0"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2" fillId="3" borderId="0" xfId="0" applyNumberFormat="1" applyFont="1" applyFill="1" applyBorder="1" applyAlignment="1">
      <x:alignment horizontal="center" vertical="top" wrapText="1"/>
    </x:xf>
    <x:xf numFmtId="0" fontId="0" fillId="2"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0" fillId="13" borderId="0" xfId="0" applyNumberFormat="1" applyFont="1" applyFill="1" applyBorder="1" applyAlignment="1">
      <x:alignment vertical="top" wrapText="1"/>
    </x:xf>
    <x:xf numFmtId="0" fontId="0" fillId="56" borderId="0" xfId="0" applyNumberFormat="1" applyFont="1" applyFill="1" applyBorder="1"/>
    <x:xf numFmtId="0" fontId="5" fillId="56" borderId="0" xfId="0" applyNumberFormat="1" applyFont="1" applyFill="1" applyBorder="1"/>
    <x:xf numFmtId="0" fontId="5" fillId="56" borderId="0" xfId="0" applyNumberFormat="1" applyFont="1" applyFill="1" applyBorder="1" applyAlignment="1">
      <x:alignment horizontal="left"/>
    </x:xf>
    <x:xf numFmtId="0" fontId="5" fillId="56" borderId="0" xfId="0" applyNumberFormat="1" applyFont="1" applyFill="1" applyBorder="1" applyAlignment="1">
      <x:alignment horizontal="left" vertical="center"/>
    </x:xf>
    <x:xf numFmtId="0" fontId="0" fillId="57" borderId="0" xfId="0" applyNumberFormat="1" applyFont="1" applyFill="1" applyBorder="1"/>
    <x:xf numFmtId="0" fontId="19" fillId="57" borderId="0" xfId="0" applyNumberFormat="1" applyFont="1" applyFill="1" applyBorder="1"/>
    <x:xf numFmtId="0" fontId="19" fillId="57" borderId="0" xfId="0" applyNumberFormat="1" applyFont="1" applyFill="1" applyBorder="1" applyAlignment="1">
      <x:alignment wrapText="1"/>
    </x:xf>
    <x:xf numFmtId="0" fontId="4" fillId="56" borderId="0" xfId="0" applyNumberFormat="1" applyFont="1" applyFill="1" applyBorder="1"/>
    <x:xf numFmtId="0" fontId="4" fillId="56" borderId="0" xfId="0" applyNumberFormat="1" applyFont="1" applyFill="1" applyBorder="1" applyAlignment="1">
      <x:alignment wrapText="1"/>
    </x:xf>
    <x:xf numFmtId="0" fontId="4" fillId="56" borderId="0" xfId="0" applyNumberFormat="1" applyFont="1" applyFill="1" applyBorder="1" applyAlignment="1">
      <x:alignment horizontal="center" wrapText="1"/>
    </x:xf>
    <x:xf numFmtId="0" fontId="4" fillId="56"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5" fillId="56" borderId="0" xfId="0" applyNumberFormat="1" applyFont="1" applyFill="1" applyBorder="1" applyAlignment="1">
      <x:alignment horizontal="left" vertical="center" wrapText="1"/>
    </x:xf>
    <x:xf numFmtId="207" fontId="2" fillId="6" borderId="0" xfId="0" applyNumberFormat="1" applyFont="1" applyFill="1" applyBorder="1" applyAlignment="1">
      <x:alignment vertical="center" wrapText="1"/>
    </x:xf>
    <x:xf numFmtId="207" fontId="0" fillId="6" borderId="1" xfId="0" applyNumberFormat="1" applyFont="1" applyFill="1" applyBorder="1" applyAlignment="1">
      <x:alignment vertical="center" wrapText="1"/>
    </x:xf>
    <x:xf numFmtId="207" fontId="2" fillId="6" borderId="1" xfId="0" applyNumberFormat="1" applyFont="1" applyFill="1" applyBorder="1" applyAlignment="1">
      <x:alignment vertical="center" wrapText="1"/>
    </x:xf>
    <x:xf numFmtId="207" fontId="0" fillId="6" borderId="0" xfId="0" applyNumberFormat="1" applyFont="1" applyFill="1" applyBorder="1" applyAlignment="1">
      <x:alignment vertical="center" wrapText="1"/>
    </x:xf>
    <x:xf numFmtId="208" fontId="0" fillId="8" borderId="1" xfId="0" applyNumberFormat="1" applyFont="1" applyFill="1" applyBorder="1" applyAlignment="1">
      <x:alignment vertical="center" wrapText="1"/>
    </x:xf>
    <x:xf numFmtId="208" fontId="2" fillId="4" borderId="1" xfId="0" applyNumberFormat="1" applyFont="1" applyFill="1" applyBorder="1" applyAlignment="1">
      <x:alignment vertical="center" wrapText="1"/>
    </x:xf>
    <x:xf numFmtId="208" fontId="0" fillId="8" borderId="0" xfId="0" applyNumberFormat="1" applyFont="1" applyFill="1" applyBorder="1" applyAlignment="1">
      <x:alignment vertical="center" wrapText="1"/>
    </x:xf>
    <x:xf numFmtId="208" fontId="0" fillId="8" borderId="0" xfId="0" applyNumberFormat="1" applyFont="1" applyFill="1" applyBorder="1" applyAlignment="1">
      <x:alignment vertical="top" wrapText="1"/>
    </x:xf>
    <x:xf numFmtId="208" fontId="2" fillId="8" borderId="1" xfId="0" applyNumberFormat="1" applyFont="1" applyFill="1" applyBorder="1" applyAlignment="1">
      <x:alignment vertical="center" wrapText="1"/>
    </x:xf>
    <x:xf numFmtId="208" fontId="0" fillId="8" borderId="1" xfId="0" applyNumberFormat="1" applyFont="1" applyFill="1" applyBorder="1" applyAlignment="1">
      <x:alignment vertical="top" wrapText="1"/>
    </x:xf>
    <x:xf numFmtId="208" fontId="2" fillId="4" borderId="1" xfId="0" applyNumberFormat="1" applyFont="1" applyFill="1" applyBorder="1" applyAlignment="1">
      <x:alignment vertical="top" wrapText="1"/>
    </x:xf>
    <x:xf numFmtId="208" fontId="2" fillId="8" borderId="0" xfId="0" applyNumberFormat="1" applyFont="1" applyFill="1" applyBorder="1" applyAlignment="1">
      <x:alignment vertical="top" wrapText="1"/>
    </x:xf>
    <x:xf numFmtId="208" fontId="2" fillId="8" borderId="1" xfId="0" applyNumberFormat="1" applyFont="1" applyFill="1" applyBorder="1" applyAlignment="1">
      <x:alignment vertical="top" wrapText="1"/>
    </x:xf>
    <x:xf numFmtId="208" fontId="4" fillId="2" borderId="0" xfId="0" applyNumberFormat="1" applyFont="1" applyFill="1" applyBorder="1" applyAlignment="1">
      <x:alignment vertical="top" wrapText="1"/>
    </x:xf>
    <x:xf numFmtId="208" fontId="0" fillId="0" borderId="0" xfId="0" applyNumberFormat="1" applyFont="1" applyFill="1" applyBorder="1" applyAlignment="1">
      <x:alignment vertical="top" wrapText="1"/>
    </x:xf>
    <x:xf numFmtId="208" fontId="0" fillId="0" borderId="1" xfId="0" applyNumberFormat="1" applyFont="1" applyFill="1" applyBorder="1" applyAlignment="1">
      <x:alignment vertical="center" wrapText="1"/>
    </x:xf>
    <x:xf numFmtId="208" fontId="0" fillId="0" borderId="0" xfId="0" applyNumberFormat="1" applyFont="1" applyFill="1" applyBorder="1" applyAlignment="1">
      <x:alignment vertical="center" wrapText="1"/>
    </x:xf>
    <x:xf numFmtId="208" fontId="2" fillId="3" borderId="1" xfId="0" applyNumberFormat="1" applyFont="1" applyFill="1" applyBorder="1" applyAlignment="1">
      <x:alignment vertical="center" wrapText="1"/>
    </x:xf>
    <x:xf numFmtId="208" fontId="0" fillId="0" borderId="2" xfId="0" applyNumberFormat="1" applyFont="1" applyFill="1" applyBorder="1" applyAlignment="1">
      <x:alignment vertical="center" wrapText="1"/>
    </x:xf>
    <x:xf numFmtId="0" fontId="0" fillId="58" borderId="0" xfId="0" applyNumberFormat="1" applyFont="1" applyFill="1" applyBorder="1" applyAlignment="1">
      <x:alignment vertical="top" wrapText="1"/>
    </x:xf>
    <x:xf numFmtId="0" fontId="0" fillId="58" borderId="0" xfId="0" applyNumberFormat="1" applyFont="1" applyFill="1" applyBorder="1"/>
    <x:xf numFmtId="0" fontId="4" fillId="58" borderId="0" xfId="0" applyNumberFormat="1" applyFont="1" applyFill="1" applyBorder="1" applyAlignment="1">
      <x:alignment vertical="top" wrapText="1"/>
    </x:xf>
    <x:xf numFmtId="0" fontId="4" fillId="58" borderId="0" xfId="0" applyNumberFormat="1" applyFont="1" applyFill="1" applyBorder="1"/>
    <x:xf numFmtId="0" fontId="4" fillId="58" borderId="0" xfId="0" applyNumberFormat="1" applyFont="1" applyFill="1" applyBorder="1" applyAlignment="1">
      <x:alignment wrapText="1"/>
    </x:xf>
    <x:xf numFmtId="0" fontId="4" fillId="58" borderId="0" xfId="0" applyNumberFormat="1" applyFont="1" applyFill="1" applyBorder="1" applyAlignment="1">
      <x:alignment vertical="center" wrapText="1"/>
    </x:xf>
    <x:xf numFmtId="0" fontId="0" fillId="59" borderId="0" xfId="0" applyNumberFormat="1" applyFont="1" applyFill="1" applyBorder="1" applyAlignment="1">
      <x:alignment vertical="top" wrapText="1"/>
    </x:xf>
    <x:xf numFmtId="0" fontId="0" fillId="59" borderId="0" xfId="0" applyNumberFormat="1" applyFont="1" applyFill="1" applyBorder="1"/>
    <x:xf numFmtId="0" fontId="2" fillId="59" borderId="0" xfId="0" applyNumberFormat="1" applyFont="1" applyFill="1" applyBorder="1" applyAlignment="1">
      <x:alignment vertical="top" wrapText="1"/>
    </x:xf>
    <x:xf numFmtId="0" fontId="2" fillId="59" borderId="0" xfId="0" applyNumberFormat="1" applyFont="1" applyFill="1" applyBorder="1"/>
    <x:xf numFmtId="0" fontId="2" fillId="59" borderId="0" xfId="0" applyNumberFormat="1" applyFont="1" applyFill="1" applyBorder="1" applyAlignment="1">
      <x:alignment wrapText="1"/>
    </x:xf>
    <x:xf numFmtId="203" fontId="2" fillId="59" borderId="0" xfId="0" applyNumberFormat="1" applyFont="1" applyFill="1" applyBorder="1" applyAlignment="1">
      <x:alignment vertical="top" wrapText="1"/>
    </x:xf>
    <x:xf numFmtId="209" fontId="0" fillId="0" borderId="0" xfId="0" applyNumberFormat="1" applyFont="1" applyFill="1" applyBorder="1" applyAlignment="1">
      <x:alignment vertical="top" wrapText="1"/>
    </x:xf>
    <x:xf numFmtId="203" fontId="2" fillId="59" borderId="0" xfId="0" applyNumberFormat="1" applyFont="1" applyFill="1" applyBorder="1" applyAlignment="1">
      <x:alignment wrapText="1"/>
    </x:xf>
    <x:xf numFmtId="205" fontId="2" fillId="59" borderId="0" xfId="0" applyNumberFormat="1" applyFont="1" applyFill="1" applyBorder="1" applyAlignment="1">
      <x:alignment wrapText="1"/>
    </x:xf>
    <x:xf numFmtId="205" fontId="0" fillId="0" borderId="0" xfId="0" applyNumberFormat="1" applyFont="1" applyFill="1" applyBorder="1" applyAlignment="1">
      <x:alignment vertical="top" wrapText="1"/>
    </x:xf>
    <x:xf numFmtId="0" fontId="0" fillId="3" borderId="0" xfId="0" applyNumberFormat="1" applyFont="1" applyFill="1" applyBorder="1" applyAlignment="1">
      <x:alignment vertical="top" wrapText="1"/>
    </x:xf>
    <x:xf numFmtId="203" fontId="2" fillId="3" borderId="0" xfId="0" applyNumberFormat="1" applyFont="1" applyFill="1" applyBorder="1" applyAlignment="1">
      <x:alignment vertical="top" wrapText="1"/>
    </x:xf>
    <x:xf numFmtId="203" fontId="2" fillId="3" borderId="0" xfId="0" applyNumberFormat="1" applyFont="1" applyFill="1" applyBorder="1" applyAlignment="1">
      <x:alignment wrapText="1"/>
    </x:xf>
    <x:xf numFmtId="205" fontId="2" fillId="3" borderId="0" xfId="0" applyNumberFormat="1" applyFont="1" applyFill="1" applyBorder="1" applyAlignment="1">
      <x:alignment wrapText="1"/>
    </x:xf>
    <x:xf numFmtId="0" fontId="0" fillId="60" borderId="1" xfId="0" applyNumberFormat="1" applyFont="1" applyFill="1" applyBorder="1" applyAlignment="1">
      <x:alignment vertical="top" wrapText="1"/>
    </x:xf>
    <x:xf numFmtId="44" fontId="0" fillId="60" borderId="2" xfId="0" applyNumberFormat="1" applyFont="1" applyFill="1" applyBorder="1" applyAlignment="1">
      <x:alignment vertical="top" wrapText="1"/>
    </x:xf>
    <x:xf numFmtId="0" fontId="0" fillId="60" borderId="0" xfId="0" applyNumberFormat="1" applyFont="1" applyFill="1" applyBorder="1" applyAlignment="1">
      <x:alignment wrapText="1"/>
    </x:xf>
    <x:xf numFmtId="0" fontId="0" fillId="60" borderId="0" xfId="0" applyNumberFormat="1" applyFont="1" applyFill="1" applyBorder="1"/>
    <x:xf numFmtId="0" fontId="4" fillId="60" borderId="1" xfId="0" applyNumberFormat="1" applyFont="1" applyFill="1" applyBorder="1" applyAlignment="1">
      <x:alignment vertical="top" wrapText="1"/>
    </x:xf>
    <x:xf numFmtId="44" fontId="4" fillId="60" borderId="2" xfId="0" applyNumberFormat="1" applyFont="1" applyFill="1" applyBorder="1" applyAlignment="1">
      <x:alignment vertical="top" wrapText="1"/>
    </x:xf>
    <x:xf numFmtId="0" fontId="4" fillId="60" borderId="0" xfId="0" applyNumberFormat="1" applyFont="1" applyFill="1" applyBorder="1" applyAlignment="1">
      <x:alignment wrapText="1"/>
    </x:xf>
    <x:xf numFmtId="0" fontId="4" fillId="60" borderId="0" xfId="0" applyNumberFormat="1" applyFont="1" applyFill="1" applyBorder="1"/>
    <x:xf numFmtId="0" fontId="4" fillId="60" borderId="1" xfId="0" applyNumberFormat="1" applyFont="1" applyFill="1" applyBorder="1" applyAlignment="1">
      <x:alignment vertical="center" wrapText="1"/>
    </x:xf>
    <x:xf numFmtId="44" fontId="4" fillId="60" borderId="2" xfId="0" applyNumberFormat="1" applyFont="1" applyFill="1" applyBorder="1" applyAlignment="1">
      <x:alignment vertical="center" wrapText="1"/>
    </x:xf>
    <x:xf numFmtId="0" fontId="4" fillId="60" borderId="0" xfId="0" applyNumberFormat="1" applyFont="1" applyFill="1" applyBorder="1" applyAlignment="1">
      <x:alignment vertical="center" wrapText="1"/>
    </x:xf>
    <x:xf numFmtId="206" fontId="0" fillId="0" borderId="0" xfId="0" applyNumberFormat="1" applyFont="1" applyFill="1" applyBorder="1" applyAlignment="1">
      <x:alignment wrapText="1"/>
    </x:xf>
    <x:xf numFmtId="206" fontId="0" fillId="0" borderId="0" xfId="0" applyNumberFormat="1" applyFont="1" applyFill="1" applyBorder="1"/>
    <x:xf numFmtId="206" fontId="4" fillId="60" borderId="0" xfId="0" applyNumberFormat="1" applyFont="1" applyFill="1" applyBorder="1" applyAlignment="1">
      <x:alignment vertical="center" wrapText="1"/>
    </x:xf>
    <x:xf numFmtId="0" fontId="0" fillId="2" borderId="1" xfId="0" applyNumberFormat="1" applyFont="1" applyFill="1" applyBorder="1" applyAlignment="1">
      <x:alignment vertical="top" wrapText="1"/>
    </x:xf>
    <x:xf numFmtId="44" fontId="0" fillId="2" borderId="2" xfId="0" applyNumberFormat="1" applyFont="1" applyFill="1" applyBorder="1" applyAlignment="1">
      <x:alignment vertical="top" wrapText="1"/>
    </x:xf>
    <x:xf numFmtId="0" fontId="0" fillId="2" borderId="0" xfId="0" applyNumberFormat="1" applyFont="1" applyFill="1" applyBorder="1" applyAlignment="1">
      <x:alignment wrapText="1"/>
    </x:xf>
    <x:xf numFmtId="0" fontId="4" fillId="2" borderId="1" xfId="0" applyNumberFormat="1" applyFont="1" applyFill="1" applyBorder="1" applyAlignment="1">
      <x:alignment vertical="top" wrapText="1"/>
    </x:xf>
    <x:xf numFmtId="44" fontId="4" fillId="2" borderId="2" xfId="0" applyNumberFormat="1" applyFont="1" applyFill="1" applyBorder="1" applyAlignment="1">
      <x:alignment vertical="top" wrapText="1"/>
    </x:xf>
    <x:xf numFmtId="44" fontId="4" fillId="2" borderId="2" xfId="0" applyNumberFormat="1" applyFont="1" applyFill="1" applyBorder="1" applyAlignment="1">
      <x:alignment vertical="center" wrapText="1"/>
    </x:xf>
    <x:xf numFmtId="206" fontId="4" fillId="2" borderId="0" xfId="0" applyNumberFormat="1" applyFont="1" applyFill="1" applyBorder="1" applyAlignment="1">
      <x:alignment vertical="center" wrapText="1"/>
    </x:xf>
    <x:xf numFmtId="0" fontId="2" fillId="0" borderId="1" xfId="0" applyNumberFormat="1" applyFont="1" applyFill="1" applyBorder="1" applyAlignment="1">
      <x:alignment vertical="top" wrapText="1"/>
    </x:xf>
    <x:xf numFmtId="0" fontId="2" fillId="6" borderId="1" xfId="0" applyNumberFormat="1" applyFont="1" applyFill="1" applyBorder="1" applyAlignment="1">
      <x:alignment vertical="top" wrapText="1"/>
    </x:xf>
    <x:xf numFmtId="164" fontId="2" fillId="6" borderId="1" xfId="0" applyNumberFormat="1" applyFont="1" applyFill="1" applyBorder="1" applyAlignment="1">
      <x:alignment horizontal="center" vertical="top" wrapText="1"/>
    </x:xf>
    <x:xf numFmtId="0" fontId="0" fillId="6" borderId="0" xfId="0" applyNumberFormat="1" applyFont="1" applyFill="1" applyBorder="1" applyAlignment="1">
      <x:alignment vertical="top" wrapText="1"/>
    </x:xf>
    <x:xf numFmtId="164" fontId="0" fillId="8" borderId="1" xfId="0" applyNumberFormat="1" applyFont="1" applyFill="1" applyBorder="1" applyAlignment="1">
      <x:alignment vertical="top" wrapText="1"/>
    </x:xf>
    <x:xf numFmtId="164" fontId="2" fillId="4" borderId="1" xfId="0" applyNumberFormat="1" applyFont="1" applyFill="1" applyBorder="1" applyAlignment="1">
      <x:alignment vertical="top" wrapText="1"/>
    </x:xf>
    <x:xf numFmtId="164" fontId="0" fillId="0" borderId="2" xfId="0" applyNumberFormat="1" applyFont="1" applyFill="1" applyBorder="1" applyAlignment="1">
      <x:alignment vertical="top" wrapText="1"/>
    </x:xf>
    <x:xf numFmtId="206" fontId="0" fillId="0" borderId="0" xfId="0" applyNumberFormat="1" applyFont="1" applyFill="1" applyBorder="1" applyAlignment="1">
      <x:alignment vertical="top" wrapText="1"/>
    </x:xf>
    <x:xf numFmtId="206" fontId="4" fillId="2" borderId="0" xfId="0" applyNumberFormat="1" applyFont="1" applyFill="1" applyBorder="1" applyAlignment="1">
      <x:alignment vertical="top" wrapText="1"/>
    </x:xf>
    <x:xf numFmtId="0" fontId="4" fillId="61" borderId="1" xfId="0" applyNumberFormat="1" applyFont="1" applyFill="1" applyBorder="1" applyAlignment="1">
      <x:alignment vertical="top" wrapText="1"/>
    </x:xf>
    <x:xf numFmtId="44" fontId="4" fillId="61" borderId="2" xfId="0" applyNumberFormat="1" applyFont="1" applyFill="1" applyBorder="1" applyAlignment="1">
      <x:alignment vertical="top" wrapText="1"/>
    </x:xf>
    <x:xf numFmtId="0" fontId="4" fillId="61" borderId="0" xfId="0" applyNumberFormat="1" applyFont="1" applyFill="1" applyBorder="1" applyAlignment="1">
      <x:alignment vertical="top" wrapText="1"/>
    </x:xf>
    <x:xf numFmtId="0" fontId="4" fillId="61" borderId="1" xfId="0" applyNumberFormat="1" applyFont="1" applyFill="1" applyBorder="1" applyAlignment="1">
      <x:alignment vertical="center" wrapText="1"/>
    </x:xf>
    <x:xf numFmtId="44" fontId="4" fillId="61" borderId="2" xfId="0" applyNumberFormat="1" applyFont="1" applyFill="1" applyBorder="1" applyAlignment="1">
      <x:alignment vertical="center" wrapText="1"/>
    </x:xf>
    <x:xf numFmtId="0" fontId="4" fillId="61" borderId="0" xfId="0" applyNumberFormat="1" applyFont="1" applyFill="1" applyBorder="1" applyAlignment="1">
      <x:alignment vertical="center" wrapText="1"/>
    </x:xf>
    <x:xf numFmtId="0" fontId="4" fillId="61" borderId="1" xfId="0" applyNumberFormat="1" applyFont="1" applyFill="1" applyBorder="1" applyAlignment="1">
      <x:alignment horizontal="left" vertical="center" wrapText="1"/>
    </x:xf>
    <x:xf numFmtId="44" fontId="4" fillId="61" borderId="2" xfId="0" applyNumberFormat="1" applyFont="1" applyFill="1" applyBorder="1" applyAlignment="1">
      <x:alignment horizontal="left" vertical="center" wrapText="1"/>
    </x:xf>
    <x:xf numFmtId="0" fontId="4" fillId="61" borderId="0" xfId="0" applyNumberFormat="1" applyFont="1" applyFill="1" applyBorder="1" applyAlignment="1">
      <x:alignment horizontal="left" vertical="center" wrapText="1"/>
    </x:xf>
    <x:xf numFmtId="206" fontId="4" fillId="61" borderId="0" xfId="0" applyNumberFormat="1" applyFont="1" applyFill="1" applyBorder="1" applyAlignment="1">
      <x:alignment vertical="top" wrapText="1"/>
    </x:xf>
    <x:xf numFmtId="0" fontId="4" fillId="2" borderId="1" xfId="0" applyNumberFormat="1" applyFont="1" applyFill="1" applyBorder="1" applyAlignment="1">
      <x:alignment horizontal="left" vertical="center" wrapText="1"/>
    </x:xf>
    <x:xf numFmtId="44" fontId="4" fillId="2" borderId="2" xfId="0" applyNumberFormat="1" applyFont="1" applyFill="1" applyBorder="1" applyAlignment="1">
      <x:alignment horizontal="left" vertical="center" wrapText="1"/>
    </x:xf>
    <x:xf numFmtId="0" fontId="4" fillId="2" borderId="0" xfId="0" applyNumberFormat="1" applyFont="1" applyFill="1" applyBorder="1" applyAlignment="1">
      <x:alignment horizontal="left" vertical="center" wrapText="1"/>
    </x:xf>
    <x:xf numFmtId="0" fontId="20" fillId="2" borderId="1" xfId="0" applyNumberFormat="1" applyFont="1" applyFill="1" applyBorder="1" applyAlignment="1">
      <x:alignment horizontal="left" vertical="center" wrapText="1"/>
    </x:xf>
    <x:xf numFmtId="44" fontId="20" fillId="2" borderId="2" xfId="0" applyNumberFormat="1" applyFont="1" applyFill="1" applyBorder="1" applyAlignment="1">
      <x:alignment horizontal="left" vertical="center" wrapText="1"/>
    </x:xf>
    <x:xf numFmtId="0" fontId="20" fillId="2" borderId="0" xfId="0" applyNumberFormat="1" applyFont="1" applyFill="1" applyBorder="1" applyAlignment="1">
      <x:alignment horizontal="left" vertical="center" wrapText="1"/>
    </x:xf>
    <x:xf numFmtId="0" fontId="20" fillId="62" borderId="1" xfId="0" applyNumberFormat="1" applyFont="1" applyFill="1" applyBorder="1" applyAlignment="1">
      <x:alignment horizontal="left" vertical="center" wrapText="1"/>
    </x:xf>
    <x:xf numFmtId="44" fontId="20" fillId="62" borderId="2" xfId="0" applyNumberFormat="1" applyFont="1" applyFill="1" applyBorder="1" applyAlignment="1">
      <x:alignment horizontal="left" vertical="center" wrapText="1"/>
    </x:xf>
    <x:xf numFmtId="0" fontId="20" fillId="62" borderId="0" xfId="0" applyNumberFormat="1" applyFont="1" applyFill="1" applyBorder="1" applyAlignment="1">
      <x:alignment horizontal="left" vertical="center" wrapText="1"/>
    </x:xf>
    <x:xf numFmtId="0" fontId="20" fillId="63" borderId="1" xfId="0" applyNumberFormat="1" applyFont="1" applyFill="1" applyBorder="1" applyAlignment="1">
      <x:alignment horizontal="left" vertical="center" wrapText="1"/>
    </x:xf>
    <x:xf numFmtId="44" fontId="20" fillId="63" borderId="2" xfId="0" applyNumberFormat="1" applyFont="1" applyFill="1" applyBorder="1" applyAlignment="1">
      <x:alignment horizontal="left" vertical="center" wrapText="1"/>
    </x:xf>
    <x:xf numFmtId="0" fontId="20" fillId="63" borderId="0" xfId="0" applyNumberFormat="1" applyFont="1" applyFill="1" applyBorder="1" applyAlignment="1">
      <x:alignment horizontal="left" vertical="center" wrapText="1"/>
    </x:xf>
    <x:xf numFmtId="0" fontId="0" fillId="64" borderId="0" xfId="0" applyNumberFormat="1" applyFont="1" applyFill="1" applyBorder="1"/>
    <x:xf numFmtId="0" fontId="4" fillId="64" borderId="0" xfId="0" applyNumberFormat="1" applyFont="1" applyFill="1" applyBorder="1"/>
    <x:xf numFmtId="0" fontId="4" fillId="64" borderId="0" xfId="0" applyNumberFormat="1" applyFont="1" applyFill="1" applyBorder="1" applyAlignment="1">
      <x:alignment wrapText="1"/>
    </x:xf>
    <x:xf numFmtId="0" fontId="0" fillId="65" borderId="0" xfId="0" applyNumberFormat="1" applyFont="1" applyFill="1" applyBorder="1"/>
    <x:xf numFmtId="0" fontId="4" fillId="65" borderId="0" xfId="0" applyNumberFormat="1" applyFont="1" applyFill="1" applyBorder="1"/>
    <x:xf numFmtId="0" fontId="0" fillId="66" borderId="0" xfId="0" applyNumberFormat="1" applyFont="1" applyFill="1" applyBorder="1"/>
    <x:xf numFmtId="0" fontId="2" fillId="66" borderId="0" xfId="0" applyNumberFormat="1" applyFont="1" applyFill="1" applyBorder="1"/>
    <x:xf numFmtId="0" fontId="4" fillId="65" borderId="0" xfId="0" applyNumberFormat="1" applyFont="1" applyFill="1" applyBorder="1" applyAlignment="1">
      <x:alignment wrapText="1"/>
    </x:xf>
    <x:xf numFmtId="0" fontId="0" fillId="67" borderId="0" xfId="0" applyNumberFormat="1" applyFont="1" applyFill="1" applyBorder="1"/>
    <x:xf numFmtId="0" fontId="4"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4" fillId="67" borderId="0" xfId="0" applyNumberFormat="1" applyFont="1" applyFill="1" applyBorder="1" applyAlignment="1">
      <x:alignment wrapText="1"/>
    </x:xf>
    <x:xf numFmtId="0" fontId="0" fillId="69" borderId="0" xfId="0" applyNumberFormat="1" applyFont="1" applyFill="1" applyBorder="1"/>
    <x:xf numFmtId="0" fontId="4" fillId="69" borderId="0" xfId="0" applyNumberFormat="1" applyFont="1" applyFill="1" applyBorder="1"/>
    <x:xf numFmtId="0" fontId="4" fillId="69" borderId="0" xfId="0" applyNumberFormat="1" applyFont="1" applyFill="1" applyBorder="1" applyAlignment="1">
      <x:alignment wrapText="1"/>
    </x:xf>
    <x:xf numFmtId="200" fontId="0" fillId="7" borderId="1" xfId="0" applyNumberFormat="1" applyFont="1" applyFill="1" applyBorder="1" applyAlignment="1">
      <x:alignment vertical="center" wrapText="1"/>
    </x:xf>
    <x:xf numFmtId="203" fontId="0" fillId="6" borderId="1" xfId="0" applyNumberFormat="1" applyFont="1" applyFill="1" applyBorder="1" applyAlignment="1">
      <x:alignment vertical="center" wrapText="1"/>
    </x:xf>
    <x:xf numFmtId="0" fontId="13" fillId="14" borderId="1" xfId="0" applyNumberFormat="1" applyFont="1" applyFill="1" applyBorder="1" applyAlignment="1">
      <x:alignment vertical="center" wrapText="1"/>
    </x:xf>
    <x:xf numFmtId="0" fontId="13" fillId="13" borderId="1" xfId="0" applyNumberFormat="1" applyFont="1" applyFill="1" applyBorder="1" applyAlignment="1">
      <x:alignment vertical="center" wrapText="1"/>
    </x:xf>
    <x:xf numFmtId="0" fontId="0" fillId="70" borderId="0" xfId="0" applyNumberFormat="1" applyFont="1" applyFill="1" applyBorder="1"/>
    <x:xf numFmtId="0" fontId="4" fillId="70" borderId="0" xfId="0" applyNumberFormat="1" applyFont="1" applyFill="1" applyBorder="1"/>
    <x:xf numFmtId="0" fontId="4" fillId="70" borderId="0" xfId="0" applyNumberFormat="1" applyFont="1" applyFill="1" applyBorder="1" applyAlignment="1">
      <x:alignment wrapText="1"/>
    </x:xf>
    <x:xf numFmtId="0" fontId="0" fillId="71" borderId="0" xfId="0" applyNumberFormat="1" applyFont="1" applyFill="1" applyBorder="1"/>
    <x:xf numFmtId="0" fontId="4" fillId="71" borderId="0" xfId="0" applyNumberFormat="1" applyFont="1" applyFill="1" applyBorder="1"/>
    <x:xf numFmtId="0" fontId="0" fillId="72" borderId="0" xfId="0" applyNumberFormat="1" applyFont="1" applyFill="1" applyBorder="1"/>
    <x:xf numFmtId="0" fontId="2" fillId="72" borderId="0" xfId="0" applyNumberFormat="1" applyFont="1" applyFill="1" applyBorder="1"/>
    <x:xf numFmtId="0" fontId="4" fillId="71" borderId="0" xfId="0" applyNumberFormat="1" applyFont="1" applyFill="1" applyBorder="1" applyAlignment="1">
      <x:alignment wrapText="1"/>
    </x:xf>
    <x:xf numFmtId="0" fontId="4" fillId="2" borderId="0" xfId="0" applyNumberFormat="1" applyFont="1" applyFill="1" applyBorder="1" applyAlignment="1">
      <x:alignment horizontal="left" wrapText="1"/>
    </x:xf>
    <x:xf numFmtId="0" fontId="0" fillId="73" borderId="0" xfId="0" applyNumberFormat="1" applyFont="1" applyFill="1" applyBorder="1"/>
    <x:xf numFmtId="0" fontId="4" fillId="73" borderId="0" xfId="0" applyNumberFormat="1" applyFont="1" applyFill="1" applyBorder="1"/>
    <x:xf numFmtId="0" fontId="4" fillId="73" borderId="0" xfId="0" applyNumberFormat="1" applyFont="1" applyFill="1" applyBorder="1" applyAlignment="1">
      <x:alignment wrapText="1"/>
    </x:xf>
    <x:xf numFmtId="0" fontId="0" fillId="74" borderId="0" xfId="0" applyNumberFormat="1" applyFont="1" applyFill="1" applyBorder="1"/>
    <x:xf numFmtId="0" fontId="5" fillId="74" borderId="0" xfId="0" applyNumberFormat="1" applyFont="1" applyFill="1" applyBorder="1"/>
    <x:xf numFmtId="0" fontId="0" fillId="75" borderId="0" xfId="0" applyNumberFormat="1" applyFont="1" applyFill="1" applyBorder="1"/>
    <x:xf numFmtId="0" fontId="13" fillId="75" borderId="0" xfId="0" applyNumberFormat="1" applyFont="1" applyFill="1" applyBorder="1"/>
    <x:xf numFmtId="0" fontId="13" fillId="75" borderId="0" xfId="0" applyNumberFormat="1" applyFont="1" applyFill="1" applyBorder="1" applyAlignment="1">
      <x:alignment wrapText="1"/>
    </x:xf>
    <x:xf numFmtId="0" fontId="4" fillId="74" borderId="0" xfId="0" applyNumberFormat="1" applyFont="1" applyFill="1" applyBorder="1"/>
    <x:xf numFmtId="0" fontId="2" fillId="75" borderId="0" xfId="0" applyNumberFormat="1" applyFont="1" applyFill="1" applyBorder="1"/>
    <x:xf numFmtId="0" fontId="5" fillId="74" borderId="0" xfId="0" applyNumberFormat="1" applyFont="1" applyFill="1" applyBorder="1" applyAlignment="1">
      <x:alignment wrapText="1"/>
    </x:xf>
    <x:xf numFmtId="0" fontId="4" fillId="74" borderId="0" xfId="0" applyNumberFormat="1" applyFont="1" applyFill="1" applyBorder="1" applyAlignment="1">
      <x:alignment wrapText="1"/>
    </x:xf>
    <x:xf numFmtId="0" fontId="2" fillId="75" borderId="0"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0" xfId="0" applyNumberFormat="1" applyFont="1" applyFill="1" applyBorder="1" applyAlignment="1">
      <x:alignment horizontal="right" wrapText="1"/>
    </x:xf>
    <x:xf numFmtId="200" fontId="2" fillId="0" borderId="0" xfId="0" applyNumberFormat="1" applyFont="1" applyFill="1" applyBorder="1" applyAlignment="1">
      <x:alignment horizontal="right" wrapText="1"/>
    </x:xf>
    <x:xf numFmtId="0" fontId="2" fillId="76" borderId="0" xfId="0" applyNumberFormat="1" applyFont="1" applyFill="1" applyBorder="1" applyAlignment="1">
      <x:alignment wrapText="1"/>
    </x:xf>
    <x:xf numFmtId="200" fontId="2" fillId="76" borderId="0" xfId="0" applyNumberFormat="1" applyFont="1" applyFill="1" applyBorder="1" applyAlignment="1">
      <x:alignment horizontal="right" wrapText="1"/>
    </x:xf>
    <x:xf numFmtId="0" fontId="2" fillId="77" borderId="0" xfId="0" applyNumberFormat="1" applyFont="1" applyFill="1" applyBorder="1" applyAlignment="1">
      <x:alignment wrapText="1"/>
    </x:xf>
    <x:xf numFmtId="200" fontId="2" fillId="77" borderId="0" xfId="0" applyNumberFormat="1" applyFont="1" applyFill="1" applyBorder="1" applyAlignment="1">
      <x:alignment horizontal="right" wrapText="1"/>
    </x:xf>
    <x:xf numFmtId="0" fontId="2" fillId="78" borderId="0" xfId="0" applyNumberFormat="1" applyFont="1" applyFill="1" applyBorder="1" applyAlignment="1">
      <x:alignment wrapText="1"/>
    </x:xf>
    <x:xf numFmtId="200" fontId="2" fillId="0" borderId="0" xfId="0" applyNumberFormat="1" applyFont="1" applyFill="1" applyBorder="1" applyAlignment="1">
      <x:alignment wrapText="1"/>
    </x:xf>
    <x:xf numFmtId="200" fontId="2" fillId="76" borderId="0" xfId="0" applyNumberFormat="1" applyFont="1" applyFill="1" applyBorder="1" applyAlignment="1">
      <x:alignment wrapText="1"/>
    </x:xf>
    <x:xf numFmtId="200" fontId="2" fillId="77" borderId="0" xfId="0" applyNumberFormat="1" applyFont="1" applyFill="1" applyBorder="1" applyAlignment="1">
      <x:alignment wrapText="1"/>
    </x:xf>
    <x:xf numFmtId="0" fontId="0" fillId="78" borderId="0" xfId="0" applyNumberFormat="1" applyFont="1" applyFill="1" applyBorder="1" applyAlignment="1">
      <x:alignment wrapText="1"/>
    </x:xf>
    <x:xf numFmtId="200" fontId="2" fillId="6" borderId="0" xfId="0" applyNumberFormat="1" applyFont="1" applyFill="1" applyBorder="1" applyAlignment="1">
      <x:alignment horizontal="right" wrapText="1"/>
    </x:xf>
    <x:xf numFmtId="0" fontId="2" fillId="7" borderId="0" xfId="0" applyNumberFormat="1" applyFont="1" applyFill="1" applyBorder="1" applyAlignment="1">
      <x:alignment wrapText="1"/>
    </x:xf>
    <x:xf numFmtId="200" fontId="2" fillId="7" borderId="0" xfId="0" applyNumberFormat="1" applyFont="1" applyFill="1" applyBorder="1" applyAlignment="1">
      <x:alignment horizontal="right" wrapText="1"/>
    </x:xf>
    <x:xf numFmtId="0" fontId="2" fillId="24" borderId="0" xfId="0" applyNumberFormat="1" applyFont="1" applyFill="1" applyBorder="1" applyAlignment="1">
      <x:alignment wrapText="1"/>
    </x:xf>
    <x:xf numFmtId="200" fontId="2" fillId="6" borderId="0" xfId="0" applyNumberFormat="1" applyFont="1" applyFill="1" applyBorder="1" applyAlignment="1">
      <x:alignment wrapText="1"/>
    </x:xf>
    <x:xf numFmtId="200" fontId="2" fillId="7" borderId="0" xfId="0" applyNumberFormat="1" applyFont="1" applyFill="1" applyBorder="1" applyAlignment="1">
      <x:alignment wrapText="1"/>
    </x:xf>
    <x:xf numFmtId="0" fontId="0" fillId="24" borderId="0" xfId="0" applyNumberFormat="1" applyFont="1" applyFill="1" applyBorder="1" applyAlignment="1">
      <x:alignment wrapText="1"/>
    </x:xf>
    <x:xf numFmtId="0" fontId="5" fillId="79" borderId="0" xfId="0" applyNumberFormat="1" applyFont="1" applyFill="1" applyBorder="1" applyAlignment="1">
      <x:alignment wrapText="1"/>
    </x:xf>
    <x:xf numFmtId="0" fontId="0" fillId="79" borderId="0" xfId="0" applyNumberFormat="1" applyFont="1" applyFill="1" applyBorder="1"/>
    <x:xf numFmtId="0" fontId="5" fillId="79" borderId="0" xfId="0" applyNumberFormat="1" applyFont="1" applyFill="1" applyBorder="1"/>
    <x:xf numFmtId="0" fontId="13" fillId="80" borderId="0" xfId="0" applyNumberFormat="1" applyFont="1" applyFill="1" applyBorder="1" applyAlignment="1">
      <x:alignment wrapText="1"/>
    </x:xf>
    <x:xf numFmtId="0" fontId="0" fillId="80" borderId="0" xfId="0" applyNumberFormat="1" applyFont="1" applyFill="1" applyBorder="1"/>
    <x:xf numFmtId="0" fontId="13" fillId="80" borderId="0" xfId="0" applyNumberFormat="1" applyFont="1" applyFill="1" applyBorder="1"/>
    <x:xf numFmtId="0" fontId="4" fillId="79" borderId="0" xfId="0" applyNumberFormat="1" applyFont="1" applyFill="1" applyBorder="1" applyAlignment="1">
      <x:alignment wrapText="1"/>
    </x:xf>
    <x:xf numFmtId="0" fontId="4" fillId="79" borderId="0" xfId="0" applyNumberFormat="1" applyFont="1" applyFill="1" applyBorder="1"/>
    <x:xf numFmtId="0" fontId="2" fillId="79" borderId="0" xfId="0" applyNumberFormat="1" applyFont="1" applyFill="1" applyBorder="1" applyAlignment="1">
      <x:alignment wrapText="1"/>
    </x:xf>
    <x:xf numFmtId="0" fontId="0" fillId="80" borderId="0" xfId="0" applyNumberFormat="1" applyFont="1" applyFill="1" applyBorder="1" applyAlignment="1">
      <x:alignment wrapText="1"/>
    </x:xf>
    <x:xf numFmtId="0" fontId="2" fillId="80" borderId="0" xfId="0" applyNumberFormat="1" applyFont="1" applyFill="1" applyBorder="1" applyAlignment="1">
      <x:alignment wrapText="1"/>
    </x:xf>
    <x:xf numFmtId="0" fontId="2" fillId="80" borderId="0" xfId="0" applyNumberFormat="1" applyFont="1" applyFill="1" applyBorder="1"/>
    <x:xf numFmtId="0" fontId="2" fillId="81" borderId="0" xfId="0" applyNumberFormat="1" applyFont="1" applyFill="1" applyBorder="1" applyAlignment="1">
      <x:alignment wrapText="1"/>
    </x:xf>
    <x:xf numFmtId="0" fontId="0" fillId="81" borderId="0" xfId="0" applyNumberFormat="1" applyFont="1" applyFill="1" applyBorder="1"/>
    <x:xf numFmtId="0" fontId="0" fillId="79" borderId="0" xfId="0" applyNumberFormat="1" applyFont="1" applyFill="1" applyBorder="1" applyAlignment="1">
      <x:alignment wrapText="1"/>
    </x:xf>
    <x:xf numFmtId="0" fontId="0" fillId="81" borderId="0" xfId="0" applyNumberFormat="1" applyFont="1" applyFill="1" applyBorder="1" applyAlignment="1">
      <x:alignment wrapText="1"/>
    </x:xf>
    <x:xf numFmtId="200" fontId="2" fillId="3" borderId="0" xfId="0" applyNumberFormat="1" applyFont="1" applyFill="1" applyBorder="1" applyAlignment="1">
      <x:alignment wrapText="1"/>
    </x:xf>
    <x:xf numFmtId="200" fontId="4" fillId="2" borderId="0" xfId="0" applyNumberFormat="1" applyFont="1" applyFill="1" applyBorder="1" applyAlignment="1">
      <x:alignment wrapText="1"/>
    </x:xf>
    <x:xf numFmtId="0" fontId="2" fillId="82" borderId="0" xfId="0" applyNumberFormat="1" applyFont="1" applyFill="1" applyBorder="1" applyAlignment="1">
      <x:alignment wrapText="1"/>
    </x:xf>
    <x:xf numFmtId="200" fontId="2" fillId="82" borderId="0" xfId="0" applyNumberFormat="1" applyFont="1" applyFill="1" applyBorder="1" applyAlignment="1">
      <x:alignment horizontal="right" wrapText="1"/>
    </x:xf>
    <x:xf numFmtId="0" fontId="0" fillId="82" borderId="0" xfId="0" applyNumberFormat="1" applyFont="1" applyFill="1" applyBorder="1" applyAlignment="1">
      <x:alignment wrapText="1"/>
    </x:xf>
    <x:xf numFmtId="200" fontId="0" fillId="81" borderId="0" xfId="0" applyNumberFormat="1" applyFont="1" applyFill="1" applyBorder="1" applyAlignment="1">
      <x:alignment horizontal="right" wrapText="1"/>
    </x:xf>
    <x:xf numFmtId="0" fontId="2" fillId="83" borderId="0" xfId="0" applyNumberFormat="1" applyFont="1" applyFill="1" applyBorder="1" applyAlignment="1">
      <x:alignment wrapText="1"/>
    </x:xf>
    <x:xf numFmtId="200" fontId="2" fillId="83" borderId="0" xfId="0" applyNumberFormat="1" applyFont="1" applyFill="1" applyBorder="1" applyAlignment="1">
      <x:alignment horizontal="right" wrapText="1"/>
    </x:xf>
    <x:xf numFmtId="0" fontId="0" fillId="83" borderId="0" xfId="0" applyNumberFormat="1" applyFont="1" applyFill="1" applyBorder="1" applyAlignment="1">
      <x:alignment wrapText="1"/>
    </x:xf>
    <x:xf numFmtId="200" fontId="2" fillId="82" borderId="0" xfId="0" applyNumberFormat="1" applyFont="1" applyFill="1" applyBorder="1" applyAlignment="1">
      <x:alignment wrapText="1"/>
    </x:xf>
    <x:xf numFmtId="200" fontId="2" fillId="81" borderId="0" xfId="0" applyNumberFormat="1" applyFont="1" applyFill="1" applyBorder="1" applyAlignment="1">
      <x:alignment wrapText="1"/>
    </x:xf>
    <x:xf numFmtId="0" fontId="2" fillId="2" borderId="0" xfId="0" applyNumberFormat="1" applyFont="1" applyFill="1" applyBorder="1" applyAlignment="1">
      <x:alignment wrapText="1"/>
    </x:xf>
    <x:xf numFmtId="200" fontId="0" fillId="7" borderId="0" xfId="0" applyNumberFormat="1" applyFont="1" applyFill="1" applyBorder="1" applyAlignment="1">
      <x:alignment horizontal="right" wrapText="1"/>
    </x:xf>
    <x:xf numFmtId="200" fontId="2" fillId="24" borderId="0" xfId="0" applyNumberFormat="1" applyFont="1" applyFill="1" applyBorder="1" applyAlignment="1">
      <x:alignment horizontal="right" wrapText="1"/>
    </x:xf>
    <x:xf numFmtId="0" fontId="0" fillId="84" borderId="0" xfId="0" applyNumberFormat="1" applyFont="1" applyFill="1" applyBorder="1"/>
    <x:xf numFmtId="0" fontId="4" fillId="84" borderId="0" xfId="0" applyNumberFormat="1" applyFont="1" applyFill="1" applyBorder="1"/>
    <x:xf numFmtId="0" fontId="4" fillId="84" borderId="0" xfId="0" applyNumberFormat="1" applyFont="1" applyFill="1" applyBorder="1" applyAlignment="1">
      <x:alignment wrapText="1"/>
    </x:xf>
    <x:xf numFmtId="0" fontId="21" fillId="0" borderId="0" xfId="0" applyNumberFormat="1" applyFont="1" applyFill="1" applyBorder="1" applyAlignment="1">
      <x:alignment wrapText="1"/>
    </x:xf>
    <x:xf numFmtId="0" fontId="22" fillId="0" borderId="0" xfId="0" applyNumberFormat="1" applyFont="1" applyFill="1" applyBorder="1" applyAlignment="1">
      <x:alignment wrapText="1"/>
    </x:xf>
    <x:xf numFmtId="200" fontId="22" fillId="0" borderId="0" xfId="0" applyNumberFormat="1" applyFont="1" applyFill="1" applyBorder="1" applyAlignment="1">
      <x:alignment wrapText="1"/>
    </x:xf>
    <x:xf numFmtId="205" fontId="22" fillId="0" borderId="0" xfId="0" applyNumberFormat="1" applyFont="1" applyFill="1" applyBorder="1" applyAlignment="1">
      <x:alignment wrapText="1"/>
    </x:xf>
    <x:xf numFmtId="203" fontId="0" fillId="7" borderId="0" xfId="0" applyNumberFormat="1" applyFont="1" applyFill="1" applyBorder="1" applyAlignment="1">
      <x:alignment vertical="center" wrapText="1"/>
    </x:xf>
    <x:xf numFmtId="0" fontId="0" fillId="85" borderId="0" xfId="0" applyNumberFormat="1" applyFont="1" applyFill="1" applyBorder="1"/>
    <x:xf numFmtId="0" fontId="2" fillId="85" borderId="0" xfId="0" applyNumberFormat="1" applyFont="1" applyFill="1" applyBorder="1"/>
    <x:xf numFmtId="0" fontId="4" fillId="85" borderId="0" xfId="0" applyNumberFormat="1" applyFont="1" applyFill="1" applyBorder="1"/>
    <x:xf numFmtId="0" fontId="23" fillId="85" borderId="0" xfId="0" applyNumberFormat="1" applyFont="1" applyFill="1" applyBorder="1"/>
    <x:xf numFmtId="0" fontId="0" fillId="86" borderId="0" xfId="0" applyNumberFormat="1" applyFont="1" applyFill="1" applyBorder="1"/>
    <x:xf numFmtId="0" fontId="2" fillId="86" borderId="0" xfId="0" applyNumberFormat="1" applyFont="1" applyFill="1" applyBorder="1"/>
    <x:xf numFmtId="0" fontId="24"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4" fillId="87" borderId="0" xfId="0" applyNumberFormat="1" applyFont="1" applyFill="1" applyBorder="1"/>
    <x:xf numFmtId="0" fontId="25" fillId="86" borderId="0" xfId="0" applyNumberFormat="1" applyFont="1" applyFill="1" applyBorder="1"/>
    <x:xf numFmtId="0" fontId="26" fillId="86" borderId="0" xfId="0" applyNumberFormat="1" applyFont="1" applyFill="1" applyBorder="1"/>
    <x:xf numFmtId="0" fontId="26" fillId="86" borderId="0" xfId="0" applyNumberFormat="1" applyFont="1" applyFill="1" applyBorder="1" applyAlignment="1">
      <x:alignment horizontal="center"/>
    </x:xf>
    <x:xf numFmtId="0" fontId="26" fillId="86" borderId="0" xfId="0" applyNumberFormat="1" applyFont="1" applyFill="1" applyBorder="1" applyAlignment="1">
      <x:alignment horizontal="center" vertical="center"/>
    </x:xf>
    <x:xf numFmtId="203" fontId="26" fillId="86" borderId="0" xfId="0" applyNumberFormat="1" applyFont="1" applyFill="1" applyBorder="1" applyAlignment="1">
      <x:alignment horizontal="center" vertical="center"/>
    </x:xf>
    <x:xf numFmtId="0" fontId="2" fillId="0" borderId="0" xfId="0" applyNumberFormat="1" applyFont="1" applyFill="1" applyBorder="1" applyAlignment="1">
      <x:alignment horizontal="center"/>
    </x:xf>
    <x:xf numFmtId="0" fontId="0" fillId="88" borderId="0" xfId="0" applyNumberFormat="1" applyFont="1" applyFill="1" applyBorder="1"/>
    <x:xf numFmtId="203" fontId="0" fillId="88" borderId="0" xfId="0" applyNumberFormat="1" applyFont="1" applyFill="1" applyBorder="1"/>
    <x:xf numFmtId="203" fontId="0" fillId="86" borderId="0" xfId="0" applyNumberFormat="1" applyFont="1" applyFill="1" applyBorder="1"/>
    <x:xf numFmtId="203" fontId="2" fillId="86" borderId="0" xfId="0" applyNumberFormat="1" applyFont="1" applyFill="1" applyBorder="1"/>
    <x:xf numFmtId="210" fontId="0" fillId="0" borderId="0" xfId="0" applyNumberFormat="1" applyFont="1" applyFill="1" applyBorder="1"/>
    <x:xf numFmtId="210" fontId="0" fillId="88" borderId="0" xfId="0" applyNumberFormat="1" applyFont="1" applyFill="1" applyBorder="1"/>
    <x:xf numFmtId="0" fontId="2" fillId="88" borderId="0" xfId="0" applyNumberFormat="1" applyFont="1" applyFill="1" applyBorder="1"/>
    <x:xf numFmtId="0" fontId="27" fillId="88" borderId="0" xfId="0" applyNumberFormat="1" applyFont="1" applyFill="1" applyBorder="1"/>
    <x:xf numFmtId="0" fontId="0" fillId="88" borderId="0" xfId="0" applyNumberFormat="1" applyFont="1" applyFill="1" applyBorder="1" applyAlignment="1">
      <x:alignment wrapText="1"/>
    </x:xf>
    <x:xf numFmtId="0" fontId="0" fillId="89" borderId="0" xfId="0" applyNumberFormat="1" applyFont="1" applyFill="1" applyBorder="1" applyAlignment="1">
      <x:alignment wrapText="1"/>
    </x:xf>
    <x:xf numFmtId="0" fontId="0" fillId="90" borderId="0" xfId="0" applyNumberFormat="1" applyFont="1" applyFill="1" applyBorder="1" applyAlignment="1">
      <x:alignment wrapText="1"/>
    </x:xf>
    <x:xf numFmtId="0" fontId="28" fillId="90" borderId="0" xfId="0" applyNumberFormat="1" applyFont="1" applyFill="1" applyBorder="1" applyAlignment="1">
      <x:alignment wrapText="1"/>
    </x:xf>
    <x:xf numFmtId="0" fontId="27" fillId="90" borderId="0" xfId="0" applyNumberFormat="1" applyFont="1" applyFill="1" applyBorder="1" applyAlignment="1">
      <x:alignment wrapText="1"/>
    </x:xf>
    <x:xf numFmtId="0" fontId="29" fillId="85" borderId="0" xfId="0" applyNumberFormat="1" applyFont="1" applyFill="1" applyBorder="1"/>
    <x:xf numFmtId="0" fontId="30" fillId="86" borderId="0" xfId="0" applyNumberFormat="1" applyFont="1" applyFill="1" applyBorder="1"/>
    <x:xf numFmtId="0" fontId="31" fillId="86" borderId="0" xfId="0" applyNumberFormat="1" applyFont="1" applyFill="1" applyBorder="1"/>
    <x:xf numFmtId="0" fontId="31" fillId="86" borderId="0" xfId="0" applyNumberFormat="1" applyFont="1" applyFill="1" applyBorder="1" applyAlignment="1">
      <x:alignment horizontal="center"/>
    </x:xf>
    <x:xf numFmtId="0" fontId="31" fillId="86" borderId="0" xfId="0" applyNumberFormat="1" applyFont="1" applyFill="1" applyBorder="1" applyAlignment="1">
      <x:alignment horizontal="center" vertical="center"/>
    </x:xf>
    <x:xf numFmtId="203" fontId="31" fillId="86" borderId="0" xfId="0" applyNumberFormat="1" applyFont="1" applyFill="1" applyBorder="1" applyAlignment="1">
      <x:alignment horizontal="center" vertical="center"/>
    </x:xf>
    <x:xf numFmtId="0" fontId="0" fillId="89" borderId="0" xfId="0" applyNumberFormat="1" applyFont="1" applyFill="1" applyBorder="1"/>
    <x:xf numFmtId="203" fontId="31" fillId="86" borderId="0" xfId="0" applyNumberFormat="1" applyFont="1" applyFill="1" applyBorder="1"/>
    <x:xf numFmtId="203" fontId="2" fillId="24" borderId="0" xfId="0" applyNumberFormat="1" applyFont="1" applyFill="1" applyBorder="1" applyAlignment="1">
      <x:alignment horizontal="right" wrapText="1"/>
    </x:xf>
    <x:xf numFmtId="0" fontId="2" fillId="86" borderId="0" xfId="0" applyNumberFormat="1" applyFont="1" applyFill="1" applyBorder="1" applyAlignment="1">
      <x:alignment wrapText="1"/>
    </x:xf>
    <x:xf numFmtId="203" fontId="2" fillId="86" borderId="0" xfId="0" applyNumberFormat="1" applyFont="1" applyFill="1" applyBorder="1" applyAlignment="1">
      <x:alignment horizontal="right" wrapText="1"/>
    </x:xf>
    <x:xf numFmtId="0" fontId="0" fillId="86" borderId="0" xfId="0" applyNumberFormat="1" applyFont="1" applyFill="1" applyBorder="1" applyAlignment="1">
      <x:alignment wrapText="1"/>
    </x:xf>
    <x:xf numFmtId="0" fontId="5" fillId="85" borderId="0" xfId="0" applyNumberFormat="1" applyFont="1" applyFill="1" applyBorder="1" applyAlignment="1">
      <x:alignment vertical="top" wrapText="1"/>
    </x:xf>
    <x:xf numFmtId="0" fontId="0" fillId="85" borderId="0" xfId="0" applyNumberFormat="1" applyFont="1" applyFill="1" applyBorder="1" applyAlignment="1">
      <x:alignment vertical="top" wrapText="1"/>
    </x:xf>
    <x:xf numFmtId="0" fontId="16" fillId="85" borderId="0" xfId="0" applyNumberFormat="1" applyFont="1" applyFill="1" applyBorder="1" applyAlignment="1">
      <x:alignment vertical="top" wrapText="1"/>
    </x:xf>
    <x:xf numFmtId="0" fontId="32" fillId="85" borderId="0" xfId="0" applyNumberFormat="1" applyFont="1" applyFill="1" applyBorder="1" applyAlignment="1">
      <x:alignment vertical="top" wrapText="1"/>
    </x:xf>
    <x:xf numFmtId="0" fontId="32" fillId="85" borderId="0" xfId="0" applyNumberFormat="1" applyFont="1" applyFill="1" applyBorder="1"/>
    <x:xf numFmtId="0" fontId="33" fillId="85" borderId="0" xfId="0" applyNumberFormat="1" applyFont="1" applyFill="1" applyBorder="1" applyAlignment="1">
      <x:alignment vertical="top" wrapText="1"/>
    </x:xf>
    <x:xf numFmtId="0" fontId="4" fillId="85" borderId="0" xfId="0" applyNumberFormat="1" applyFont="1" applyFill="1" applyBorder="1" applyAlignment="1">
      <x:alignment vertical="top" wrapText="1"/>
    </x:xf>
    <x:xf numFmtId="0" fontId="34" fillId="85" borderId="0" xfId="0" applyNumberFormat="1" applyFont="1" applyFill="1" applyBorder="1" applyAlignment="1">
      <x:alignment vertical="top" wrapText="1"/>
    </x:xf>
    <x:xf numFmtId="0" fontId="0" fillId="91" borderId="0" xfId="0" applyNumberFormat="1" applyFont="1" applyFill="1" applyBorder="1"/>
    <x:xf numFmtId="0" fontId="2" fillId="91" borderId="0" xfId="0" applyNumberFormat="1" applyFont="1" applyFill="1" applyBorder="1"/>
    <x:xf numFmtId="0" fontId="4" fillId="91" borderId="0" xfId="0" applyNumberFormat="1" applyFont="1" applyFill="1" applyBorder="1"/>
    <x:xf numFmtId="0" fontId="35" fillId="85" borderId="0" xfId="0" applyNumberFormat="1" applyFont="1" applyFill="1" applyBorder="1"/>
    <x:xf numFmtId="0" fontId="36" fillId="86" borderId="0" xfId="0" applyNumberFormat="1" applyFont="1" applyFill="1" applyBorder="1"/>
    <x:xf numFmtId="0" fontId="37" fillId="0" borderId="0" xfId="0" applyNumberFormat="1" applyFont="1" applyFill="1" applyBorder="1"/>
    <x:xf numFmtId="0" fontId="38" fillId="87" borderId="0" xfId="0" applyNumberFormat="1" applyFont="1" applyFill="1" applyBorder="1"/>
    <x:xf numFmtId="0" fontId="38" fillId="85" borderId="0" xfId="0" applyNumberFormat="1" applyFont="1" applyFill="1" applyBorder="1"/>
    <x:xf numFmtId="203" fontId="39" fillId="86" borderId="0" xfId="0" applyNumberFormat="1" applyFont="1" applyFill="1" applyBorder="1" applyAlignment="1">
      <x:alignment horizontal="center" vertical="center"/>
    </x:xf>
    <x:xf numFmtId="0" fontId="37" fillId="88" borderId="0" xfId="0" applyNumberFormat="1" applyFont="1" applyFill="1" applyBorder="1"/>
    <x:xf numFmtId="203" fontId="37" fillId="88" borderId="0" xfId="0" applyNumberFormat="1" applyFont="1" applyFill="1" applyBorder="1"/>
    <x:xf numFmtId="0" fontId="40" fillId="0" borderId="0" xfId="0" applyNumberFormat="1" applyFont="1" applyFill="1" applyBorder="1" applyAlignment="1">
      <x:alignment horizontal="center"/>
    </x:xf>
    <x:xf numFmtId="0" fontId="40" fillId="86" borderId="0" xfId="0" applyNumberFormat="1" applyFont="1" applyFill="1" applyBorder="1"/>
    <x:xf numFmtId="203" fontId="40" fillId="86" borderId="0" xfId="0" applyNumberFormat="1" applyFont="1" applyFill="1" applyBorder="1"/>
    <x:xf numFmtId="0" fontId="37" fillId="88" borderId="0" xfId="0" applyNumberFormat="1" applyFont="1" applyFill="1" applyBorder="1" applyAlignment="1">
      <x:alignment wrapText="1"/>
    </x:xf>
    <x:xf numFmtId="0" fontId="37" fillId="89" borderId="0" xfId="0" applyNumberFormat="1" applyFont="1" applyFill="1" applyBorder="1" applyAlignment="1">
      <x:alignment wrapText="1"/>
    </x:xf>
    <x:xf numFmtId="210" fontId="37" fillId="88" borderId="0" xfId="0" applyNumberFormat="1" applyFont="1" applyFill="1" applyBorder="1"/>
    <x:xf numFmtId="0" fontId="41" fillId="88" borderId="0" xfId="0" applyNumberFormat="1" applyFont="1" applyFill="1" applyBorder="1"/>
    <x:xf numFmtId="0" fontId="40" fillId="0" borderId="0" xfId="0" applyNumberFormat="1" applyFont="1" applyFill="1" applyBorder="1" applyAlignment="1">
      <x:alignment wrapText="1"/>
    </x:xf>
    <x:xf numFmtId="0" fontId="37" fillId="0" borderId="0" xfId="0" applyNumberFormat="1" applyFont="1" applyFill="1" applyBorder="1" applyAlignment="1">
      <x:alignment wrapText="1"/>
    </x:xf>
    <x:xf numFmtId="0" fontId="41" fillId="90" borderId="0" xfId="0" applyNumberFormat="1" applyFont="1" applyFill="1" applyBorder="1" applyAlignment="1">
      <x:alignment wrapText="1"/>
    </x:xf>
    <x:xf numFmtId="0" fontId="42" fillId="3" borderId="0" xfId="0" applyNumberFormat="1" applyFont="1" applyFill="1" applyBorder="1" applyAlignment="1">
      <x:alignment vertical="center" wrapText="1"/>
    </x:xf>
    <x:xf numFmtId="0" fontId="37" fillId="0" borderId="0" xfId="0" applyNumberFormat="1" applyFont="1" applyFill="1" applyBorder="1" applyAlignment="1">
      <x:alignment vertical="center" wrapText="1"/>
    </x:xf>
    <x:xf numFmtId="0" fontId="40" fillId="3" borderId="0" xfId="0" applyNumberFormat="1" applyFont="1" applyFill="1" applyBorder="1" applyAlignment="1">
      <x:alignment vertical="center" wrapText="1"/>
    </x:xf>
    <x:xf numFmtId="0" fontId="37" fillId="0" borderId="0" xfId="0" applyNumberFormat="1" applyFont="1" applyFill="1" applyBorder="1" applyAlignment="1">
      <x:alignment vertical="center"/>
    </x:xf>
    <x:xf numFmtId="0" fontId="40" fillId="0" borderId="0" xfId="0" applyNumberFormat="1" applyFont="1" applyFill="1" applyBorder="1" applyAlignment="1">
      <x:alignment vertical="center" wrapText="1"/>
    </x:xf>
    <x:xf numFmtId="0" fontId="37" fillId="5" borderId="0" xfId="0" applyNumberFormat="1" applyFont="1" applyFill="1" applyBorder="1" applyAlignment="1">
      <x:alignment vertical="center" wrapText="1"/>
    </x:xf>
    <x:xf numFmtId="0" fontId="38" fillId="2" borderId="0" xfId="0" applyNumberFormat="1" applyFont="1" applyFill="1" applyBorder="1" applyAlignment="1">
      <x:alignment vertical="center"/>
    </x:xf>
    <x:xf numFmtId="0" fontId="40" fillId="3" borderId="0" xfId="0" applyNumberFormat="1" applyFont="1" applyFill="1" applyBorder="1" applyAlignment="1">
      <x:alignment horizontal="center" vertical="center"/>
    </x:xf>
    <x:xf numFmtId="0" fontId="37" fillId="7" borderId="0" xfId="0" applyNumberFormat="1" applyFont="1" applyFill="1" applyBorder="1" applyAlignment="1">
      <x:alignment vertical="center" wrapText="1"/>
    </x:xf>
    <x:xf numFmtId="0" fontId="43" fillId="2" borderId="0" xfId="0" applyNumberFormat="1" applyFont="1" applyFill="1" applyBorder="1" applyAlignment="1">
      <x:alignment vertical="center"/>
    </x:xf>
    <x:xf numFmtId="0" fontId="37" fillId="5" borderId="0" xfId="0" applyNumberFormat="1" applyFont="1" applyFill="1" applyBorder="1" applyAlignment="1">
      <x:alignment wrapText="1"/>
    </x:xf>
    <x:xf numFmtId="0" fontId="38" fillId="2" borderId="0" xfId="0" applyNumberFormat="1" applyFont="1" applyFill="1" applyBorder="1" applyAlignment="1">
      <x:alignment wrapText="1"/>
    </x:xf>
    <x:xf numFmtId="0" fontId="44" fillId="85" borderId="0" xfId="0" applyNumberFormat="1" applyFont="1" applyFill="1" applyBorder="1"/>
    <x:xf numFmtId="0" fontId="45" fillId="86" borderId="0" xfId="0" applyNumberFormat="1" applyFont="1" applyFill="1" applyBorder="1"/>
    <x:xf numFmtId="0" fontId="46" fillId="0" borderId="0" xfId="0" applyNumberFormat="1" applyFont="1" applyFill="1" applyBorder="1"/>
    <x:xf numFmtId="0" fontId="44" fillId="87" borderId="0" xfId="0" applyNumberFormat="1" applyFont="1" applyFill="1" applyBorder="1"/>
    <x:xf numFmtId="203" fontId="45" fillId="86" borderId="0" xfId="0" applyNumberFormat="1" applyFont="1" applyFill="1" applyBorder="1" applyAlignment="1">
      <x:alignment horizontal="center" vertical="center"/>
    </x:xf>
    <x:xf numFmtId="0" fontId="46" fillId="88" borderId="0" xfId="0" applyNumberFormat="1" applyFont="1" applyFill="1" applyBorder="1"/>
    <x:xf numFmtId="203" fontId="46" fillId="88" borderId="0" xfId="0" applyNumberFormat="1" applyFont="1" applyFill="1" applyBorder="1"/>
    <x:xf numFmtId="0" fontId="47" fillId="0" borderId="0" xfId="0" applyNumberFormat="1" applyFont="1" applyFill="1" applyBorder="1" applyAlignment="1">
      <x:alignment horizontal="center"/>
    </x:xf>
    <x:xf numFmtId="0" fontId="47" fillId="86" borderId="0" xfId="0" applyNumberFormat="1" applyFont="1" applyFill="1" applyBorder="1"/>
    <x:xf numFmtId="203" fontId="47" fillId="86" borderId="0" xfId="0" applyNumberFormat="1" applyFont="1" applyFill="1" applyBorder="1"/>
    <x:xf numFmtId="0" fontId="46" fillId="88" borderId="0" xfId="0" applyNumberFormat="1" applyFont="1" applyFill="1" applyBorder="1" applyAlignment="1">
      <x:alignment wrapText="1"/>
    </x:xf>
    <x:xf numFmtId="0" fontId="46" fillId="89" borderId="0" xfId="0" applyNumberFormat="1" applyFont="1" applyFill="1" applyBorder="1" applyAlignment="1">
      <x:alignment wrapText="1"/>
    </x:xf>
    <x:xf numFmtId="210" fontId="46" fillId="88" borderId="0" xfId="0" applyNumberFormat="1" applyFont="1" applyFill="1" applyBorder="1"/>
    <x:xf numFmtId="0" fontId="48" fillId="88" borderId="0" xfId="0" applyNumberFormat="1" applyFont="1" applyFill="1" applyBorder="1"/>
    <x:xf numFmtId="0" fontId="47" fillId="0" borderId="0" xfId="0" applyNumberFormat="1" applyFont="1" applyFill="1" applyBorder="1" applyAlignment="1">
      <x:alignment wrapText="1"/>
    </x:xf>
    <x:xf numFmtId="0" fontId="46" fillId="0" borderId="0" xfId="0" applyNumberFormat="1" applyFont="1" applyFill="1" applyBorder="1" applyAlignment="1">
      <x:alignment wrapText="1"/>
    </x:xf>
    <x:xf numFmtId="0" fontId="48" fillId="90" borderId="0" xfId="0" applyNumberFormat="1" applyFont="1" applyFill="1" applyBorder="1" applyAlignment="1">
      <x:alignment wrapText="1"/>
    </x:xf>
    <x:xf numFmtId="0" fontId="49" fillId="3" borderId="0" xfId="0" applyNumberFormat="1" applyFont="1" applyFill="1" applyBorder="1" applyAlignment="1">
      <x:alignment vertical="center" wrapText="1"/>
    </x:xf>
    <x:xf numFmtId="0" fontId="46" fillId="0" borderId="0" xfId="0" applyNumberFormat="1" applyFont="1" applyFill="1" applyBorder="1" applyAlignment="1">
      <x:alignment vertical="center" wrapText="1"/>
    </x:xf>
    <x:xf numFmtId="0" fontId="47" fillId="3" borderId="0" xfId="0" applyNumberFormat="1" applyFont="1" applyFill="1" applyBorder="1" applyAlignment="1">
      <x:alignment vertical="center" wrapText="1"/>
    </x:xf>
    <x:xf numFmtId="0" fontId="46" fillId="0" borderId="0" xfId="0" applyNumberFormat="1" applyFont="1" applyFill="1" applyBorder="1" applyAlignment="1">
      <x:alignment vertical="center"/>
    </x:xf>
    <x:xf numFmtId="0" fontId="47" fillId="0" borderId="0" xfId="0" applyNumberFormat="1" applyFont="1" applyFill="1" applyBorder="1" applyAlignment="1">
      <x:alignment vertical="center" wrapText="1"/>
    </x:xf>
    <x:xf numFmtId="0" fontId="46" fillId="5" borderId="0" xfId="0" applyNumberFormat="1" applyFont="1" applyFill="1" applyBorder="1" applyAlignment="1">
      <x:alignment vertical="center" wrapText="1"/>
    </x:xf>
    <x:xf numFmtId="0" fontId="44" fillId="2" borderId="0" xfId="0" applyNumberFormat="1" applyFont="1" applyFill="1" applyBorder="1" applyAlignment="1">
      <x:alignment vertical="center"/>
    </x:xf>
    <x:xf numFmtId="0" fontId="47" fillId="3" borderId="0" xfId="0" applyNumberFormat="1" applyFont="1" applyFill="1" applyBorder="1" applyAlignment="1">
      <x:alignment horizontal="center" vertical="center"/>
    </x:xf>
    <x:xf numFmtId="0" fontId="46" fillId="7" borderId="0" xfId="0" applyNumberFormat="1" applyFont="1" applyFill="1" applyBorder="1" applyAlignment="1">
      <x:alignment vertical="center" wrapText="1"/>
    </x:xf>
    <x:xf numFmtId="0" fontId="46" fillId="5" borderId="0" xfId="0" applyNumberFormat="1" applyFont="1" applyFill="1" applyBorder="1" applyAlignment="1">
      <x:alignment wrapText="1"/>
    </x:xf>
    <x:xf numFmtId="0" fontId="44" fillId="2" borderId="0" xfId="0" applyNumberFormat="1" applyFont="1" applyFill="1" applyBorder="1" applyAlignment="1">
      <x:alignment wrapText="1"/>
    </x:xf>
    <x:xf numFmtId="0" fontId="44" fillId="85" borderId="0" xfId="0" applyNumberFormat="1" applyFont="1" applyFill="1" applyBorder="1" applyAlignment="1">
      <x:alignment vertical="top"/>
    </x:xf>
    <x:xf numFmtId="0" fontId="45" fillId="86" borderId="0" xfId="0" applyNumberFormat="1" applyFont="1" applyFill="1" applyBorder="1" applyAlignment="1">
      <x:alignment vertical="top"/>
    </x:xf>
    <x:xf numFmtId="0" fontId="46" fillId="0" borderId="0" xfId="0" applyNumberFormat="1" applyFont="1" applyFill="1" applyBorder="1" applyAlignment="1">
      <x:alignment vertical="top"/>
    </x:xf>
    <x:xf numFmtId="0" fontId="44" fillId="87" borderId="0" xfId="0" applyNumberFormat="1" applyFont="1" applyFill="1" applyBorder="1" applyAlignment="1">
      <x:alignment vertical="top"/>
    </x:xf>
    <x:xf numFmtId="203" fontId="45" fillId="86" borderId="0" xfId="0" applyNumberFormat="1" applyFont="1" applyFill="1" applyBorder="1" applyAlignment="1">
      <x:alignment horizontal="center" vertical="top"/>
    </x:xf>
    <x:xf numFmtId="0" fontId="46" fillId="88" borderId="0" xfId="0" applyNumberFormat="1" applyFont="1" applyFill="1" applyBorder="1" applyAlignment="1">
      <x:alignment vertical="top"/>
    </x:xf>
    <x:xf numFmtId="203" fontId="46" fillId="88" borderId="0" xfId="0" applyNumberFormat="1" applyFont="1" applyFill="1" applyBorder="1" applyAlignment="1">
      <x:alignment vertical="top"/>
    </x:xf>
    <x:xf numFmtId="0" fontId="47" fillId="0" borderId="0" xfId="0" applyNumberFormat="1" applyFont="1" applyFill="1" applyBorder="1" applyAlignment="1">
      <x:alignment horizontal="center" vertical="top"/>
    </x:xf>
    <x:xf numFmtId="0" fontId="47" fillId="86" borderId="0" xfId="0" applyNumberFormat="1" applyFont="1" applyFill="1" applyBorder="1" applyAlignment="1">
      <x:alignment vertical="top"/>
    </x:xf>
    <x:xf numFmtId="203" fontId="47" fillId="86" borderId="0" xfId="0" applyNumberFormat="1" applyFont="1" applyFill="1" applyBorder="1" applyAlignment="1">
      <x:alignment vertical="top"/>
    </x:xf>
    <x:xf numFmtId="0" fontId="46" fillId="88" borderId="0" xfId="0" applyNumberFormat="1" applyFont="1" applyFill="1" applyBorder="1" applyAlignment="1">
      <x:alignment vertical="top" wrapText="1"/>
    </x:xf>
    <x:xf numFmtId="0" fontId="46" fillId="89" borderId="0" xfId="0" applyNumberFormat="1" applyFont="1" applyFill="1" applyBorder="1" applyAlignment="1">
      <x:alignment vertical="top" wrapText="1"/>
    </x:xf>
    <x:xf numFmtId="210" fontId="46" fillId="88" borderId="0" xfId="0" applyNumberFormat="1" applyFont="1" applyFill="1" applyBorder="1" applyAlignment="1">
      <x:alignment vertical="top"/>
    </x:xf>
    <x:xf numFmtId="0" fontId="48" fillId="88" borderId="0" xfId="0" applyNumberFormat="1" applyFont="1" applyFill="1" applyBorder="1" applyAlignment="1">
      <x:alignment vertical="top"/>
    </x:xf>
    <x:xf numFmtId="0" fontId="47" fillId="0" borderId="0" xfId="0" applyNumberFormat="1" applyFont="1" applyFill="1" applyBorder="1" applyAlignment="1">
      <x:alignment vertical="top" wrapText="1"/>
    </x:xf>
    <x:xf numFmtId="0" fontId="46" fillId="0" borderId="0" xfId="0" applyNumberFormat="1" applyFont="1" applyFill="1" applyBorder="1" applyAlignment="1">
      <x:alignment vertical="top" wrapText="1"/>
    </x:xf>
    <x:xf numFmtId="0" fontId="48" fillId="90" borderId="0" xfId="0" applyNumberFormat="1" applyFont="1" applyFill="1" applyBorder="1" applyAlignment="1">
      <x:alignment vertical="top" wrapText="1"/>
    </x:xf>
    <x:xf numFmtId="0" fontId="49" fillId="3" borderId="0" xfId="0" applyNumberFormat="1" applyFont="1" applyFill="1" applyBorder="1" applyAlignment="1">
      <x:alignment vertical="top" wrapText="1"/>
    </x:xf>
    <x:xf numFmtId="0" fontId="47" fillId="3" borderId="0" xfId="0" applyNumberFormat="1" applyFont="1" applyFill="1" applyBorder="1" applyAlignment="1">
      <x:alignment vertical="top" wrapText="1"/>
    </x:xf>
    <x:xf numFmtId="0" fontId="46" fillId="5" borderId="0" xfId="0" applyNumberFormat="1" applyFont="1" applyFill="1" applyBorder="1" applyAlignment="1">
      <x:alignment vertical="top" wrapText="1"/>
    </x:xf>
    <x:xf numFmtId="0" fontId="44" fillId="2" borderId="0" xfId="0" applyNumberFormat="1" applyFont="1" applyFill="1" applyBorder="1" applyAlignment="1">
      <x:alignment vertical="top"/>
    </x:xf>
    <x:xf numFmtId="0" fontId="47" fillId="3" borderId="0" xfId="0" applyNumberFormat="1" applyFont="1" applyFill="1" applyBorder="1" applyAlignment="1">
      <x:alignment horizontal="center" vertical="top"/>
    </x:xf>
    <x:xf numFmtId="0" fontId="46" fillId="7" borderId="0" xfId="0" applyNumberFormat="1" applyFont="1" applyFill="1" applyBorder="1" applyAlignment="1">
      <x:alignment vertical="top" wrapText="1"/>
    </x:xf>
    <x:xf numFmtId="0" fontId="44" fillId="2" borderId="0" xfId="0" applyNumberFormat="1" applyFont="1" applyFill="1" applyBorder="1" applyAlignment="1">
      <x:alignment vertical="top" wrapText="1"/>
    </x:xf>
    <x:xf numFmtId="0" fontId="50" fillId="85" borderId="0" xfId="0" applyNumberFormat="1" applyFont="1" applyFill="1" applyBorder="1"/>
    <x:xf numFmtId="203" fontId="51" fillId="86" borderId="0" xfId="0" applyNumberFormat="1" applyFont="1" applyFill="1" applyBorder="1" applyAlignment="1">
      <x:alignment horizontal="center" vertical="center"/>
    </x:xf>
    <x:xf numFmtId="0" fontId="40" fillId="0" borderId="1" xfId="0" applyNumberFormat="1" applyFont="1" applyFill="1" applyBorder="1" applyAlignment="1">
      <x:alignment vertical="center" wrapText="1"/>
    </x:xf>
    <x:xf numFmtId="0" fontId="37" fillId="0" borderId="0" xfId="0" applyNumberFormat="1" applyFont="1" applyFill="1" applyBorder="1" applyAlignment="1">
      <x:alignment vertical="top" wrapText="1"/>
    </x:xf>
    <x:xf numFmtId="0" fontId="40" fillId="3" borderId="1" xfId="0" applyNumberFormat="1" applyFont="1" applyFill="1" applyBorder="1" applyAlignment="1">
      <x:alignment vertical="center" wrapText="1"/>
    </x:xf>
    <x:xf numFmtId="0" fontId="37" fillId="0" borderId="1" xfId="0" applyNumberFormat="1" applyFont="1" applyFill="1" applyBorder="1" applyAlignment="1">
      <x:alignment vertical="center" wrapText="1"/>
    </x:xf>
    <x:xf numFmtId="4" fontId="37" fillId="0" borderId="1" xfId="0" applyNumberFormat="1" applyFont="1" applyFill="1" applyBorder="1" applyAlignment="1">
      <x:alignment vertical="center" wrapText="1"/>
    </x:xf>
    <x:xf numFmtId="208" fontId="37" fillId="0" borderId="1" xfId="0" applyNumberFormat="1" applyFont="1" applyFill="1" applyBorder="1" applyAlignment="1">
      <x:alignment vertical="center" wrapText="1"/>
    </x:xf>
    <x:xf numFmtId="208" fontId="37" fillId="0" borderId="0" xfId="0" applyNumberFormat="1" applyFont="1" applyFill="1" applyBorder="1" applyAlignment="1">
      <x:alignment vertical="center" wrapText="1"/>
    </x:xf>
    <x:xf numFmtId="208" fontId="40" fillId="3" borderId="1" xfId="0" applyNumberFormat="1" applyFont="1" applyFill="1" applyBorder="1" applyAlignment="1">
      <x:alignment vertical="center" wrapText="1"/>
    </x:xf>
    <x:xf numFmtId="208" fontId="37" fillId="8" borderId="1" xfId="0" applyNumberFormat="1" applyFont="1" applyFill="1" applyBorder="1" applyAlignment="1">
      <x:alignment vertical="center" wrapText="1"/>
    </x:xf>
    <x:xf numFmtId="0" fontId="37" fillId="0" borderId="1" xfId="0" applyNumberFormat="1" applyFont="1" applyFill="1" applyBorder="1" applyAlignment="1">
      <x:alignment vertical="top" wrapText="1"/>
    </x:xf>
    <x:xf numFmtId="164" fontId="37" fillId="8" borderId="1" xfId="0" applyNumberFormat="1" applyFont="1" applyFill="1" applyBorder="1" applyAlignment="1">
      <x:alignment vertical="top" wrapText="1"/>
    </x:xf>
    <x:xf numFmtId="0" fontId="40" fillId="4" borderId="1" xfId="0" applyNumberFormat="1" applyFont="1" applyFill="1" applyBorder="1" applyAlignment="1">
      <x:alignment vertical="top" wrapText="1"/>
    </x:xf>
    <x:xf numFmtId="164" fontId="40" fillId="4" borderId="1" xfId="0" applyNumberFormat="1" applyFont="1" applyFill="1" applyBorder="1" applyAlignment="1">
      <x:alignment vertical="top" wrapText="1"/>
    </x:xf>
    <x:xf numFmtId="0" fontId="40" fillId="4" borderId="0" xfId="0" applyNumberFormat="1" applyFont="1" applyFill="1" applyBorder="1" applyAlignment="1">
      <x:alignment vertical="top" wrapText="1"/>
    </x:xf>
    <x:xf numFmtId="164" fontId="37" fillId="0" borderId="2" xfId="0" applyNumberFormat="1" applyFont="1" applyFill="1" applyBorder="1" applyAlignment="1">
      <x:alignment vertical="top" wrapText="1"/>
    </x:xf>
    <x:xf numFmtId="164" fontId="37" fillId="0" borderId="2" xfId="0" applyNumberFormat="1" applyFont="1" applyFill="1" applyBorder="1" applyAlignment="1">
      <x:alignment vertical="center" wrapText="1"/>
    </x:xf>
    <x:xf numFmtId="208" fontId="37" fillId="0" borderId="2" xfId="0" applyNumberFormat="1" applyFont="1" applyFill="1" applyBorder="1" applyAlignment="1">
      <x:alignment vertical="center" wrapText="1"/>
    </x:xf>
    <x:xf numFmtId="0" fontId="40" fillId="4" borderId="1" xfId="0" applyNumberFormat="1" applyFont="1" applyFill="1" applyBorder="1" applyAlignment="1">
      <x:alignment vertical="center" wrapText="1"/>
    </x:xf>
    <x:xf numFmtId="164" fontId="40" fillId="4" borderId="1" xfId="0" applyNumberFormat="1" applyFont="1" applyFill="1" applyBorder="1" applyAlignment="1">
      <x:alignment vertical="center" wrapText="1"/>
    </x:xf>
    <x:xf numFmtId="0" fontId="40" fillId="4" borderId="0" xfId="0" applyNumberFormat="1" applyFont="1" applyFill="1" applyBorder="1" applyAlignment="1">
      <x:alignment vertical="center" wrapText="1"/>
    </x:xf>
    <x:xf numFmtId="164" fontId="37" fillId="8" borderId="1" xfId="0" applyNumberFormat="1" applyFont="1" applyFill="1" applyBorder="1" applyAlignment="1">
      <x:alignment vertical="center" wrapText="1"/>
    </x:xf>
    <x:xf numFmtId="0" fontId="38" fillId="2" borderId="1" xfId="0" applyNumberFormat="1" applyFont="1" applyFill="1" applyBorder="1" applyAlignment="1">
      <x:alignment vertical="center" wrapText="1"/>
    </x:xf>
    <x:xf numFmtId="164" fontId="38" fillId="2" borderId="1" xfId="0" applyNumberFormat="1" applyFont="1" applyFill="1" applyBorder="1" applyAlignment="1">
      <x:alignment vertical="center" wrapText="1"/>
    </x:xf>
    <x:xf numFmtId="0" fontId="38" fillId="2" borderId="0" xfId="0" applyNumberFormat="1" applyFont="1" applyFill="1" applyBorder="1" applyAlignment="1">
      <x:alignment vertical="center" wrapText="1"/>
    </x:xf>
    <x:xf numFmtId="164" fontId="37" fillId="0" borderId="0" xfId="0" applyNumberFormat="1" applyFont="1" applyFill="1" applyBorder="1" applyAlignment="1">
      <x:alignment vertical="center" wrapText="1"/>
    </x:xf>
    <x:xf numFmtId="203" fontId="37" fillId="0" borderId="0" xfId="0" applyNumberFormat="1" applyFont="1" applyFill="1" applyBorder="1" applyAlignment="1">
      <x:alignment wrapText="1"/>
    </x:xf>
    <x:xf numFmtId="0" fontId="38" fillId="2" borderId="0" xfId="0" applyNumberFormat="1" applyFont="1" applyFill="1" applyBorder="1"/>
    <x:xf numFmtId="0" fontId="40" fillId="3" borderId="0" xfId="0" applyNumberFormat="1" applyFont="1" applyFill="1" applyBorder="1"/>
    <x:xf numFmtId="0" fontId="37" fillId="6" borderId="0" xfId="0" applyNumberFormat="1" applyFont="1" applyFill="1" applyBorder="1"/>
    <x:xf numFmtId="0" fontId="37" fillId="7" borderId="0" xfId="0" applyNumberFormat="1" applyFont="1" applyFill="1" applyBorder="1"/>
    <x:xf numFmtId="0" fontId="37" fillId="24" borderId="0" xfId="0" applyNumberFormat="1" applyFont="1" applyFill="1" applyBorder="1"/>
    <x:xf numFmtId="0" fontId="40" fillId="5" borderId="0" xfId="0" applyNumberFormat="1" applyFont="1" applyFill="1" applyBorder="1" applyAlignment="1">
      <x:alignment wrapText="1"/>
    </x:xf>
    <x:xf numFmtId="0" fontId="40" fillId="5" borderId="0" xfId="0" applyNumberFormat="1" applyFont="1" applyFill="1" applyBorder="1"/>
    <x:xf numFmtId="203" fontId="42" fillId="3" borderId="0" xfId="0" applyNumberFormat="1" applyFont="1" applyFill="1" applyBorder="1" applyAlignment="1">
      <x:alignment vertical="center" wrapText="1"/>
    </x:xf>
    <x:xf numFmtId="0" fontId="40" fillId="3" borderId="0" xfId="0" applyNumberFormat="1" applyFont="1" applyFill="1" applyBorder="1" applyAlignment="1">
      <x:alignment wrapText="1"/>
    </x:xf>
    <x:xf numFmtId="0" fontId="37" fillId="3" borderId="0" xfId="0" applyNumberFormat="1" applyFont="1" applyFill="1" applyBorder="1" applyAlignment="1">
      <x:alignment wrapText="1"/>
    </x:xf>
    <x:xf numFmtId="0" fontId="40" fillId="6" borderId="0" xfId="0" applyNumberFormat="1" applyFont="1" applyFill="1" applyBorder="1" applyAlignment="1">
      <x:alignment wrapText="1"/>
    </x:xf>
    <x:xf numFmtId="0" fontId="37" fillId="6" borderId="0" xfId="0" applyNumberFormat="1" applyFont="1" applyFill="1" applyBorder="1" applyAlignment="1">
      <x:alignment wrapText="1"/>
    </x:xf>
    <x:xf numFmtId="200" fontId="37" fillId="0" borderId="0" xfId="0" applyNumberFormat="1" applyFont="1" applyFill="1" applyBorder="1" applyAlignment="1">
      <x:alignment wrapText="1"/>
    </x:xf>
    <x:xf numFmtId="200" fontId="40" fillId="6" borderId="0" xfId="0" applyNumberFormat="1" applyFont="1" applyFill="1" applyBorder="1" applyAlignment="1">
      <x:alignment wrapText="1"/>
    </x:xf>
    <x:xf numFmtId="0" fontId="40" fillId="7" borderId="0" xfId="0" applyNumberFormat="1" applyFont="1" applyFill="1" applyBorder="1" applyAlignment="1">
      <x:alignment wrapText="1"/>
    </x:xf>
    <x:xf numFmtId="200" fontId="40" fillId="7" borderId="0" xfId="0" applyNumberFormat="1" applyFont="1" applyFill="1" applyBorder="1" applyAlignment="1">
      <x:alignment wrapText="1"/>
    </x:xf>
    <x:xf numFmtId="200" fontId="40" fillId="0" borderId="0" xfId="0" applyNumberFormat="1" applyFont="1" applyFill="1" applyBorder="1" applyAlignment="1">
      <x:alignment wrapText="1"/>
    </x:xf>
    <x:xf numFmtId="0" fontId="37" fillId="24" borderId="0" xfId="0" applyNumberFormat="1" applyFont="1" applyFill="1" applyBorder="1" applyAlignment="1">
      <x:alignment wrapText="1"/>
    </x:xf>
    <x:xf numFmtId="0" fontId="47" fillId="0" borderId="1" xfId="0" applyNumberFormat="1" applyFont="1" applyFill="1" applyBorder="1" applyAlignment="1">
      <x:alignment vertical="center" wrapText="1"/>
    </x:xf>
    <x:xf numFmtId="0" fontId="47" fillId="3" borderId="1" xfId="0" applyNumberFormat="1" applyFont="1" applyFill="1" applyBorder="1" applyAlignment="1">
      <x:alignment vertical="center" wrapText="1"/>
    </x:xf>
    <x:xf numFmtId="0" fontId="46" fillId="0" borderId="1" xfId="0" applyNumberFormat="1" applyFont="1" applyFill="1" applyBorder="1" applyAlignment="1">
      <x:alignment vertical="center" wrapText="1"/>
    </x:xf>
    <x:xf numFmtId="4" fontId="46" fillId="0" borderId="1" xfId="0" applyNumberFormat="1" applyFont="1" applyFill="1" applyBorder="1" applyAlignment="1">
      <x:alignment vertical="center" wrapText="1"/>
    </x:xf>
    <x:xf numFmtId="208" fontId="46" fillId="0" borderId="1" xfId="0" applyNumberFormat="1" applyFont="1" applyFill="1" applyBorder="1" applyAlignment="1">
      <x:alignment vertical="center" wrapText="1"/>
    </x:xf>
    <x:xf numFmtId="208" fontId="46" fillId="0" borderId="0" xfId="0" applyNumberFormat="1" applyFont="1" applyFill="1" applyBorder="1" applyAlignment="1">
      <x:alignment vertical="center" wrapText="1"/>
    </x:xf>
    <x:xf numFmtId="208" fontId="47" fillId="3" borderId="1" xfId="0" applyNumberFormat="1" applyFont="1" applyFill="1" applyBorder="1" applyAlignment="1">
      <x:alignment vertical="center" wrapText="1"/>
    </x:xf>
    <x:xf numFmtId="208" fontId="46" fillId="8" borderId="1" xfId="0" applyNumberFormat="1" applyFont="1" applyFill="1" applyBorder="1" applyAlignment="1">
      <x:alignment vertical="center" wrapText="1"/>
    </x:xf>
    <x:xf numFmtId="0" fontId="46" fillId="0" borderId="1" xfId="0" applyNumberFormat="1" applyFont="1" applyFill="1" applyBorder="1" applyAlignment="1">
      <x:alignment vertical="top" wrapText="1"/>
    </x:xf>
    <x:xf numFmtId="164" fontId="46" fillId="8" borderId="1" xfId="0" applyNumberFormat="1" applyFont="1" applyFill="1" applyBorder="1" applyAlignment="1">
      <x:alignment vertical="top" wrapText="1"/>
    </x:xf>
    <x:xf numFmtId="0" fontId="47" fillId="4" borderId="1" xfId="0" applyNumberFormat="1" applyFont="1" applyFill="1" applyBorder="1" applyAlignment="1">
      <x:alignment vertical="top" wrapText="1"/>
    </x:xf>
    <x:xf numFmtId="164" fontId="47" fillId="4" borderId="1" xfId="0" applyNumberFormat="1" applyFont="1" applyFill="1" applyBorder="1" applyAlignment="1">
      <x:alignment vertical="top" wrapText="1"/>
    </x:xf>
    <x:xf numFmtId="0" fontId="47" fillId="4" borderId="0" xfId="0" applyNumberFormat="1" applyFont="1" applyFill="1" applyBorder="1" applyAlignment="1">
      <x:alignment vertical="top" wrapText="1"/>
    </x:xf>
    <x:xf numFmtId="164" fontId="46" fillId="0" borderId="2" xfId="0" applyNumberFormat="1" applyFont="1" applyFill="1" applyBorder="1" applyAlignment="1">
      <x:alignment vertical="top" wrapText="1"/>
    </x:xf>
    <x:xf numFmtId="164" fontId="46" fillId="0" borderId="2" xfId="0" applyNumberFormat="1" applyFont="1" applyFill="1" applyBorder="1" applyAlignment="1">
      <x:alignment vertical="center" wrapText="1"/>
    </x:xf>
    <x:xf numFmtId="208" fontId="46" fillId="0" borderId="2" xfId="0" applyNumberFormat="1" applyFont="1" applyFill="1" applyBorder="1" applyAlignment="1">
      <x:alignment vertical="center" wrapText="1"/>
    </x:xf>
    <x:xf numFmtId="0" fontId="47" fillId="4" borderId="1" xfId="0" applyNumberFormat="1" applyFont="1" applyFill="1" applyBorder="1" applyAlignment="1">
      <x:alignment vertical="center" wrapText="1"/>
    </x:xf>
    <x:xf numFmtId="164" fontId="47" fillId="4" borderId="1" xfId="0" applyNumberFormat="1" applyFont="1" applyFill="1" applyBorder="1" applyAlignment="1">
      <x:alignment vertical="center" wrapText="1"/>
    </x:xf>
    <x:xf numFmtId="0" fontId="47" fillId="4" borderId="0" xfId="0" applyNumberFormat="1" applyFont="1" applyFill="1" applyBorder="1" applyAlignment="1">
      <x:alignment vertical="center" wrapText="1"/>
    </x:xf>
    <x:xf numFmtId="164" fontId="46" fillId="8" borderId="1" xfId="0" applyNumberFormat="1" applyFont="1" applyFill="1" applyBorder="1" applyAlignment="1">
      <x:alignment vertical="center" wrapText="1"/>
    </x:xf>
    <x:xf numFmtId="0" fontId="44" fillId="2" borderId="1" xfId="0" applyNumberFormat="1" applyFont="1" applyFill="1" applyBorder="1" applyAlignment="1">
      <x:alignment vertical="center" wrapText="1"/>
    </x:xf>
    <x:xf numFmtId="164" fontId="44" fillId="2" borderId="1" xfId="0" applyNumberFormat="1" applyFont="1" applyFill="1" applyBorder="1" applyAlignment="1">
      <x:alignment vertical="center" wrapText="1"/>
    </x:xf>
    <x:xf numFmtId="0" fontId="44" fillId="2" borderId="0" xfId="0" applyNumberFormat="1" applyFont="1" applyFill="1" applyBorder="1" applyAlignment="1">
      <x:alignment vertical="center" wrapText="1"/>
    </x:xf>
    <x:xf numFmtId="164" fontId="46" fillId="0" borderId="0" xfId="0" applyNumberFormat="1" applyFont="1" applyFill="1" applyBorder="1" applyAlignment="1">
      <x:alignment vertical="center" wrapText="1"/>
    </x:xf>
    <x:xf numFmtId="203" fontId="46" fillId="0" borderId="0" xfId="0" applyNumberFormat="1" applyFont="1" applyFill="1" applyBorder="1" applyAlignment="1">
      <x:alignment wrapText="1"/>
    </x:xf>
    <x:xf numFmtId="0" fontId="44" fillId="2" borderId="0" xfId="0" applyNumberFormat="1" applyFont="1" applyFill="1" applyBorder="1"/>
    <x:xf numFmtId="0" fontId="47" fillId="3" borderId="0" xfId="0" applyNumberFormat="1" applyFont="1" applyFill="1" applyBorder="1"/>
    <x:xf numFmtId="0" fontId="46" fillId="6" borderId="0" xfId="0" applyNumberFormat="1" applyFont="1" applyFill="1" applyBorder="1"/>
    <x:xf numFmtId="0" fontId="46" fillId="7" borderId="0" xfId="0" applyNumberFormat="1" applyFont="1" applyFill="1" applyBorder="1"/>
    <x:xf numFmtId="0" fontId="46" fillId="24" borderId="0" xfId="0" applyNumberFormat="1" applyFont="1" applyFill="1" applyBorder="1"/>
    <x:xf numFmtId="0" fontId="47" fillId="5" borderId="0" xfId="0" applyNumberFormat="1" applyFont="1" applyFill="1" applyBorder="1" applyAlignment="1">
      <x:alignment wrapText="1"/>
    </x:xf>
    <x:xf numFmtId="0" fontId="47" fillId="5" borderId="0" xfId="0" applyNumberFormat="1" applyFont="1" applyFill="1" applyBorder="1"/>
    <x:xf numFmtId="203" fontId="49" fillId="3" borderId="0" xfId="0" applyNumberFormat="1" applyFont="1" applyFill="1" applyBorder="1" applyAlignment="1">
      <x:alignment vertical="center" wrapText="1"/>
    </x:xf>
    <x:xf numFmtId="0" fontId="47" fillId="3" borderId="0" xfId="0" applyNumberFormat="1" applyFont="1" applyFill="1" applyBorder="1" applyAlignment="1">
      <x:alignment wrapText="1"/>
    </x:xf>
    <x:xf numFmtId="0" fontId="46" fillId="3" borderId="0" xfId="0" applyNumberFormat="1" applyFont="1" applyFill="1" applyBorder="1" applyAlignment="1">
      <x:alignment wrapText="1"/>
    </x:xf>
    <x:xf numFmtId="0" fontId="47" fillId="6" borderId="0" xfId="0" applyNumberFormat="1" applyFont="1" applyFill="1" applyBorder="1" applyAlignment="1">
      <x:alignment wrapText="1"/>
    </x:xf>
    <x:xf numFmtId="0" fontId="46" fillId="6" borderId="0" xfId="0" applyNumberFormat="1" applyFont="1" applyFill="1" applyBorder="1" applyAlignment="1">
      <x:alignment wrapText="1"/>
    </x:xf>
    <x:xf numFmtId="200" fontId="46" fillId="0" borderId="0" xfId="0" applyNumberFormat="1" applyFont="1" applyFill="1" applyBorder="1" applyAlignment="1">
      <x:alignment wrapText="1"/>
    </x:xf>
    <x:xf numFmtId="200" fontId="47" fillId="6" borderId="0" xfId="0" applyNumberFormat="1" applyFont="1" applyFill="1" applyBorder="1" applyAlignment="1">
      <x:alignment wrapText="1"/>
    </x:xf>
    <x:xf numFmtId="0" fontId="47" fillId="7" borderId="0" xfId="0" applyNumberFormat="1" applyFont="1" applyFill="1" applyBorder="1" applyAlignment="1">
      <x:alignment wrapText="1"/>
    </x:xf>
    <x:xf numFmtId="200" fontId="47" fillId="7" borderId="0" xfId="0" applyNumberFormat="1" applyFont="1" applyFill="1" applyBorder="1" applyAlignment="1">
      <x:alignment wrapText="1"/>
    </x:xf>
    <x:xf numFmtId="200" fontId="47" fillId="0" borderId="0" xfId="0" applyNumberFormat="1" applyFont="1" applyFill="1" applyBorder="1" applyAlignment="1">
      <x:alignment wrapText="1"/>
    </x:xf>
    <x:xf numFmtId="0" fontId="46" fillId="24" borderId="0" xfId="0" applyNumberFormat="1" applyFont="1" applyFill="1" applyBorder="1" applyAlignment="1">
      <x:alignment wrapText="1"/>
    </x:xf>
    <x:xf numFmtId="0" fontId="47" fillId="0" borderId="1" xfId="0" applyNumberFormat="1" applyFont="1" applyFill="1" applyBorder="1" applyAlignment="1">
      <x:alignment vertical="top" wrapText="1"/>
    </x:xf>
    <x:xf numFmtId="0" fontId="47" fillId="3" borderId="1" xfId="0" applyNumberFormat="1" applyFont="1" applyFill="1" applyBorder="1" applyAlignment="1">
      <x:alignment vertical="top" wrapText="1"/>
    </x:xf>
    <x:xf numFmtId="4" fontId="46" fillId="0" borderId="1" xfId="0" applyNumberFormat="1" applyFont="1" applyFill="1" applyBorder="1" applyAlignment="1">
      <x:alignment vertical="top" wrapText="1"/>
    </x:xf>
    <x:xf numFmtId="208" fontId="46" fillId="0" borderId="1" xfId="0" applyNumberFormat="1" applyFont="1" applyFill="1" applyBorder="1" applyAlignment="1">
      <x:alignment vertical="top" wrapText="1"/>
    </x:xf>
    <x:xf numFmtId="208" fontId="46" fillId="0" borderId="0" xfId="0" applyNumberFormat="1" applyFont="1" applyFill="1" applyBorder="1" applyAlignment="1">
      <x:alignment vertical="top" wrapText="1"/>
    </x:xf>
    <x:xf numFmtId="208" fontId="47" fillId="3" borderId="1" xfId="0" applyNumberFormat="1" applyFont="1" applyFill="1" applyBorder="1" applyAlignment="1">
      <x:alignment vertical="top" wrapText="1"/>
    </x:xf>
    <x:xf numFmtId="208" fontId="46" fillId="8" borderId="1" xfId="0" applyNumberFormat="1" applyFont="1" applyFill="1" applyBorder="1" applyAlignment="1">
      <x:alignment vertical="top" wrapText="1"/>
    </x:xf>
    <x:xf numFmtId="208" fontId="46" fillId="0" borderId="2" xfId="0" applyNumberFormat="1" applyFont="1" applyFill="1" applyBorder="1" applyAlignment="1">
      <x:alignment vertical="top" wrapText="1"/>
    </x:xf>
    <x:xf numFmtId="0" fontId="44" fillId="2" borderId="1" xfId="0" applyNumberFormat="1" applyFont="1" applyFill="1" applyBorder="1" applyAlignment="1">
      <x:alignment vertical="top" wrapText="1"/>
    </x:xf>
    <x:xf numFmtId="164" fontId="44" fillId="2" borderId="1" xfId="0" applyNumberFormat="1" applyFont="1" applyFill="1" applyBorder="1" applyAlignment="1">
      <x:alignment vertical="top" wrapText="1"/>
    </x:xf>
    <x:xf numFmtId="164" fontId="46" fillId="0" borderId="0" xfId="0" applyNumberFormat="1" applyFont="1" applyFill="1" applyBorder="1" applyAlignment="1">
      <x:alignment vertical="top" wrapText="1"/>
    </x:xf>
    <x:xf numFmtId="203" fontId="46" fillId="0" borderId="0" xfId="0" applyNumberFormat="1" applyFont="1" applyFill="1" applyBorder="1" applyAlignment="1">
      <x:alignment vertical="top" wrapText="1"/>
    </x:xf>
    <x:xf numFmtId="0" fontId="47" fillId="3" borderId="0" xfId="0" applyNumberFormat="1" applyFont="1" applyFill="1" applyBorder="1" applyAlignment="1">
      <x:alignment vertical="top"/>
    </x:xf>
    <x:xf numFmtId="0" fontId="46" fillId="6" borderId="0" xfId="0" applyNumberFormat="1" applyFont="1" applyFill="1" applyBorder="1" applyAlignment="1">
      <x:alignment vertical="top"/>
    </x:xf>
    <x:xf numFmtId="0" fontId="46" fillId="7" borderId="0" xfId="0" applyNumberFormat="1" applyFont="1" applyFill="1" applyBorder="1" applyAlignment="1">
      <x:alignment vertical="top"/>
    </x:xf>
    <x:xf numFmtId="0" fontId="46" fillId="24" borderId="0" xfId="0" applyNumberFormat="1" applyFont="1" applyFill="1" applyBorder="1" applyAlignment="1">
      <x:alignment vertical="top"/>
    </x:xf>
    <x:xf numFmtId="0" fontId="47" fillId="5" borderId="0" xfId="0" applyNumberFormat="1" applyFont="1" applyFill="1" applyBorder="1" applyAlignment="1">
      <x:alignment vertical="top" wrapText="1"/>
    </x:xf>
    <x:xf numFmtId="0" fontId="47" fillId="5" borderId="0" xfId="0" applyNumberFormat="1" applyFont="1" applyFill="1" applyBorder="1" applyAlignment="1">
      <x:alignment vertical="top"/>
    </x:xf>
    <x:xf numFmtId="203" fontId="49" fillId="3" borderId="0" xfId="0" applyNumberFormat="1" applyFont="1" applyFill="1" applyBorder="1" applyAlignment="1">
      <x:alignment vertical="top" wrapText="1"/>
    </x:xf>
    <x:xf numFmtId="0" fontId="46" fillId="3" borderId="0" xfId="0" applyNumberFormat="1" applyFont="1" applyFill="1" applyBorder="1" applyAlignment="1">
      <x:alignment vertical="top" wrapText="1"/>
    </x:xf>
    <x:xf numFmtId="0" fontId="47" fillId="6" borderId="0" xfId="0" applyNumberFormat="1" applyFont="1" applyFill="1" applyBorder="1" applyAlignment="1">
      <x:alignment vertical="top" wrapText="1"/>
    </x:xf>
    <x:xf numFmtId="0" fontId="46" fillId="6" borderId="0" xfId="0" applyNumberFormat="1" applyFont="1" applyFill="1" applyBorder="1" applyAlignment="1">
      <x:alignment vertical="top" wrapText="1"/>
    </x:xf>
    <x:xf numFmtId="200" fontId="46" fillId="0" borderId="0" xfId="0" applyNumberFormat="1" applyFont="1" applyFill="1" applyBorder="1" applyAlignment="1">
      <x:alignment vertical="top" wrapText="1"/>
    </x:xf>
    <x:xf numFmtId="200" fontId="47" fillId="6" borderId="0" xfId="0" applyNumberFormat="1" applyFont="1" applyFill="1" applyBorder="1" applyAlignment="1">
      <x:alignment vertical="top" wrapText="1"/>
    </x:xf>
    <x:xf numFmtId="0" fontId="47" fillId="7" borderId="0" xfId="0" applyNumberFormat="1" applyFont="1" applyFill="1" applyBorder="1" applyAlignment="1">
      <x:alignment vertical="top" wrapText="1"/>
    </x:xf>
    <x:xf numFmtId="200" fontId="47" fillId="7" borderId="0" xfId="0" applyNumberFormat="1" applyFont="1" applyFill="1" applyBorder="1" applyAlignment="1">
      <x:alignment vertical="top" wrapText="1"/>
    </x:xf>
    <x:xf numFmtId="200" fontId="47" fillId="0" borderId="0" xfId="0" applyNumberFormat="1" applyFont="1" applyFill="1" applyBorder="1" applyAlignment="1">
      <x:alignment vertical="top" wrapText="1"/>
    </x:xf>
    <x:xf numFmtId="0" fontId="46" fillId="24" borderId="0" xfId="0" applyNumberFormat="1" applyFont="1" applyFill="1" applyBorder="1" applyAlignment="1">
      <x:alignment vertical="top" wrapText="1"/>
    </x:xf>
    <x:xf numFmtId="203" fontId="51" fillId="86" borderId="0" xfId="0" applyNumberFormat="1" applyFont="1" applyFill="1" applyBorder="1"/>
    <x:xf numFmtId="200" fontId="37" fillId="0" borderId="0" xfId="0" applyNumberFormat="1" applyFont="1" applyFill="1" applyBorder="1" applyAlignment="1">
      <x:alignment horizontal="right" wrapText="1"/>
    </x:xf>
    <x:xf numFmtId="200" fontId="40" fillId="6" borderId="0" xfId="0" applyNumberFormat="1" applyFont="1" applyFill="1" applyBorder="1" applyAlignment="1">
      <x:alignment horizontal="right" wrapText="1"/>
    </x:xf>
    <x:xf numFmtId="0" fontId="37" fillId="7" borderId="0" xfId="0" applyNumberFormat="1" applyFont="1" applyFill="1" applyBorder="1" applyAlignment="1">
      <x:alignment wrapText="1"/>
    </x:xf>
    <x:xf numFmtId="200" fontId="37" fillId="7" borderId="0" xfId="0" applyNumberFormat="1" applyFont="1" applyFill="1" applyBorder="1" applyAlignment="1">
      <x:alignment horizontal="right" wrapText="1"/>
    </x:xf>
    <x:xf numFmtId="200" fontId="40" fillId="0" borderId="0" xfId="0" applyNumberFormat="1" applyFont="1" applyFill="1" applyBorder="1" applyAlignment="1">
      <x:alignment horizontal="right" wrapText="1"/>
    </x:xf>
    <x:xf numFmtId="0" fontId="40" fillId="86" borderId="0" xfId="0" applyNumberFormat="1" applyFont="1" applyFill="1" applyBorder="1" applyAlignment="1">
      <x:alignment wrapText="1"/>
    </x:xf>
    <x:xf numFmtId="203" fontId="40" fillId="86" borderId="0" xfId="0" applyNumberFormat="1" applyFont="1" applyFill="1" applyBorder="1" applyAlignment="1">
      <x:alignment horizontal="right" wrapText="1"/>
    </x:xf>
    <x:xf numFmtId="200" fontId="40" fillId="3" borderId="0" xfId="0" applyNumberFormat="1" applyFont="1" applyFill="1" applyBorder="1" applyAlignment="1">
      <x:alignment wrapText="1"/>
    </x:xf>
    <x:xf numFmtId="200" fontId="38" fillId="2" borderId="0" xfId="0" applyNumberFormat="1" applyFont="1" applyFill="1" applyBorder="1" applyAlignment="1">
      <x:alignment wrapText="1"/>
    </x:xf>
    <x:xf numFmtId="203" fontId="45" fillId="86" borderId="0" xfId="0" applyNumberFormat="1" applyFont="1" applyFill="1" applyBorder="1"/>
    <x:xf numFmtId="200" fontId="46" fillId="0" borderId="0" xfId="0" applyNumberFormat="1" applyFont="1" applyFill="1" applyBorder="1" applyAlignment="1">
      <x:alignment horizontal="right" wrapText="1"/>
    </x:xf>
    <x:xf numFmtId="200" fontId="47" fillId="6" borderId="0" xfId="0" applyNumberFormat="1" applyFont="1" applyFill="1" applyBorder="1" applyAlignment="1">
      <x:alignment horizontal="right" wrapText="1"/>
    </x:xf>
    <x:xf numFmtId="0" fontId="46" fillId="7" borderId="0" xfId="0" applyNumberFormat="1" applyFont="1" applyFill="1" applyBorder="1" applyAlignment="1">
      <x:alignment wrapText="1"/>
    </x:xf>
    <x:xf numFmtId="200" fontId="46" fillId="7" borderId="0" xfId="0" applyNumberFormat="1" applyFont="1" applyFill="1" applyBorder="1" applyAlignment="1">
      <x:alignment horizontal="right" wrapText="1"/>
    </x:xf>
    <x:xf numFmtId="200" fontId="47" fillId="0" borderId="0" xfId="0" applyNumberFormat="1" applyFont="1" applyFill="1" applyBorder="1" applyAlignment="1">
      <x:alignment horizontal="right" wrapText="1"/>
    </x:xf>
    <x:xf numFmtId="0" fontId="47" fillId="86" borderId="0" xfId="0" applyNumberFormat="1" applyFont="1" applyFill="1" applyBorder="1" applyAlignment="1">
      <x:alignment wrapText="1"/>
    </x:xf>
    <x:xf numFmtId="203" fontId="47" fillId="86" borderId="0" xfId="0" applyNumberFormat="1" applyFont="1" applyFill="1" applyBorder="1" applyAlignment="1">
      <x:alignment horizontal="right" wrapText="1"/>
    </x:xf>
    <x:xf numFmtId="200" fontId="47" fillId="3" borderId="0" xfId="0" applyNumberFormat="1" applyFont="1" applyFill="1" applyBorder="1" applyAlignment="1">
      <x:alignment wrapText="1"/>
    </x:xf>
    <x:xf numFmtId="200" fontId="44" fillId="2" borderId="0" xfId="0" applyNumberFormat="1" applyFont="1" applyFill="1" applyBorder="1" applyAlignment="1">
      <x:alignment wrapText="1"/>
    </x:xf>
    <x:xf numFmtId="203" fontId="45" fillId="86" borderId="0" xfId="0" applyNumberFormat="1" applyFont="1" applyFill="1" applyBorder="1" applyAlignment="1">
      <x:alignment vertical="top"/>
    </x:xf>
    <x:xf numFmtId="200" fontId="46" fillId="0" borderId="0" xfId="0" applyNumberFormat="1" applyFont="1" applyFill="1" applyBorder="1" applyAlignment="1">
      <x:alignment horizontal="right" vertical="top" wrapText="1"/>
    </x:xf>
    <x:xf numFmtId="200" fontId="47" fillId="6" borderId="0" xfId="0" applyNumberFormat="1" applyFont="1" applyFill="1" applyBorder="1" applyAlignment="1">
      <x:alignment horizontal="right" vertical="top" wrapText="1"/>
    </x:xf>
    <x:xf numFmtId="200" fontId="46" fillId="7" borderId="0" xfId="0" applyNumberFormat="1" applyFont="1" applyFill="1" applyBorder="1" applyAlignment="1">
      <x:alignment horizontal="right" vertical="top" wrapText="1"/>
    </x:xf>
    <x:xf numFmtId="200" fontId="47" fillId="0" borderId="0" xfId="0" applyNumberFormat="1" applyFont="1" applyFill="1" applyBorder="1" applyAlignment="1">
      <x:alignment horizontal="right" vertical="top" wrapText="1"/>
    </x:xf>
    <x:xf numFmtId="0" fontId="47" fillId="86" borderId="0" xfId="0" applyNumberFormat="1" applyFont="1" applyFill="1" applyBorder="1" applyAlignment="1">
      <x:alignment vertical="top" wrapText="1"/>
    </x:xf>
    <x:xf numFmtId="203" fontId="47" fillId="86" borderId="0" xfId="0" applyNumberFormat="1" applyFont="1" applyFill="1" applyBorder="1" applyAlignment="1">
      <x:alignment horizontal="right" vertical="top" wrapText="1"/>
    </x:xf>
    <x:xf numFmtId="200" fontId="47" fillId="3" borderId="0" xfId="0" applyNumberFormat="1" applyFont="1" applyFill="1" applyBorder="1" applyAlignment="1">
      <x:alignment vertical="top" wrapText="1"/>
    </x:xf>
    <x:xf numFmtId="200" fontId="44" fillId="2" borderId="0" xfId="0" applyNumberFormat="1" applyFont="1" applyFill="1" applyBorder="1" applyAlignment="1">
      <x:alignment vertical="top" wrapText="1"/>
    </x:xf>
    <x:xf numFmtId="0" fontId="43" fillId="85" borderId="0" xfId="0" applyNumberFormat="1" applyFont="1" applyFill="1" applyBorder="1" applyAlignment="1">
      <x:alignment vertical="top" wrapText="1"/>
    </x:xf>
    <x:xf numFmtId="0" fontId="38" fillId="85" borderId="0" xfId="0" applyNumberFormat="1" applyFont="1" applyFill="1" applyBorder="1" applyAlignment="1">
      <x:alignment vertical="top" wrapText="1"/>
    </x:xf>
    <x:xf numFmtId="0" fontId="52" fillId="85" borderId="0" xfId="0" applyNumberFormat="1" applyFont="1" applyFill="1" applyBorder="1" applyAlignment="1">
      <x:alignment vertical="top" wrapText="1"/>
    </x:xf>
    <x:xf numFmtId="0" fontId="38" fillId="12" borderId="0" xfId="0" applyNumberFormat="1" applyFont="1" applyFill="1" applyBorder="1" applyAlignment="1">
      <x:alignment vertical="top" wrapText="1"/>
    </x:xf>
    <x:xf numFmtId="200" fontId="37" fillId="0" borderId="0" xfId="0" applyNumberFormat="1" applyFont="1" applyFill="1" applyBorder="1" applyAlignment="1">
      <x:alignment vertical="top" wrapText="1"/>
    </x:xf>
    <x:xf numFmtId="200" fontId="37" fillId="7" borderId="0" xfId="0" applyNumberFormat="1" applyFont="1" applyFill="1" applyBorder="1" applyAlignment="1">
      <x:alignment vertical="top" wrapText="1"/>
    </x:xf>
    <x:xf numFmtId="201" fontId="37" fillId="7" borderId="0" xfId="0" applyNumberFormat="1" applyFont="1" applyFill="1" applyBorder="1" applyAlignment="1">
      <x:alignment vertical="top" wrapText="1"/>
    </x:xf>
    <x:xf numFmtId="202" fontId="37" fillId="0" borderId="0" xfId="0" applyNumberFormat="1" applyFont="1" applyFill="1" applyBorder="1" applyAlignment="1">
      <x:alignment vertical="top" wrapText="1"/>
    </x:xf>
    <x:xf numFmtId="202" fontId="37" fillId="7" borderId="0" xfId="0" applyNumberFormat="1" applyFont="1" applyFill="1" applyBorder="1" applyAlignment="1">
      <x:alignment vertical="top" wrapText="1"/>
    </x:xf>
    <x:xf numFmtId="201" fontId="37" fillId="0" borderId="0" xfId="0" applyNumberFormat="1" applyFont="1" applyFill="1" applyBorder="1" applyAlignment="1">
      <x:alignment vertical="top" wrapText="1"/>
    </x:xf>
    <x:xf numFmtId="203" fontId="37" fillId="0" borderId="0" xfId="0" applyNumberFormat="1" applyFont="1" applyFill="1" applyBorder="1" applyAlignment="1">
      <x:alignment vertical="top" wrapText="1"/>
    </x:xf>
    <x:xf numFmtId="0" fontId="37" fillId="29" borderId="0" xfId="0" applyNumberFormat="1" applyFont="1" applyFill="1" applyBorder="1" applyAlignment="1">
      <x:alignment vertical="top" wrapText="1"/>
    </x:xf>
    <x:xf numFmtId="203" fontId="37" fillId="7" borderId="0" xfId="0" applyNumberFormat="1" applyFont="1" applyFill="1" applyBorder="1" applyAlignment="1">
      <x:alignment vertical="top" wrapText="1"/>
    </x:xf>
    <x:xf numFmtId="0" fontId="37" fillId="7" borderId="0" xfId="0" applyNumberFormat="1" applyFont="1" applyFill="1" applyBorder="1" applyAlignment="1">
      <x:alignment vertical="top" wrapText="1"/>
    </x:xf>
    <x:xf numFmtId="204" fontId="37" fillId="0" borderId="0" xfId="0" applyNumberFormat="1" applyFont="1" applyFill="1" applyBorder="1" applyAlignment="1">
      <x:alignment vertical="top" wrapText="1"/>
    </x:xf>
    <x:xf numFmtId="205" fontId="37" fillId="7" borderId="0" xfId="0" applyNumberFormat="1" applyFont="1" applyFill="1" applyBorder="1" applyAlignment="1">
      <x:alignment vertical="top" wrapText="1"/>
    </x:xf>
    <x:xf numFmtId="0" fontId="40" fillId="6" borderId="0" xfId="0" applyNumberFormat="1" applyFont="1" applyFill="1" applyBorder="1" applyAlignment="1">
      <x:alignment vertical="top" wrapText="1"/>
    </x:xf>
    <x:xf numFmtId="203" fontId="40" fillId="6" borderId="0" xfId="0" applyNumberFormat="1" applyFont="1" applyFill="1" applyBorder="1" applyAlignment="1">
      <x:alignment vertical="top" wrapText="1"/>
    </x:xf>
    <x:xf numFmtId="0" fontId="40" fillId="3" borderId="0" xfId="0" applyNumberFormat="1" applyFont="1" applyFill="1" applyBorder="1" applyAlignment="1">
      <x:alignment vertical="top" wrapText="1"/>
    </x:xf>
    <x:xf numFmtId="209" fontId="37" fillId="0" borderId="0" xfId="0" applyNumberFormat="1" applyFont="1" applyFill="1" applyBorder="1" applyAlignment="1">
      <x:alignment vertical="top" wrapText="1"/>
    </x:xf>
    <x:xf numFmtId="205" fontId="37" fillId="0" borderId="0" xfId="0" applyNumberFormat="1" applyFont="1" applyFill="1" applyBorder="1" applyAlignment="1">
      <x:alignment wrapText="1"/>
    </x:xf>
    <x:xf numFmtId="203" fontId="40" fillId="3" borderId="0" xfId="0" applyNumberFormat="1" applyFont="1" applyFill="1" applyBorder="1" applyAlignment="1">
      <x:alignment vertical="top" wrapText="1"/>
    </x:xf>
    <x:xf numFmtId="203" fontId="40" fillId="3" borderId="0" xfId="0" applyNumberFormat="1" applyFont="1" applyFill="1" applyBorder="1" applyAlignment="1">
      <x:alignment wrapText="1"/>
    </x:xf>
    <x:xf numFmtId="205" fontId="40" fillId="3" borderId="0" xfId="0" applyNumberFormat="1" applyFont="1" applyFill="1" applyBorder="1" applyAlignment="1">
      <x:alignment wrapText="1"/>
    </x:xf>
    <x:xf numFmtId="205" fontId="37" fillId="0" borderId="0" xfId="0" applyNumberFormat="1" applyFont="1" applyFill="1" applyBorder="1" applyAlignment="1">
      <x:alignment vertical="top" wrapText="1"/>
    </x:xf>
    <x:xf numFmtId="203" fontId="37" fillId="0" borderId="0" xfId="0" applyNumberFormat="1" applyFont="1" applyFill="1" applyBorder="1"/>
    <x:xf numFmtId="0" fontId="44" fillId="85" borderId="0" xfId="0" applyNumberFormat="1" applyFont="1" applyFill="1" applyBorder="1" applyAlignment="1">
      <x:alignment vertical="top" wrapText="1"/>
    </x:xf>
    <x:xf numFmtId="0" fontId="53" fillId="85" borderId="0" xfId="0" applyNumberFormat="1" applyFont="1" applyFill="1" applyBorder="1" applyAlignment="1">
      <x:alignment vertical="top" wrapText="1"/>
    </x:xf>
    <x:xf numFmtId="0" fontId="44" fillId="12" borderId="0" xfId="0" applyNumberFormat="1" applyFont="1" applyFill="1" applyBorder="1" applyAlignment="1">
      <x:alignment vertical="top" wrapText="1"/>
    </x:xf>
    <x:xf numFmtId="200" fontId="46" fillId="7" borderId="0" xfId="0" applyNumberFormat="1" applyFont="1" applyFill="1" applyBorder="1" applyAlignment="1">
      <x:alignment vertical="top" wrapText="1"/>
    </x:xf>
    <x:xf numFmtId="201" fontId="46" fillId="7" borderId="0" xfId="0" applyNumberFormat="1" applyFont="1" applyFill="1" applyBorder="1" applyAlignment="1">
      <x:alignment vertical="top" wrapText="1"/>
    </x:xf>
    <x:xf numFmtId="202" fontId="46" fillId="0" borderId="0" xfId="0" applyNumberFormat="1" applyFont="1" applyFill="1" applyBorder="1" applyAlignment="1">
      <x:alignment vertical="top" wrapText="1"/>
    </x:xf>
    <x:xf numFmtId="202" fontId="46" fillId="7" borderId="0" xfId="0" applyNumberFormat="1" applyFont="1" applyFill="1" applyBorder="1" applyAlignment="1">
      <x:alignment vertical="top" wrapText="1"/>
    </x:xf>
    <x:xf numFmtId="201" fontId="46" fillId="0" borderId="0" xfId="0" applyNumberFormat="1" applyFont="1" applyFill="1" applyBorder="1" applyAlignment="1">
      <x:alignment vertical="top" wrapText="1"/>
    </x:xf>
    <x:xf numFmtId="0" fontId="46" fillId="29" borderId="0" xfId="0" applyNumberFormat="1" applyFont="1" applyFill="1" applyBorder="1" applyAlignment="1">
      <x:alignment vertical="top" wrapText="1"/>
    </x:xf>
    <x:xf numFmtId="203" fontId="46" fillId="7" borderId="0" xfId="0" applyNumberFormat="1" applyFont="1" applyFill="1" applyBorder="1" applyAlignment="1">
      <x:alignment vertical="top" wrapText="1"/>
    </x:xf>
    <x:xf numFmtId="204" fontId="46" fillId="0" borderId="0" xfId="0" applyNumberFormat="1" applyFont="1" applyFill="1" applyBorder="1" applyAlignment="1">
      <x:alignment vertical="top" wrapText="1"/>
    </x:xf>
    <x:xf numFmtId="205" fontId="46" fillId="7" borderId="0" xfId="0" applyNumberFormat="1" applyFont="1" applyFill="1" applyBorder="1" applyAlignment="1">
      <x:alignment vertical="top" wrapText="1"/>
    </x:xf>
    <x:xf numFmtId="203" fontId="47" fillId="6" borderId="0" xfId="0" applyNumberFormat="1" applyFont="1" applyFill="1" applyBorder="1" applyAlignment="1">
      <x:alignment vertical="top" wrapText="1"/>
    </x:xf>
    <x:xf numFmtId="209" fontId="46" fillId="0" borderId="0" xfId="0" applyNumberFormat="1" applyFont="1" applyFill="1" applyBorder="1" applyAlignment="1">
      <x:alignment vertical="top" wrapText="1"/>
    </x:xf>
    <x:xf numFmtId="205" fontId="46" fillId="0" borderId="0" xfId="0" applyNumberFormat="1" applyFont="1" applyFill="1" applyBorder="1" applyAlignment="1">
      <x:alignment wrapText="1"/>
    </x:xf>
    <x:xf numFmtId="203" fontId="47" fillId="3" borderId="0" xfId="0" applyNumberFormat="1" applyFont="1" applyFill="1" applyBorder="1" applyAlignment="1">
      <x:alignment vertical="top" wrapText="1"/>
    </x:xf>
    <x:xf numFmtId="203" fontId="47" fillId="3" borderId="0" xfId="0" applyNumberFormat="1" applyFont="1" applyFill="1" applyBorder="1" applyAlignment="1">
      <x:alignment wrapText="1"/>
    </x:xf>
    <x:xf numFmtId="205" fontId="47" fillId="3" borderId="0" xfId="0" applyNumberFormat="1" applyFont="1" applyFill="1" applyBorder="1" applyAlignment="1">
      <x:alignment wrapText="1"/>
    </x:xf>
    <x:xf numFmtId="205" fontId="46" fillId="0" borderId="0" xfId="0" applyNumberFormat="1" applyFont="1" applyFill="1" applyBorder="1" applyAlignment="1">
      <x:alignment vertical="top" wrapText="1"/>
    </x:xf>
    <x:xf numFmtId="203" fontId="46" fillId="0" borderId="0" xfId="0" applyNumberFormat="1" applyFont="1" applyFill="1" applyBorder="1"/>
    <x:xf numFmtId="205" fontId="47" fillId="3" borderId="0" xfId="0" applyNumberFormat="1" applyFont="1" applyFill="1" applyBorder="1" applyAlignment="1">
      <x:alignment vertical="top" wrapText="1"/>
    </x:xf>
    <x:xf numFmtId="203" fontId="46" fillId="0" borderId="0" xfId="0" applyNumberFormat="1" applyFont="1" applyFill="1" applyBorder="1" applyAlignment="1">
      <x:alignment vertical="top"/>
    </x:xf>
    <x:xf numFmtId="0" fontId="45" fillId="86" borderId="0" xfId="0" applyNumberFormat="1" applyFont="1" applyFill="1" applyBorder="1" applyAlignment="1">
      <x:alignment vertical="top" wrapText="1"/>
    </x:xf>
    <x:xf numFmtId="206" fontId="0" fillId="92" borderId="0" xfId="0" applyNumberFormat="1" applyFont="1" applyFill="1" applyBorder="1" applyAlignment="1">
      <x:alignment wrapText="1"/>
    </x:xf>
    <x:xf numFmtId="206" fontId="54" fillId="92" borderId="0" xfId="0" applyNumberFormat="1" applyFont="1" applyFill="1" applyBorder="1" applyAlignment="1">
      <x:alignment wrapText="1"/>
    </x:xf>
    <x:xf numFmtId="206" fontId="0" fillId="13" borderId="0" xfId="0" applyNumberFormat="1" applyFont="1" applyFill="1" applyBorder="1" applyAlignment="1">
      <x:alignment wrapText="1"/>
    </x:xf>
    <x:xf numFmtId="206" fontId="54" fillId="13" borderId="0" xfId="0" applyNumberFormat="1" applyFont="1" applyFill="1" applyBorder="1" applyAlignment="1">
      <x:alignment wrapText="1"/>
    </x:xf>
    <x:xf numFmtId="204" fontId="46" fillId="0" borderId="0" xfId="0" applyNumberFormat="1" applyFont="1" applyFill="1" applyBorder="1" applyAlignment="1">
      <x:alignment vertical="top"/>
    </x:xf>
    <x:xf numFmtId="0" fontId="48" fillId="88" borderId="0" xfId="0" applyNumberFormat="1" applyFont="1" applyFill="1" applyBorder="1" applyAlignment="1">
      <x:alignment vertical="top" wrapText="1"/>
    </x:xf>
  </x:cellXfs>
  <x:cellStyles count="2">
    <x:cellStyle name="Currency" xfId="1"/>
    <x:cellStyle name="Normal" xfId="0"/>
  </x:cellStyles>
  <x:dxfs count="41">
    <x:dxf>
      <x:font>
        <x:b/>
      </x:font>
      <x:fill>
        <x:patternFill>
          <x:bgColor rgb="FFF4CCCC"/>
        </x:patternFill>
      </x:fill>
    </x:dxf>
    <x:dxf>
      <x:fill>
        <x:patternFill>
          <x:bgColor rgb="FFFFF2CC"/>
        </x:patternFill>
      </x:fill>
    </x:dxf>
    <x:dxf>
      <x:fill>
        <x:patternFill>
          <x:bgColor rgb="FFE2F0D9"/>
        </x:patternFill>
      </x:fill>
    </x:dxf>
    <x:dxf>
      <x:fill>
        <x:patternFill>
          <x:bgColor rgb="FFE2F0D9"/>
        </x:patternFill>
      </x:fill>
    </x:dxf>
    <x:dxf>
      <x:fill>
        <x:patternFill>
          <x:bgColor rgb="FFFFF2CC"/>
        </x:patternFill>
      </x:fill>
    </x:dxf>
    <x:dxf>
      <x:font>
        <x:b/>
        <x:color rgb="FF9C0006"/>
      </x:font>
      <x:fill>
        <x:patternFill>
          <x:bgColor rgb="FFF4CCCC"/>
        </x:patternFill>
      </x:fill>
    </x:dxf>
    <x:dxf>
      <x:font>
        <x:b/>
        <x:color rgb="FF9C0006"/>
      </x:font>
      <x:fill>
        <x:patternFill>
          <x:bgColor rgb="FFF4CCCC"/>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F4CCCC"/>
        </x:patternFill>
      </x:fill>
    </x:dxf>
    <x:dxf>
      <x:font>
        <x:b/>
      </x:font>
      <x:fill>
        <x:patternFill>
          <x:bgColor rgb="FFFCE4D6"/>
        </x:patternFill>
      </x:fill>
    </x:dxf>
    <x:dxf>
      <x:font>
        <x:b/>
      </x:font>
      <x:fill>
        <x:patternFill>
          <x:bgColor rgb="FFE2F0D9"/>
        </x:patternFill>
      </x:fill>
    </x:dxf>
    <x:dxf>
      <x:font>
        <x:b/>
      </x:font>
      <x:fill>
        <x:patternFill>
          <x:bgColor rgb="FFE2F0D9"/>
        </x:patternFill>
      </x:fill>
    </x:dxf>
    <x:dxf>
      <x:font>
        <x:b/>
      </x:font>
      <x:fill>
        <x:patternFill>
          <x:bgColor rgb="FFF4CCCC"/>
        </x:patternFill>
      </x:fill>
    </x:dxf>
    <x:dxf>
      <x:fill>
        <x:patternFill>
          <x:bgColor rgb="FFE2F0D9"/>
        </x:patternFill>
      </x:fill>
    </x:dxf>
    <x:dxf>
      <x:fill>
        <x:patternFill>
          <x:bgColor rgb="FFF4CCCC"/>
        </x:patternFill>
      </x:fill>
    </x:dxf>
    <x:dxf>
      <x:fill>
        <x:patternFill>
          <x:bgColor rgb="FFFCE4D6"/>
        </x:patternFill>
      </x:fill>
    </x:dxf>
    <x:dxf>
      <x:fill>
        <x:patternFill>
          <x:bgColor rgb="FFE2F0D9"/>
        </x:patternFill>
      </x:fill>
    </x:dxf>
    <x:dxf>
      <x:fill>
        <x:patternFill>
          <x:bgColor rgb="FFF4CCCC"/>
        </x:patternFill>
      </x:fill>
    </x:dxf>
    <x:dxf>
      <x:fill>
        <x:patternFill>
          <x:bgColor rgb="FFD9EAF7"/>
        </x:patternFill>
      </x:fill>
    </x:dxf>
    <x:dxf>
      <x:fill>
        <x:patternFill>
          <x:bgColor rgb="FFFCE4D6"/>
        </x:patternFill>
      </x:fill>
    </x:dxf>
    <x:dxf>
      <x:fill>
        <x:patternFill>
          <x:bgColor rgb="FFE2F0D9"/>
        </x:patternFill>
      </x:fill>
    </x:dxf>
    <x:dxf>
      <x:fill>
        <x:patternFill>
          <x:bgColor rgb="FFF4CCCC"/>
        </x:patternFill>
      </x:fill>
    </x:dxf>
    <x:dxf>
      <x:fill>
        <x:patternFill>
          <x:bgColor rgb="FFE2F0D9"/>
        </x:patternFill>
      </x:fill>
    </x:dxf>
    <x:dxf>
      <x:fill>
        <x:patternFill>
          <x:bgColor rgb="FFFCE4D6"/>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E2F0D9"/>
        </x:patternFill>
      </x:fill>
    </x:dxf>
    <x:dxf>
      <x:fill>
        <x:patternFill>
          <x:bgColor rgb="FFFFF2CC"/>
        </x:patternFill>
      </x:fill>
    </x:dxf>
    <x:dxf>
      <x:fill>
        <x:patternFill>
          <x:bgColor rgb="FFF4CCCC"/>
        </x:patternFill>
      </x:fill>
    </x:dxf>
    <x:dxf>
      <x:fill>
        <x:patternFill>
          <x:bgColor rgb="FFE2F0D9"/>
        </x:patternFill>
      </x:fill>
    </x:dxf>
    <x:dxf>
      <x:fill>
        <x:patternFill>
          <x:bgColor rgb="FFF4CCCC"/>
        </x:patternFill>
      </x:fill>
    </x:dxf>
    <x:dxf>
      <x:fill>
        <x:patternFill>
          <x:bgColor rgb="FFFCE4D6"/>
        </x:patternFill>
      </x:fill>
    </x:dxf>
    <x:dxf>
      <x:font>
        <x:b/>
        <x:color rgb="FF991B1B"/>
      </x:font>
      <x:fill>
        <x:patternFill>
          <x:bgColor rgb="FFFECACA"/>
        </x:patternFill>
      </x:fill>
    </x:dxf>
    <x:dxf>
      <x:font>
        <x:b/>
        <x:color rgb="FF166534"/>
      </x:font>
      <x:fill>
        <x:patternFill>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cbf592c491e4e68" /><Relationship Type="http://schemas.openxmlformats.org/officeDocument/2006/relationships/theme" Target="/xl/theme/theme1.xml" Id="Ra2d1d95c89c64f7a" /><Relationship Type="http://schemas.openxmlformats.org/officeDocument/2006/relationships/sharedStrings" Target="/xl/sharedStrings.xml" Id="R0780b31db7da421e" /><Relationship Type="http://schemas.openxmlformats.org/officeDocument/2006/relationships/worksheet" Target="/xl/worksheets/sheet1.xml" Id="R80bdaaa088d74f40" /><Relationship Type="http://schemas.openxmlformats.org/officeDocument/2006/relationships/worksheet" Target="/xl/worksheets/sheet2.xml" Id="R2e0c05c0793646de" /><Relationship Type="http://schemas.openxmlformats.org/officeDocument/2006/relationships/worksheet" Target="/xl/worksheets/sheet3.xml" Id="Re894020415ed4119" /><Relationship Type="http://schemas.openxmlformats.org/officeDocument/2006/relationships/worksheet" Target="/xl/worksheets/sheet4.xml" Id="Rfca18a82222f45f9" /><Relationship Type="http://schemas.openxmlformats.org/officeDocument/2006/relationships/worksheet" Target="/xl/worksheets/sheet5.xml" Id="Rb87c177f09cb44e9" /><Relationship Type="http://schemas.openxmlformats.org/officeDocument/2006/relationships/worksheet" Target="/xl/worksheets/sheet6.xml" Id="R34cbbba0d5f54a82" /><Relationship Type="http://schemas.openxmlformats.org/officeDocument/2006/relationships/worksheet" Target="/xl/worksheets/sheet7.xml" Id="R5bf6c11e51984fdd" /><Relationship Type="http://schemas.openxmlformats.org/officeDocument/2006/relationships/worksheet" Target="/xl/worksheets/sheet8.xml" Id="R2ec361bdb954424b" /><Relationship Type="http://schemas.openxmlformats.org/officeDocument/2006/relationships/worksheet" Target="/xl/worksheets/sheet9.xml" Id="Rf06c91ff01394798" /><Relationship Type="http://schemas.openxmlformats.org/officeDocument/2006/relationships/worksheet" Target="/xl/worksheets/sheet10.xml" Id="R81d50410a82f4c5e" /><Relationship Type="http://schemas.openxmlformats.org/officeDocument/2006/relationships/worksheet" Target="/xl/worksheets/sheet11.xml" Id="Rede855ee56a44f08" /><Relationship Type="http://schemas.openxmlformats.org/officeDocument/2006/relationships/worksheet" Target="/xl/worksheets/sheet12.xml" Id="Rb3e376193a9e46e9" /><Relationship Type="http://schemas.openxmlformats.org/officeDocument/2006/relationships/worksheet" Target="/xl/worksheets/sheet13.xml" Id="Rcdbb34a9f6ed4587" /><Relationship Type="http://schemas.openxmlformats.org/officeDocument/2006/relationships/worksheet" Target="/xl/worksheets/sheet14.xml" Id="R540a3bc2f03444ec" /><Relationship Type="http://schemas.openxmlformats.org/officeDocument/2006/relationships/worksheet" Target="/xl/worksheets/sheet15.xml" Id="Rf1436bcf979148c4" /><Relationship Type="http://schemas.openxmlformats.org/officeDocument/2006/relationships/worksheet" Target="/xl/worksheets/sheet16.xml" Id="R22744e12932249d6" /><Relationship Type="http://schemas.openxmlformats.org/officeDocument/2006/relationships/worksheet" Target="/xl/worksheets/sheet17.xml" Id="R1ce0df5eab5e4aff" /><Relationship Type="http://schemas.openxmlformats.org/officeDocument/2006/relationships/worksheet" Target="/xl/worksheets/sheet18.xml" Id="Rb878658a49f54f58" /><Relationship Type="http://schemas.openxmlformats.org/officeDocument/2006/relationships/worksheet" Target="/xl/worksheets/sheet19.xml" Id="Rf65f2a8deb024b47" /><Relationship Type="http://schemas.openxmlformats.org/officeDocument/2006/relationships/worksheet" Target="/xl/worksheets/sheet20.xml" Id="Re42e2a21aa014aa3" /><Relationship Type="http://schemas.openxmlformats.org/officeDocument/2006/relationships/worksheet" Target="/xl/worksheets/sheet21.xml" Id="R3726e2c0bde14504" /><Relationship Type="http://schemas.openxmlformats.org/officeDocument/2006/relationships/worksheet" Target="/xl/worksheets/sheet22.xml" Id="Rcc6ae0e02b714c25" /><Relationship Type="http://schemas.openxmlformats.org/officeDocument/2006/relationships/worksheet" Target="/xl/worksheets/sheet23.xml" Id="Rbe12bd82dcdc4701" /><Relationship Type="http://schemas.openxmlformats.org/officeDocument/2006/relationships/worksheet" Target="/xl/worksheets/sheet24.xml" Id="R248d79df2dd44935" /><Relationship Type="http://schemas.openxmlformats.org/officeDocument/2006/relationships/worksheet" Target="/xl/worksheets/sheet25.xml" Id="Rb980cdaafa1f46b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3.800000190734863"/>
  <x:cols>
    <x:col min="1" max="1" width="8" style="3" hidden="0" customWidth="1"/>
    <x:col min="2" max="2" width="26" style="3" hidden="0" customWidth="1"/>
    <x:col min="3" max="3" width="28" style="3" hidden="0" customWidth="1"/>
    <x:col min="4" max="4" width="5" style="3" hidden="0" customWidth="1"/>
    <x:col min="5" max="5" width="36" style="3" hidden="0" customWidth="1"/>
    <x:col min="6" max="6" width="22" style="3" hidden="0" customWidth="1"/>
    <x:col min="7" max="8" width="18" style="3" customWidth="1"/>
    <x:col min="9" max="16384" width="8.796875" style="3" customWidth="0"/>
    <x:col min="7" max="7" width="12" hidden="0" customWidth="1"/>
    <x:col min="8" max="8" width="12" hidden="0" customWidth="1"/>
  </x:cols>
  <x:sheetData>
    <x:row r="1" ht="30" customHeight="1">
      <x:c r="A1" s="1117" t="str">
        <x:v>329 HOBSONVILLE ROAD — TENDER SNAPSHOT / START HERE</x:v>
      </x:c>
      <x:c r="B1" s="1117"/>
      <x:c r="C1" s="1117"/>
      <x:c r="D1" s="1117"/>
      <x:c r="E1" s="1117"/>
      <x:c r="F1" s="1117"/>
      <x:c r="G1" s="1117"/>
      <x:c r="H1" s="1117"/>
    </x:row>
    <x:row r="2" ht="32" customHeight="1">
      <x:c r="A2" s="1335" t="str">
        <x:v>Rev34E commercial adjudication | $1,226,916.81 excl GST | 10% OH + 15% true margin | Gross margin 22.73% | Suitable for tender adjudication | HOLD applies to contract-award release while technical REDs remain</x:v>
      </x:c>
      <x:c r="B2" s="1335"/>
      <x:c r="C2" s="1335"/>
      <x:c r="D2" s="1335"/>
      <x:c r="E2" s="1335"/>
      <x:c r="F2" s="1335"/>
      <x:c r="G2" s="1335"/>
      <x:c r="H2" s="1335"/>
    </x:row>
    <x:row r="3" ht="26.850000381469727" customHeight="1">
      <x:c r="A3" s="1119"/>
      <x:c r="B3" s="1119"/>
      <x:c r="C3" s="1119"/>
      <x:c r="D3" s="1119"/>
      <x:c r="E3" s="1119"/>
      <x:c r="F3" s="1119"/>
      <x:c r="G3" s="1119"/>
      <x:c r="H3" s="1119"/>
    </x:row>
    <x:row r="4" ht="46" customHeight="1">
      <x:c r="A4" s="1120" t="str">
        <x:v>THE FIRST QUESTION: WHAT WILL THIS COST?</x:v>
      </x:c>
      <x:c r="B4" s="1120"/>
      <x:c r="C4" s="1120"/>
      <x:c r="D4" s="1119"/>
      <x:c r="E4" s="1117" t="str">
        <x:v>CURRENT COMMERCIAL BUILD-UP</x:v>
      </x:c>
      <x:c r="F4" s="1117"/>
      <x:c r="G4" s="1117"/>
      <x:c r="H4" s="1117"/>
    </x:row>
    <x:row r="5" ht="58" customHeight="1">
      <x:c r="A5" s="1121" t="n">
        <x:f>'Consolidated Package'!F56</x:f>
        <x:v>1226916.8060281163</x:v>
      </x:c>
      <x:c r="B5" s="1121"/>
      <x:c r="C5" s="1121"/>
      <x:c r="D5" s="1119"/>
      <x:c r="E5" s="1122" t="str">
        <x:v>Siteworks pre-commercial incl. Management Reserve</x:v>
      </x:c>
      <x:c r="F5" s="1123" t="n">
        <x:f>'Consolidated Package'!B5</x:f>
        <x:v>474995.6273853625</x:v>
      </x:c>
      <x:c r="G5" s="1119"/>
      <x:c r="H5" s="1119"/>
    </x:row>
    <x:row r="6" ht="60" customHeight="1">
      <x:c r="A6" s="1121"/>
      <x:c r="B6" s="1121"/>
      <x:c r="C6" s="1121"/>
      <x:c r="D6" s="1119"/>
      <x:c r="E6" s="1122" t="str">
        <x:v>Coast Concrete subcontract</x:v>
      </x:c>
      <x:c r="F6" s="1123" t="n">
        <x:f>'Consolidated Package'!B6</x:f>
        <x:v>210606</x:v>
      </x:c>
      <x:c r="G6" s="1119"/>
      <x:c r="H6" s="1119"/>
    </x:row>
    <x:row r="7" ht="38" customHeight="1">
      <x:c r="A7" s="1121"/>
      <x:c r="B7" s="1121"/>
      <x:c r="C7" s="1121"/>
      <x:c r="D7" s="1119"/>
      <x:c r="E7" s="1122" t="str">
        <x:v>Allied drainage subcontract</x:v>
      </x:c>
      <x:c r="F7" s="1123" t="n">
        <x:f>'Consolidated Package'!B11</x:f>
        <x:v>262470.45</x:v>
      </x:c>
      <x:c r="G7" s="1119"/>
      <x:c r="H7" s="1119"/>
    </x:row>
    <x:row r="8" ht="26.850000381469727" customHeight="1">
      <x:c r="A8" s="1121"/>
      <x:c r="B8" s="1121"/>
      <x:c r="C8" s="1121"/>
      <x:c r="D8" s="1119"/>
      <x:c r="E8" s="1122" t="str">
        <x:v>Current known cost before OH/profit</x:v>
      </x:c>
      <x:c r="F8" s="1123" t="n">
        <x:f>'Consolidated Package'!B56</x:f>
        <x:v>948072.0773853625</x:v>
      </x:c>
      <x:c r="G8" s="1119"/>
      <x:c r="H8" s="1119"/>
    </x:row>
    <x:row r="9" ht="26.850000381469727" customHeight="1">
      <x:c r="A9" s="1124" t="str">
        <x:v>WORKING ALL-IN TENDER, EXCL. GST</x:v>
      </x:c>
      <x:c r="B9" s="1124"/>
      <x:c r="C9" s="1124"/>
      <x:c r="D9" s="1119"/>
      <x:c r="E9" s="1122" t="str">
        <x:v>Company OH, 10%</x:v>
      </x:c>
      <x:c r="F9" s="1123" t="n">
        <x:f>'Consolidated Package'!C56</x:f>
        <x:v>94807.20773853625</x:v>
      </x:c>
      <x:c r="G9" s="1119"/>
      <x:c r="H9" s="1119"/>
    </x:row>
    <x:row r="10" ht="21.149999618530273" customHeight="1">
      <x:c r="A10" s="1119"/>
      <x:c r="B10" s="1119"/>
      <x:c r="C10" s="1119"/>
      <x:c r="D10" s="1119"/>
      <x:c r="E10" s="1122" t="str">
        <x:v>Profit, 15% true margin</x:v>
      </x:c>
      <x:c r="F10" s="1123" t="n">
        <x:f>'Consolidated Package'!E56</x:f>
        <x:v>184037.5209042175</x:v>
      </x:c>
      <x:c r="G10" s="1119"/>
      <x:c r="H10" s="1119"/>
    </x:row>
    <x:row r="11" ht="21.149999618530273" customHeight="1">
      <x:c r="A11" s="1119"/>
      <x:c r="B11" s="1119"/>
      <x:c r="C11" s="1119"/>
      <x:c r="D11" s="1119"/>
      <x:c r="E11" s="1125" t="str">
        <x:v>WORKING ALL-IN TENDER</x:v>
      </x:c>
      <x:c r="F11" s="1126" t="n">
        <x:f>'Consolidated Package'!F56</x:f>
        <x:v>1226916.8060281163</x:v>
      </x:c>
      <x:c r="G11" s="1119"/>
      <x:c r="H11" s="1119"/>
    </x:row>
    <x:row r="12" ht="21.149999618530273" customHeight="1">
      <x:c r="A12" s="1127" t="str">
        <x:v>Includes Siteworks + MR + Coast + Allied + 10% OH + 15% true margin.</x:v>
      </x:c>
      <x:c r="B12" s="1127"/>
      <x:c r="C12" s="1127"/>
      <x:c r="D12" s="1119"/>
      <x:c r="E12" s="1119" t="str">
        <x:v>Gross margin on sell</x:v>
      </x:c>
      <x:c r="F12" s="1340" t="n">
        <x:f>('Consolidated Package'!F56-'Consolidated Package'!B56)/'Consolidated Package'!F56</x:f>
        <x:v>0.22727272727272735</x:v>
      </x:c>
      <x:c r="G12" s="1119"/>
      <x:c r="H12" s="1119"/>
    </x:row>
    <x:row r="13" ht="21.149999618530273" customHeight="1">
      <x:c r="A13" s="1127"/>
      <x:c r="B13" s="1127"/>
      <x:c r="C13" s="1127"/>
      <x:c r="D13" s="1119"/>
      <x:c r="E13" s="1117" t="str">
        <x:v>KEY CONTROLS</x:v>
      </x:c>
      <x:c r="F13" s="1117"/>
      <x:c r="G13" s="1117"/>
      <x:c r="H13" s="1117"/>
    </x:row>
    <x:row r="14" ht="21.149999618530273" customHeight="1">
      <x:c r="A14" s="1127"/>
      <x:c r="B14" s="1127"/>
      <x:c r="C14" s="1127"/>
      <x:c r="D14" s="1119"/>
      <x:c r="E14" s="1122" t="str">
        <x:v>Siteworks standalone tender</x:v>
      </x:c>
      <x:c r="F14" s="1123" t="n">
        <x:f>'Tender Build-Up'!B47</x:f>
        <x:v>614700.2236751751</x:v>
      </x:c>
      <x:c r="G14" s="1119"/>
      <x:c r="H14" s="1119"/>
    </x:row>
    <x:row r="15" ht="21.149999618530273" customHeight="1">
      <x:c r="A15" s="1127"/>
      <x:c r="B15" s="1127"/>
      <x:c r="C15" s="1127"/>
      <x:c r="D15" s="1119"/>
      <x:c r="E15" s="1122" t="str">
        <x:v>Management Reserve, pre-margin</x:v>
      </x:c>
      <x:c r="F15" s="1123" t="n">
        <x:f>'Commercial Inputs'!E20</x:f>
        <x:v>18269.062591744714</x:v>
      </x:c>
      <x:c r="G15" s="1119"/>
      <x:c r="H15" s="1119"/>
    </x:row>
    <x:row r="16" ht="21.149999618530273" customHeight="1">
      <x:c r="A16" s="1119"/>
      <x:c r="B16" s="1119"/>
      <x:c r="C16" s="1119"/>
      <x:c r="D16" s="1119"/>
      <x:c r="E16" s="1122" t="str">
        <x:v>Weather allowance</x:v>
      </x:c>
      <x:c r="F16" s="1123" t="n">
        <x:f>'Weather Risk'!B38</x:f>
        <x:v>18204.688900072088</x:v>
      </x:c>
      <x:c r="G16" s="1119"/>
      <x:c r="H16" s="1119"/>
    </x:row>
    <x:row r="17" ht="26.850000381469727" customHeight="1">
      <x:c r="A17" s="1128" t="str">
        <x:v>Important: supplier/material costs inside the Siteworks estimate are already included in the Siteworks cost chain. Do not add them again. Coast and Allied are the separate subcontract overlays added once in the consolidated package.</x:v>
      </x:c>
      <x:c r="B17" s="1128"/>
      <x:c r="C17" s="1128"/>
      <x:c r="D17" s="1119"/>
      <x:c r="E17" s="1122" t="str">
        <x:v>Dry programme</x:v>
      </x:c>
      <x:c r="F17" s="1129" t="n">
        <x:f>'Weather Risk'!B8</x:f>
        <x:v>55</x:v>
      </x:c>
      <x:c r="G17" s="1119"/>
      <x:c r="H17" s="1119"/>
    </x:row>
    <x:row r="18" ht="26.850000381469727" customHeight="1">
      <x:c r="A18" s="1128"/>
      <x:c r="B18" s="1128"/>
      <x:c r="C18" s="1128"/>
      <x:c r="D18" s="1119"/>
      <x:c r="E18" s="1122" t="str">
        <x:v>Weather-adjusted planning</x:v>
      </x:c>
      <x:c r="F18" s="1129" t="n">
        <x:f>'Weather Risk'!B8+'Weather Risk'!B26</x:f>
        <x:v>63.82899478808023</x:v>
      </x:c>
      <x:c r="G18" s="1119"/>
      <x:c r="H18" s="1119"/>
    </x:row>
    <x:row r="19" ht="22.5" customHeight="1">
      <x:c r="A19" s="1128"/>
      <x:c r="B19" s="1128"/>
      <x:c r="C19" s="1128"/>
      <x:c r="D19" s="1119"/>
      <x:c r="E19" s="1122" t="str">
        <x:v>Release status</x:v>
      </x:c>
      <x:c r="F19" s="1130" t="str">
        <x:v>CONTRACT-AWARD HOLD</x:v>
      </x:c>
      <x:c r="G19" s="1119"/>
      <x:c r="H19" s="1119"/>
    </x:row>
    <x:row r="20" ht="22.5" customHeight="1">
      <x:c r="A20" s="1119"/>
      <x:c r="B20" s="1119"/>
      <x:c r="C20" s="1119"/>
      <x:c r="D20" s="1119"/>
      <x:c r="E20" s="1119"/>
      <x:c r="F20" s="1119"/>
      <x:c r="G20" s="1119"/>
      <x:c r="H20" s="1119"/>
    </x:row>
    <x:row r="21" ht="22.5" customHeight="1">
      <x:c r="A21" s="1117" t="str">
        <x:v>HOW TO READ THIS WORKBOOK — SIMPLE WORKFLOW</x:v>
      </x:c>
      <x:c r="B21" s="1117"/>
      <x:c r="C21" s="1117"/>
      <x:c r="D21" s="1117"/>
      <x:c r="E21" s="1117"/>
      <x:c r="F21" s="1117"/>
      <x:c r="G21" s="1117"/>
      <x:c r="H21" s="1117"/>
    </x:row>
    <x:row r="22" ht="22.5" customHeight="1">
      <x:c r="A22" s="1131" t="str">
        <x:v>1</x:v>
      </x:c>
      <x:c r="B22" s="1131" t="str">
        <x:v>Tender Snapshot / Start Here</x:v>
      </x:c>
      <x:c r="C22" s="1132" t="str">
        <x:v>Immediate answer: current all-in tender, package split, programme/weather, release status</x:v>
      </x:c>
      <x:c r="D22" s="1132" t="str"/>
      <x:c r="E22" s="1132" t="str"/>
      <x:c r="F22" s="1132" t="str"/>
      <x:c r="G22" s="1132" t="str"/>
      <x:c r="H22" s="1132" t="str"/>
    </x:row>
    <x:row r="23" ht="22.5" customHeight="1">
      <x:c r="A23" s="1131" t="str">
        <x:v>2</x:v>
      </x:c>
      <x:c r="B23" s="1131" t="str">
        <x:v>Summary</x:v>
      </x:c>
      <x:c r="C23" s="1132" t="str">
        <x:v>Key quantities, direct-cost sections, Siteworks tender and cost-chain checks</x:v>
      </x:c>
      <x:c r="D23" s="1132" t="str"/>
      <x:c r="E23" s="1132" t="str"/>
      <x:c r="F23" s="1132" t="str"/>
      <x:c r="G23" s="1132" t="str"/>
      <x:c r="H23" s="1132" t="str"/>
    </x:row>
    <x:row r="24" ht="22.5" customHeight="1">
      <x:c r="A24" s="1131" t="str">
        <x:v>3</x:v>
      </x:c>
      <x:c r="B24" s="1131" t="str">
        <x:v>Consolidated Package</x:v>
      </x:c>
      <x:c r="C24" s="1132" t="str">
        <x:v>Siteworks + Coast + Allied + commercial layer. This is the controlling all-in package view.</x:v>
      </x:c>
      <x:c r="D24" s="1132" t="str"/>
      <x:c r="E24" s="1132" t="str"/>
      <x:c r="F24" s="1132" t="str"/>
      <x:c r="G24" s="1132" t="str"/>
      <x:c r="H24" s="1132" t="str"/>
    </x:row>
    <x:row r="25" ht="22.5" customHeight="1">
      <x:c r="A25" s="1131" t="str">
        <x:v>4</x:v>
      </x:c>
      <x:c r="B25" s="1131" t="str">
        <x:v>QS Takeoff</x:v>
      </x:c>
      <x:c r="C25" s="1132" t="str">
        <x:v>Measured/provided quantities and section cost outputs</x:v>
      </x:c>
      <x:c r="D25" s="1132" t="str"/>
      <x:c r="E25" s="1132" t="str"/>
      <x:c r="F25" s="1132" t="str"/>
      <x:c r="G25" s="1132" t="str"/>
      <x:c r="H25" s="1132" t="str"/>
    </x:row>
    <x:row r="26" ht="34.20000076293945" customHeight="1">
      <x:c r="A26" s="1131" t="str">
        <x:v>5</x:v>
      </x:c>
      <x:c r="B26" s="1131" t="str">
        <x:v>Resource Build-Up</x:v>
      </x:c>
      <x:c r="C26" s="1132" t="str">
        <x:v>How each QS item is physically built: labour, plant, materials, suppliers and PCs</x:v>
      </x:c>
      <x:c r="D26" s="1132" t="str"/>
      <x:c r="E26" s="1132" t="str"/>
      <x:c r="F26" s="1132" t="str"/>
      <x:c r="G26" s="1132" t="str"/>
      <x:c r="H26" s="1132" t="str"/>
    </x:row>
    <x:row r="27">
      <x:c r="A27" s="1131" t="str">
        <x:v>6</x:v>
      </x:c>
      <x:c r="B27" s="1131" t="str">
        <x:v>Commercial Inputs</x:v>
      </x:c>
      <x:c r="C27" s="1132" t="str">
        <x:v>Management Reserve, weather feed, OH, margin and other commercial controls</x:v>
      </x:c>
      <x:c r="D27" s="1132" t="str"/>
      <x:c r="E27" s="1132" t="str"/>
      <x:c r="F27" s="1132" t="str"/>
      <x:c r="G27" s="1132" t="str"/>
      <x:c r="H27" s="1132" t="str"/>
    </x:row>
    <x:row r="28" ht="28.799999237060547" customHeight="1">
      <x:c r="A28" s="1131" t="str">
        <x:v>7</x:v>
      </x:c>
      <x:c r="B28" s="1131" t="str">
        <x:v>Weather Risk</x:v>
      </x:c>
      <x:c r="C28" s="1132" t="str">
        <x:v>ONLY LIVE WEATHER VIEW. Current 01-Oct-2026 / 55WD scenario and CA10 output.</x:v>
      </x:c>
      <x:c r="D28" s="1132" t="str"/>
      <x:c r="E28" s="1132" t="str"/>
      <x:c r="F28" s="1132" t="str"/>
      <x:c r="G28" s="1132" t="str"/>
      <x:c r="H28" s="1132" t="str"/>
    </x:row>
    <x:row r="29" ht="19.649999618530273" customHeight="1">
      <x:c r="A29" s="1131" t="str">
        <x:v>8</x:v>
      </x:c>
      <x:c r="B29" s="1131" t="str">
        <x:v>Risk Truth / Estimate Review Board</x:v>
      </x:c>
      <x:c r="C29" s="1132" t="str">
        <x:v>Technical uncertainty, duplication controls and release gate</x:v>
      </x:c>
      <x:c r="D29" s="1132" t="str"/>
      <x:c r="E29" s="1132" t="str"/>
      <x:c r="F29" s="1132" t="str"/>
      <x:c r="G29" s="1132" t="str"/>
      <x:c r="H29" s="1132" t="str"/>
    </x:row>
    <x:row r="30" ht="19.649999618530273" customHeight="1">
      <x:c r="A30" s="1131" t="str">
        <x:v>9</x:v>
      </x:c>
      <x:c r="B30" s="1131" t="str">
        <x:v>Supplier Quote Register</x:v>
      </x:c>
      <x:c r="C30" s="1132" t="str">
        <x:v>Project quotes and supplier/subcontract evidence</x:v>
      </x:c>
      <x:c r="D30" s="1132" t="str"/>
      <x:c r="E30" s="1132" t="str"/>
      <x:c r="F30" s="1132" t="str"/>
      <x:c r="G30" s="1132" t="str"/>
      <x:c r="H30" s="1132" t="str"/>
    </x:row>
    <x:row r="31" ht="19.649999618530273" customHeight="1">
      <x:c r="A31" s="1131" t="str">
        <x:v>10</x:v>
      </x:c>
      <x:c r="B31" s="1131" t="str">
        <x:v>Audit / historical tabs</x:v>
      </x:c>
      <x:c r="C31" s="1132" t="str">
        <x:v>Technical evidence only. Historical weather-run sheets are archived stubs and are not current inputs.</x:v>
      </x:c>
      <x:c r="D31" s="1132" t="str"/>
      <x:c r="E31" s="1132" t="str"/>
      <x:c r="F31" s="1132" t="str"/>
      <x:c r="G31" s="1132" t="str"/>
      <x:c r="H31" s="1132" t="str"/>
    </x:row>
    <x:row r="32" ht="19.649999618530273" customHeight="1">
      <x:c r="A32" s="1119"/>
      <x:c r="B32" s="1119"/>
      <x:c r="C32" s="1119"/>
      <x:c r="D32" s="1119"/>
      <x:c r="E32" s="1119"/>
      <x:c r="F32" s="1119"/>
      <x:c r="G32" s="1119"/>
      <x:c r="H32" s="1119"/>
    </x:row>
    <x:row r="33" ht="19.649999618530273" customHeight="1">
      <x:c r="A33" s="1117" t="str">
        <x:v>CURRENT RELEASE POSITION</x:v>
      </x:c>
      <x:c r="B33" s="1117"/>
      <x:c r="C33" s="1117"/>
      <x:c r="D33" s="1117"/>
      <x:c r="E33" s="1117"/>
      <x:c r="F33" s="1117"/>
      <x:c r="G33" s="1117"/>
      <x:c r="H33" s="1117"/>
    </x:row>
    <x:row r="34">
      <x:c r="A34" s="1133" t="str">
        <x:v>WORKING TENDER / HOLD. Current price is sufficiently developed for Dave/Siteworks adjudication. Technical REDs remain visible and must be resolved, excluded or formally accepted before contract award. The Management Reserve does not close those REDs.</x:v>
      </x:c>
      <x:c r="B34" s="1133"/>
      <x:c r="C34" s="1133"/>
      <x:c r="D34" s="1133"/>
      <x:c r="E34" s="1133"/>
      <x:c r="F34" s="1133"/>
      <x:c r="G34" s="1133"/>
      <x:c r="H34" s="1133"/>
    </x:row>
    <x:row r="35" ht="23.549999237060547" customHeight="1">
      <x:c r="A35" s="1133"/>
      <x:c r="B35" s="1133"/>
      <x:c r="C35" s="1133"/>
      <x:c r="D35" s="1133"/>
      <x:c r="E35" s="1133"/>
      <x:c r="F35" s="1133"/>
      <x:c r="G35" s="1133"/>
      <x:c r="H35" s="1133"/>
    </x:row>
    <x:row r="36">
      <x:c r="A36" s="1133"/>
      <x:c r="B36" s="1133"/>
      <x:c r="C36" s="1133"/>
      <x:c r="D36" s="1133"/>
      <x:c r="E36" s="1133"/>
      <x:c r="F36" s="1133"/>
      <x:c r="G36" s="1133"/>
      <x:c r="H36" s="1133"/>
    </x:row>
    <x:row r="37" ht="19.649999618530273" customHeight="1">
      <x:c r="A37" s="1119"/>
      <x:c r="B37" s="1119"/>
      <x:c r="C37" s="1119"/>
      <x:c r="D37" s="1119"/>
      <x:c r="E37" s="1119"/>
      <x:c r="F37" s="1119"/>
      <x:c r="G37" s="1119"/>
      <x:c r="H37" s="1119"/>
    </x:row>
    <x:row r="38" ht="19.649999618530273" customHeight="1">
      <x:c r="A38" s="1132" t="str">
        <x:v>Project</x:v>
      </x:c>
      <x:c r="B38" s="1132" t="str">
        <x:v>329 Hobsonville Road Childcare Centre</x:v>
      </x:c>
      <x:c r="C38" s="1132" t="str"/>
      <x:c r="D38" s="1132" t="str">
        <x:v>Location</x:v>
      </x:c>
      <x:c r="E38" s="1132" t="str">
        <x:v>329 Hobsonville Road, Hobsonville, Auckland</x:v>
      </x:c>
      <x:c r="F38" s="1132" t="str"/>
      <x:c r="G38" s="1132" t="str"/>
      <x:c r="H38" s="1132" t="str"/>
    </x:row>
    <x:row r="39" ht="19.649999618530273" customHeight="1">
      <x:c r="A39" s="1132" t="str">
        <x:v>Current drawings</x:v>
      </x:c>
      <x:c r="B39" s="1132" t="str">
        <x:v>Arch 25237 Rev17; Yodha 2615 EPA RevE / Infrastructure RevB; DHC 13880 RevB; Geotech AK26-051AB Rev0</x:v>
      </x:c>
      <x:c r="C39" s="1132" t="str"/>
      <x:c r="D39" s="1132" t="str">
        <x:v>Issue date</x:v>
      </x:c>
      <x:c r="E39" s="1132" t="str">
        <x:v>12-Sep-2026</x:v>
      </x:c>
      <x:c r="F39" s="1132" t="str"/>
      <x:c r="G39" s="1132" t="str"/>
      <x:c r="H39" s="1132" t="str"/>
    </x:row>
    <x:row r="40" ht="19.649999618530273" customHeight="1">
      <x:c r="A40" s="1132" t="str">
        <x:v>Scope</x:v>
      </x:c>
      <x:c r="B40" s="1132" t="str">
        <x:v>Siteworks civil package with Coast foundation/floor and Allied drainage overlays</x:v>
      </x:c>
      <x:c r="C40" s="1132" t="str"/>
      <x:c r="D40" s="1132" t="str">
        <x:v>GST</x:v>
      </x:c>
      <x:c r="E40" s="1132" t="str">
        <x:v>All values shown above exclude GST</x:v>
      </x:c>
      <x:c r="F40" s="1132" t="str"/>
      <x:c r="G40" s="1132" t="str"/>
      <x:c r="H40" s="1132" t="str"/>
    </x:row>
    <x:row r="41" ht="19.649999618530273" customHeight="1">
      <x:c r="A41" s="1132" t="str">
        <x:v>Programme</x:v>
      </x:c>
      <x:c r="B41" s="1132" t="str">
        <x:v>55 dry working days; 01-Oct-2026 tender-season start assumption</x:v>
      </x:c>
      <x:c r="C41" s="1132" t="str"/>
      <x:c r="D41" s="1132" t="str">
        <x:v>Weather</x:v>
      </x:c>
      <x:c r="E41" s="1132" t="str">
        <x:v>8.829WD normal-weather delay / approx. 64WD planning duration</x:v>
      </x:c>
      <x:c r="F41" s="1132" t="str"/>
      <x:c r="G41" s="1132" t="str"/>
      <x:c r="H41" s="1132" t="str"/>
    </x:row>
    <x:row r="42" ht="19.649999618530273" customHeight="1">
      <x:c r="A42" s="1132" t="str">
        <x:v>Price status</x:v>
      </x:c>
      <x:c r="B42" s="1132" t="str">
        <x:v>Working consolidated tender scenario — not yet contract-award release</x:v>
      </x:c>
      <x:c r="C42" s="1132" t="str"/>
      <x:c r="D42" s="1132" t="str">
        <x:v>Commercial</x:v>
      </x:c>
      <x:c r="E42" s="1132" t="str">
        <x:v>10% OH + 15% true margin across current known package</x:v>
      </x:c>
      <x:c r="F42" s="1132" t="str"/>
      <x:c r="G42" s="1132" t="str"/>
      <x:c r="H42" s="1132" t="str"/>
    </x:row>
    <x:row r="43" ht="19.649999618530273" customHeight="1">
      <x:c r="A43" s="1119"/>
      <x:c r="B43" s="1119"/>
      <x:c r="C43" s="1119"/>
      <x:c r="D43" s="1119"/>
      <x:c r="E43" s="1119"/>
      <x:c r="F43" s="1119"/>
      <x:c r="G43" s="1119"/>
      <x:c r="H43" s="1119"/>
    </x:row>
    <x:row r="44" ht="16.799999237060547" customHeight="1">
      <x:c r="A44" s="1134" t="str">
        <x:v>Risk Truth</x:v>
      </x:c>
      <x:c r="B44" s="1132" t="str">
        <x:v>Risk-control and reconciliation module. Tracks baseline vs residual exposure, prevents duplicate cost paths and routes risk once to QS, CA01/CA02 or specialist engines.</x:v>
      </x:c>
      <x:c r="C44" s="1132"/>
      <x:c r="D44" s="1132"/>
      <x:c r="E44" s="1132"/>
      <x:c r="F44" s="1132"/>
      <x:c r="G44" s="1132"/>
      <x:c r="H44" s="1132"/>
    </x:row>
    <x:row r="45">
      <x:c r="A45" s="1132"/>
      <x:c r="B45" s="1132"/>
      <x:c r="C45" s="1132"/>
      <x:c r="D45" s="1132"/>
      <x:c r="E45" s="1132"/>
      <x:c r="F45" s="1132"/>
      <x:c r="G45" s="1132"/>
      <x:c r="H45" s="1132"/>
    </x:row>
    <x:row r="46" ht="17.25" customHeight="1">
      <x:c r="A46" s="1135" t="s">
        <x:v>0</x:v>
      </x:c>
      <x:c r="B46" s="1135"/>
      <x:c r="C46" s="1135"/>
      <x:c r="D46" s="1135"/>
      <x:c r="E46" s="1135"/>
      <x:c r="F46" s="1135"/>
      <x:c r="G46" s="1135"/>
      <x:c r="H46" s="1135"/>
    </x:row>
    <x:row r="47" ht="17.25" customHeight="1">
      <x:c r="A47" s="1132" t="s">
        <x:v>1</x:v>
      </x:c>
      <x:c r="B47" s="1132" t="s">
        <x:v>2</x:v>
      </x:c>
      <x:c r="C47" s="1119" t="s">
        <x:v>3</x:v>
      </x:c>
      <x:c r="D47" s="1132"/>
      <x:c r="E47" s="1132"/>
      <x:c r="F47" s="1132"/>
      <x:c r="G47" s="1132"/>
      <x:c r="H47" s="1132"/>
    </x:row>
    <x:row r="48" ht="33.75" customHeight="1">
      <x:c r="A48" s="1132" t="str">
        <x:v>Plans / drawings</x:v>
      </x:c>
      <x:c r="B48" s="1132" t="str">
        <x:v>Architectural 25237 Rev17 (11-Sep-2026); Civil Yodha 2615 EPA set incl. DWG301 RevB, 311 RevB, 331 RevA, 401 RevE, 411 RevD, 421 RevC, 431 RevD, 441 RevA, 451 RevA, 461 RevA; Structural DHC 13880 RevB.</x:v>
      </x:c>
      <x:c r="C48" s="1119" t="str">
        <x:v>Geometry, current pavement/access details, foundation types, retaining details and interfaces.</x:v>
      </x:c>
      <x:c r="D48" s="1132"/>
      <x:c r="E48" s="1132"/>
      <x:c r="F48" s="1132"/>
      <x:c r="G48" s="1132"/>
      <x:c r="H48" s="1132"/>
    </x:row>
    <x:row r="49" ht="25.350000381469727" customHeight="1">
      <x:c r="A49" s="1132" t="str">
        <x:v>Specifications</x:v>
      </x:c>
      <x:c r="B49" s="1132" t="str">
        <x:v>Specification-329 Hobsonville Road.pdf - Masterspec, May 2026.</x:v>
      </x:c>
      <x:c r="C49" s="1119" t="str">
        <x:v>Earthworks, drainage, workmanship, testing and sitework requirements.</x:v>
      </x:c>
      <x:c r="D49" s="1132"/>
      <x:c r="E49" s="1132"/>
      <x:c r="F49" s="1132"/>
      <x:c r="G49" s="1132"/>
      <x:c r="H49" s="1132"/>
    </x:row>
    <x:row r="50" ht="33.75" customHeight="1">
      <x:c r="A50" s="1132" t="str">
        <x:v>Geotechnical / ground information</x:v>
      </x:c>
      <x:c r="B50" s="1132" t="str">
        <x:v>AK26-051AB Rev0 GIR - Gibb Ritchie, 16-Apr-2026.</x:v>
      </x:c>
      <x:c r="C50" s="1119" t="str">
        <x:v>Topsoil/ground model, CBR, groundwater observations, foundation and retaining recommendations.</x:v>
      </x:c>
      <x:c r="D50" s="1132"/>
      <x:c r="E50" s="1132"/>
      <x:c r="F50" s="1132"/>
      <x:c r="G50" s="1132"/>
      <x:c r="H50" s="1132"/>
    </x:row>
    <x:row r="51" ht="25.350000381469727" customHeight="1">
      <x:c r="A51" s="1132" t="str">
        <x:v>Survey / CAD / models</x:v>
      </x:c>
      <x:c r="B51" s="1132" t="str">
        <x:v>No native survey/CAD/earthworks model provided in the tender set.</x:v>
      </x:c>
      <x:c r="C51" s="1119" t="str">
        <x:v>No native CAD model. Yodha Infrastructure RevB now controls mass balance at 110m3 cut, 1,033m3 fill and 923m3 net import; PDF vector measurements are used for geometry. Topsoil treatment, material source and haul remain closeout items.</x:v>
      </x:c>
      <x:c r="D51" s="1132"/>
      <x:c r="E51" s="1132"/>
      <x:c r="F51" s="1132"/>
      <x:c r="G51" s="1132"/>
      <x:c r="H51" s="1132"/>
    </x:row>
    <x:row r="52" ht="33.75" customHeight="1">
      <x:c r="A52" s="1132" t="str">
        <x:v>Tender / contract / scope documents</x:v>
      </x:c>
      <x:c r="B52" s="1132" t="str">
        <x:v>Dave Stewart emails 04-Sep-2026; TPW tender summary; tender due 14-Sep-2026.</x:v>
      </x:c>
      <x:c r="C52" s="1119" t="str">
        <x:v>Defines Siteworks package boundary and client return headings.</x:v>
      </x:c>
      <x:c r="D52" s="1132"/>
      <x:c r="E52" s="1132"/>
      <x:c r="F52" s="1132"/>
      <x:c r="G52" s="1132"/>
      <x:c r="H52" s="1132"/>
    </x:row>
    <x:row r="53" ht="16.950000762939453" customHeight="1">
      <x:c r="A53" s="1132" t="str">
        <x:v>Supplier / subcontract quotations</x:v>
      </x:c>
      <x:c r="B53" s="1132" t="str">
        <x:v>Supplier/subcontract enquiries Q-01 to Q-10 issued 07-Sep-2026. Allproof/PlaceMakers quantity basis is closed to estimator build; Traffic Safe Q-07 and Gibb Ritchie Q-08 are quoted; Urban Quarry Q-06/Q-10 live rates received 11-Sep. Q-03 no-fines, Q-05 concrete placing/productivity and Q-09 line marking remain open. PCs remain until scope-aligned evidence is reconciled.</x:v>
      </x:c>
      <x:c r="C53" s="1119" t="str">
        <x:v>Supplier Quote Register Q-01 to Q-10 controls Allproof, retaining, no-fines, drilling, concrete placing, aggregate/fill, CAR/TMP, geotech/testing, line marking/speed devices and cartage/tipping.</x:v>
      </x:c>
      <x:c r="D53" s="1132"/>
      <x:c r="E53" s="1132"/>
      <x:c r="F53" s="1132"/>
      <x:c r="G53" s="1132"/>
      <x:c r="H53" s="1132"/>
    </x:row>
    <x:row r="54" ht="25.350000381469727" customHeight="1">
      <x:c r="A54" s="1132" t="str">
        <x:v>Other consultants / approvals</x:v>
      </x:c>
      <x:c r="B54" s="1132" t="str">
        <x:v>Traffic Assessment; Flood Assessment; Power-line report; Sediment Control details; Allproof threshold technical data.</x:v>
      </x:c>
      <x:c r="C54" s="1119" t="str">
        <x:v>Vehicle access, OLFP, power-clearance, ESC and threshold-drain requirements.</x:v>
      </x:c>
      <x:c r="D54" s="1132"/>
      <x:c r="E54" s="1132"/>
      <x:c r="F54" s="1132"/>
      <x:c r="G54" s="1132"/>
      <x:c r="H54" s="1132"/>
    </x:row>
    <x:row r="55" ht="8.850000381469727" customHeight="1">
      <x:c r="A55" s="1132" t="str">
        <x:v>Correspondence / addenda / clarifications</x:v>
      </x:c>
      <x:c r="B55" s="1132" t="str">
        <x:v>Dave Stewart: general drainage by separate drainage contractor; foundation excavations to be priced separately; include channel drains around building.</x:v>
      </x:c>
      <x:c r="C55" s="1132" t="str">
        <x:v>Current scope instructions and interfaces.</x:v>
      </x:c>
      <x:c r="D55" s="1132"/>
      <x:c r="E55" s="1132"/>
      <x:c r="F55" s="1132"/>
      <x:c r="G55" s="1132"/>
      <x:c r="H55" s="1132"/>
    </x:row>
    <x:row r="56" ht="8.850000381469727" customHeight="1">
      <x:c r="A56" s="1132" t="str">
        <x:v>Backend construction intelligence</x:v>
      </x:c>
      <x:c r="B56" s="1132" t="str">
        <x:v>3Bears Construction Intelligence Master Reference Rev2 + live 3Bears Construction Intelligence Register, checked 08-Sep-2026</x:v>
      </x:c>
      <x:c r="C56" s="1132" t="str">
        <x:v>Backend evidence challenge only. Project rates are changed only where geography, specification, unit, delivery/hire basis and verification align. No silent overwrite.</x:v>
      </x:c>
      <x:c r="D56" s="1132"/>
      <x:c r="E56" s="1132"/>
      <x:c r="F56" s="1132"/>
      <x:c r="G56" s="1132"/>
      <x:c r="H56" s="1132"/>
    </x:row>
    <x:row r="57" ht="27.299999237060547" customHeight="1">
      <x:c r="A57" s="1135" t="s">
        <x:v>4</x:v>
      </x:c>
      <x:c r="B57" s="1135"/>
      <x:c r="C57" s="1135"/>
      <x:c r="D57" s="1135"/>
      <x:c r="E57" s="1135"/>
      <x:c r="F57" s="1135"/>
      <x:c r="G57" s="1135"/>
      <x:c r="H57" s="1135"/>
    </x:row>
    <x:row r="58" ht="27.75" customHeight="1">
      <x:c r="A58" s="1132" t="str">
        <x:v>A1</x:v>
      </x:c>
      <x:c r="B58" s="1132" t="str">
        <x:v>Price is limited to Dave Stewart's nominated Siteworks package. Building superstructure, architectural fitout, playground equipment, soft landscaping, architectural fencing and above-ground MEP are excluded except stated interfaces.</x:v>
      </x:c>
      <x:c r="C58" s="1132"/>
      <x:c r="D58" s="1132"/>
      <x:c r="E58" s="1132"/>
      <x:c r="F58" s="1132"/>
      <x:c r="G58" s="1132"/>
      <x:c r="H58" s="1132"/>
    </x:row>
    <x:row r="59" ht="27.75" customHeight="1">
      <x:c r="A59" s="1132" t="str">
        <x:v>A2</x:v>
      </x:c>
      <x:c r="B59" s="1132" t="str">
        <x:v>Assume normal weekday working access. Start date, work hours, number of crews/work fronts and time-related preliminaries remain to be confirmed before programme/weather release.</x:v>
      </x:c>
      <x:c r="C59" s="1132"/>
      <x:c r="D59" s="1132"/>
      <x:c r="E59" s="1132"/>
      <x:c r="F59" s="1132"/>
      <x:c r="G59" s="1132"/>
      <x:c r="H59" s="1132"/>
    </x:row>
    <x:row r="60" ht="27.75" customHeight="1">
      <x:c r="A60" s="1132" t="str">
        <x:v>A3</x:v>
      </x:c>
      <x:c r="B60" s="1132" t="str">
        <x:v>Assume current earthworks mass balance per Yodha Infrastructure Assessment RevB: 110m3 cut, 1,033m3 fill and 923m3 net imported fill. Topsoil is stripped under EW01 and is not added again as bulk excavation unless surplus export is confirmed.</x:v>
      </x:c>
      <x:c r="C60" s="1132"/>
      <x:c r="D60" s="1132"/>
      <x:c r="E60" s="1132"/>
      <x:c r="F60" s="1132"/>
      <x:c r="G60" s="1132"/>
      <x:c r="H60" s="1132"/>
    </x:row>
    <x:row r="61" ht="27.75" customHeight="1">
      <x:c r="A61" s="1132" t="str">
        <x:v>A4</x:v>
      </x:c>
      <x:c r="B61" s="1132" t="str">
        <x:v>Assume ground baseline per Gibb Ritchie AK26-051AB Rev0: generally 0.3-0.4m topsoil over residual East Coast Bays Formation clayey silts, predominantly very stiff to hard. The GIR states excavation is expected to be readily achieved with normal earthworks plant. Groundwater was not encountered during the April 2026 investigation; this does not guarantee dry construction at all times.</x:v>
      </x:c>
      <x:c r="C61" s="1132"/>
      <x:c r="D61" s="1132"/>
      <x:c r="E61" s="1132"/>
      <x:c r="F61" s="1132"/>
      <x:c r="G61" s="1132"/>
      <x:c r="H61" s="1132"/>
    </x:row>
    <x:row r="62" ht="27.75" customHeight="1">
      <x:c r="A62" s="1132" t="str">
        <x:v>A5</x:v>
      </x:c>
      <x:c r="B62" s="1132" t="str">
        <x:v>Project-specific geotechnical construction monitoring/testing is included through Gibb Ritchie AK26-051AD Rev0 at $4,600 for the quoted baseline (consent-condition familiarisation, seven monitoring/testing visits and PS4). Engineered-fill placement/testing and proof/inspection hold points remain subject to geotechnical acceptance.</x:v>
      </x:c>
      <x:c r="C62" s="1132"/>
      <x:c r="D62" s="1132"/>
      <x:c r="E62" s="1132"/>
      <x:c r="F62" s="1132"/>
      <x:c r="G62" s="1132"/>
      <x:c r="H62" s="1132"/>
    </x:row>
    <x:row r="63" ht="27.75" customHeight="1">
      <x:c r="A63" s="1132" t="str">
        <x:v>A6</x:v>
      </x:c>
      <x:c r="B63" s="1132" t="str">
        <x:v>Assume a 55-working-day dry, 5-day/week Board-adjudicated tender programme. The 01-Oct-2026 date is a tender-season Weather scenario only until Siteworks confirms actual start, working hours, shutdowns/holidays, crews and milestones.</x:v>
      </x:c>
      <x:c r="C63" s="1132"/>
      <x:c r="D63" s="1132"/>
      <x:c r="E63" s="1132"/>
      <x:c r="F63" s="1132"/>
      <x:c r="G63" s="1132"/>
      <x:c r="H63" s="1132"/>
    </x:row>
    <x:row r="64" ht="27.75" customHeight="1">
      <x:c r="A64" s="1132" t="str">
        <x:v>A7</x:v>
      </x:c>
      <x:c r="B64" s="1132" t="str">
        <x:v>PILE1 bridging piles remain priced as Siteworks self-perform using the in-house 3t excavator/auger control. PILE2 bored-hole excavation is by Coast Concrete: Karl confirmed 15 PILE2 and the Coast formal quote includes P2 excavation. Siteworks EW06 therefore remains $0 and must not be reinstated unless Coast scope changes.</x:v>
      </x:c>
      <x:c r="C64" s="1132"/>
      <x:c r="D64" s="1132"/>
      <x:c r="E64" s="1132"/>
      <x:c r="F64" s="1132"/>
      <x:c r="G64" s="1132"/>
      <x:c r="H64" s="1132"/>
    </x:row>
    <x:row r="65" ht="27.75" customHeight="1">
      <x:c r="A65" s="1132" t="str">
        <x:v>A8</x:v>
      </x:c>
      <x:c r="B65" s="1132" t="str">
        <x:v>Assume public Hobsonville Road VX203 crossing is separate from the private ROW/JOAL connection; the private connection is included within PV01 internal pavement quantity.</x:v>
      </x:c>
      <x:c r="C65" s="1132"/>
      <x:c r="D65" s="1132"/>
      <x:c r="E65" s="1132"/>
      <x:c r="F65" s="1132"/>
      <x:c r="G65" s="1132"/>
      <x:c r="H65" s="1132"/>
    </x:row>
    <x:row r="66" ht="27.75" customHeight="1">
      <x:c r="A66" s="1132" t="str">
        <x:v>A9</x:v>
      </x:c>
      <x:c r="B66" s="1132" t="str">
        <x:v>Foundation/ground interface basis: Siteworks retains EW05 P1-P4 pad excavation and EW07 F1-F7 strip/thickening/wing-footing excavation. Coast carries PILE2 boring only. Final founding levels/working space remain subject to onsite geotechnical inspection and the structural/geotechnical hold points.</x:v>
      </x:c>
      <x:c r="C66" s="1132"/>
      <x:c r="D66" s="1132"/>
      <x:c r="E66" s="1132"/>
      <x:c r="F66" s="1132"/>
      <x:c r="G66" s="1132"/>
      <x:c r="H66" s="1132"/>
    </x:row>
    <x:row r="67" ht="34.5" customHeight="1">
      <x:c r="A67" s="1132" t="str">
        <x:v>EX-01</x:v>
      </x:c>
      <x:c r="B67" s="1132" t="str">
        <x:v>Exclude slab/foundation concrete, reinforcing, blockwork and building construction except Siteworks excavation/bore scope expressly confirmed. Whole-site temporary perimeter fencing/hoarding is by principal contractor unless specifically instructed; Siteworks local workfront barriers remain within normal P&amp;G controls.</x:v>
      </x:c>
      <x:c r="C67" s="1132"/>
      <x:c r="D67" s="1132"/>
      <x:c r="E67" s="1132"/>
      <x:c r="F67" s="1132"/>
      <x:c r="G67" s="1132"/>
      <x:c r="H67" s="1132"/>
    </x:row>
    <x:row r="68" ht="27.75" customHeight="1">
      <x:c r="A68" s="1132" t="str">
        <x:v>EX-02</x:v>
      </x:c>
      <x:c r="B68" s="1132" t="str">
        <x:v>Exclude general stormwater, wastewater and water drainage by the separate drainage contractor, except confirmed Siteworks channel/threshold/earthworks interfaces.</x:v>
      </x:c>
      <x:c r="C68" s="1132"/>
      <x:c r="D68" s="1132"/>
      <x:c r="E68" s="1132"/>
      <x:c r="F68" s="1132"/>
      <x:c r="G68" s="1132"/>
      <x:c r="H68" s="1132"/>
    </x:row>
    <x:row r="69" ht="27.75" customHeight="1">
      <x:c r="A69" s="1132" t="str">
        <x:v>EX-03</x:v>
      </x:c>
      <x:c r="B69" s="1132" t="str">
        <x:v>Ground / latent-condition exclusion: price is based on AK26-051AB Rev0 normal ground conditions. Excluded unless specifically instructed, measured or later quoted are rock or hard bands requiring ripping/breaking, unexpected soft/organic/unsuitable ground requiring undercut or remediation beyond the stated earthworks PCs, contaminated or managed material, buried obstructions, undocumented services, and groundwater/dewatering materially exceeding the CA09 construction-water baseline. Material deviation from the geotechnical tender baseline requires remeasurement/repricing.</x:v>
      </x:c>
      <x:c r="C69" s="1132"/>
      <x:c r="D69" s="1132"/>
      <x:c r="E69" s="1132"/>
      <x:c r="F69" s="1132"/>
      <x:c r="G69" s="1132"/>
      <x:c r="H69" s="1132"/>
    </x:row>
    <x:row r="70" ht="27.75" customHeight="1">
      <x:c r="A70" s="1132" t="str">
        <x:v>PRICING QUALIFICATIONS / RFIs</x:v>
      </x:c>
      <x:c r="B70" s="1132"/>
      <x:c r="C70" s="1132"/>
      <x:c r="D70" s="1132"/>
      <x:c r="E70" s="1132"/>
      <x:c r="F70" s="1132"/>
      <x:c r="G70" s="1132"/>
      <x:c r="H70" s="1132"/>
    </x:row>
    <x:row r="71" ht="27.75" customHeight="1">
      <x:c r="A71" s="1132" t="str">
        <x:v>RFI-01</x:v>
      </x:c>
      <x:c r="B71" s="1132" t="str">
        <x:v>Retaining wall: current vector alignment control is 82.93lm and DHC design extends to 1.8m. Confirm governing coordinated height bands/elevations and any revised wall geometry against Civil DWG301, Arch Rev16 and DHC. Impact: blocks, no-fines, excavation, drainage, pile bridging and programme.</x:v>
      </x:c>
      <x:c r="C71" s="1132"/>
      <x:c r="D71" s="1132"/>
      <x:c r="E71" s="1132"/>
      <x:c r="F71" s="1132"/>
      <x:c r="G71" s="1132"/>
      <x:c r="H71" s="1132"/>
    </x:row>
    <x:row r="72" s="103" customFormat="1" ht="27.75" customHeight="1">
      <x:c r="A72" s="1131" t="str">
        <x:v>RFI-02</x:v>
      </x:c>
      <x:c r="B72" s="1131" t="str">
        <x:v>Allproof threshold drains: Allproof has now provided the ordering rule of 2m channel/grating + 2 end caps per door. For 22 flush-threshold doors this gives 44m channel/grating + 44 end caps, with a confirmed 7-8 week lead time. Current PlaceMakers sell-rate sensitivity is $19,280.36 excl GST for GFN materials or $37,686.88 excl GST for Wedge Wire materials before installation/outlets. Confirm the nominated grate/system and the downstream outlet/interface with the separate drainage contractor. $40k ES03 PC remains until that selection/interface is resolved. No further Allproof takeoff is expected.</x:v>
      </x:c>
      <x:c r="C72" s="1131"/>
      <x:c r="D72" s="1131"/>
      <x:c r="E72" s="1131"/>
      <x:c r="F72" s="1131"/>
      <x:c r="G72" s="1131"/>
      <x:c r="H72" s="1131"/>
    </x:row>
    <x:row r="73" ht="27.75" customHeight="1">
      <x:c r="A73" s="1132" t="str">
        <x:v>RFI-03</x:v>
      </x:c>
      <x:c r="B73" s="1132" t="str">
        <x:v>Foundation excavation: P1-P4 pads and 14 PILE2 bores are measured. PILE1/PILE2 boring is priced as an in-house self-perform build. F1-F7 sections are defined but final lineal lengths remain to firm. Confirm Siteworks excavation boundary including spoil export, over-excavation, replacement hardfill, blinding and temporary support. The boring hourly build is onsite production only; add one combined mobilisation/demobilisation only if the 3t excavator + auger are not already onsite.</x:v>
      </x:c>
      <x:c r="C73" s="1132"/>
      <x:c r="D73" s="1132"/>
      <x:c r="E73" s="1132"/>
      <x:c r="F73" s="1132"/>
      <x:c r="G73" s="1132"/>
      <x:c r="H73" s="1132"/>
    </x:row>
    <x:row r="74" ht="27.75" customHeight="1">
      <x:c r="A74" s="1132" t="str">
        <x:v>RFI-04</x:v>
      </x:c>
      <x:c r="B74" s="1132" t="str">
        <x:v>Drainage interface - TENDER BASIS: Siteworks includes the Allproof threshold channel system and formed surface/dish channels described in this estimate. General piped stormwater/wastewater/water, downstream pipe runs, catchpits and connections into the stormwater network remain the separate drainage contractor's scope unless specifically instructed otherwise. Confirm only any immediate Allproof outlet fitting/accessory needed within the supplier package.</x:v>
      </x:c>
      <x:c r="C74" s="1132"/>
      <x:c r="D74" s="1132"/>
      <x:c r="E74" s="1132"/>
      <x:c r="F74" s="1132"/>
      <x:c r="G74" s="1132"/>
      <x:c r="H74" s="1132"/>
    </x:row>
    <x:row r="75" ht="27.75" customHeight="1">
      <x:c r="A75" s="1132" t="str">
        <x:v>RFI-05</x:v>
      </x:c>
      <x:c r="B75" s="1132" t="str">
        <x:v>RFI-05 CLOSED / ESC TENDER BASIS: stamped Yodha DWG231 Rev A provides the site-specific ESC layout and DWG241 Rev A provides construction details. Main silt fence measures 226.3lm; explicit 8.0lm AMBER return allowance gives 234.3lm working fence. Stabilised entrance =49.0m2 and 7.35m3 at 150mm. ESC01 is now first-principles rather than the former $12k PC. Remaining firm-up: return setout, 50-150mm washed aggregate/delivery and site-engineer acceptance.</x:v>
      </x:c>
      <x:c r="C75" s="1132"/>
      <x:c r="D75" s="1132"/>
      <x:c r="E75" s="1132"/>
      <x:c r="F75" s="1132"/>
      <x:c r="G75" s="1132"/>
      <x:c r="H75" s="1132"/>
    </x:row>
    <x:row r="76" ht="27.75" customHeight="1">
      <x:c r="A76" s="1132" t="str">
        <x:v>RFI-06</x:v>
      </x:c>
      <x:c r="B76" s="1132" t="str">
        <x:v>RFI-06 / RFI-15 EARTHWORKS - OPEN RED: live tender remains Yodha RevB 110m3 cut, 1,033m3 fill, 923m3 net import. TPW-issued Architectural Rev17 now states 113m3 cut, 1,310m3 fill and 2,105m2 earthworks area, implying 1,197m3 net import (+274m3). Rev17 area 2,105m2 has been adopted for surface strip/final trim only. Non-additive direct sensitivity = +$23,314.55 before Weather/OH/profit. Reconcile TPW/Yodha before changing EW02/EW09; programme and Weather rerun required if Rev17 volumes govern.</x:v>
      </x:c>
      <x:c r="C76" s="1132"/>
      <x:c r="D76" s="1132"/>
      <x:c r="E76" s="1132"/>
      <x:c r="F76" s="1132"/>
      <x:c r="G76" s="1132"/>
      <x:c r="H76" s="1132"/>
    </x:row>
    <x:row r="77" ht="27.75" customHeight="1">
      <x:c r="A77" s="1132" t="str">
        <x:v>RFI-07</x:v>
      </x:c>
      <x:c r="B77" s="1132" t="str">
        <x:v>RFI-07 / TRAFFIC MANAGEMENT - Traffic Safe quote received 10-Sep-2026. Quoted core $3,938.40 excl GST comprises TMP planning/submission $500, one Stop/Go shift $2,275.60 and one shoulder/pedestrian shift $1,162.80. Supplier advises likely road occupation 10:00-16:00. Temporary FAF and additional RCA/CAR/cable-locate/restricted-parking fees remain excluded/on-charge; VMS/barriers/plating/light towers excluded unless required. Confirm final crossing method needs no more than the quoted two traffic shifts.</x:v>
      </x:c>
      <x:c r="C77" s="1132"/>
      <x:c r="D77" s="1132"/>
      <x:c r="E77" s="1132"/>
      <x:c r="F77" s="1132"/>
      <x:c r="G77" s="1132"/>
      <x:c r="H77" s="1132"/>
    </x:row>
    <x:row r="78" ht="27.75" customHeight="1">
      <x:c r="A78" s="1132" t="str">
        <x:v>RFI-08</x:v>
      </x:c>
      <x:c r="B78" s="1132" t="str">
        <x:v>Service trenches: Civil DWG311 states typical service trench details are by others. Confirm services, routes, lengths, depths/widths, common trench, ducts/pipe supply, bedding/backfill, warning tape, testing and reinstatement. Impact: ES01 remains a $15k PC/design hold until coordinated information is issued.</x:v>
      </x:c>
      <x:c r="C78" s="1132"/>
      <x:c r="D78" s="1132"/>
      <x:c r="E78" s="1132"/>
      <x:c r="F78" s="1132"/>
      <x:c r="G78" s="1132"/>
      <x:c r="H78" s="1132"/>
    </x:row>
    <x:row r="79" ht="27.75" customHeight="1">
      <x:c r="A79" s="1132" t="str">
        <x:v>RFI-09</x:v>
      </x:c>
      <x:c r="B79" s="1132" t="str">
        <x:v>RFI-09 PROGRAMME / WEATHER - REV33 TENDER BASIS: 55 dry working days, 5 days/week. Normal-weather modelling adds 8.829 critical-path WD; CA10 = $18,204.69; approx 63.829 weather-adjusted planning WD for 01-Oct-2026 scenario. EW06 PILE2 is now by Coast and excluded from Siteworks weather exposure. RFI-15 volume reconciliation and Q-05 remain rerun triggers.</x:v>
      </x:c>
      <x:c r="C79" s="1132"/>
      <x:c r="D79" s="1132"/>
      <x:c r="E79" s="1132"/>
      <x:c r="F79" s="1132"/>
      <x:c r="G79" s="1132"/>
      <x:c r="H79" s="1132"/>
    </x:row>
    <x:row r="80" ht="27.75" customHeight="1">
      <x:c r="A80" s="1132" t="str">
        <x:v>RFI-10</x:v>
      </x:c>
      <x:c r="B80" s="1132" t="str">
        <x:v>RFI-10 COMMERCIAL - REV34 WORKING BASIS: 8% company overhead markup + 12% contractor TRUE MARGIN. CA16 Management Reserve = 4.0% of Rev33 pre-OH/profit subtotal ($456,726.56) = $18,269.06 pre-margin. Purpose is aggregate residual tender-stage uncertainty after known/measurable scope, PCs, Weather and Risk Truth treatments. It is not a Risk Truth provision and does not close any RED. Rev34 Siteworks tender = $582,949.18 excl GST.</x:v>
      </x:c>
      <x:c r="C80" s="1132"/>
      <x:c r="D80" s="1132"/>
      <x:c r="E80" s="1132"/>
      <x:c r="F80" s="1132"/>
      <x:c r="G80" s="1132"/>
      <x:c r="H80" s="1132"/>
    </x:row>
    <x:row r="81" ht="27.75" customHeight="1">
      <x:c r="A81" s="1132" t="str">
        <x:v>RFI-11</x:v>
      </x:c>
      <x:c r="B81" s="1132" t="str">
        <x:v>Pavement AP40 - TENDER BASIS: retain the specific DWG311 section of 150mm AP40. Geotech CBR 5-6% and the generic DWG301 note suggest 100mm may be acceptable, but no reduction is taken without designer confirmation. Any accepted reduction is a post-tender credit / value opportunity, not a tender omission.</x:v>
      </x:c>
      <x:c r="C81" s="1132"/>
      <x:c r="D81" s="1132"/>
      <x:c r="E81" s="1132"/>
      <x:c r="F81" s="1132"/>
      <x:c r="G81" s="1132"/>
      <x:c r="H81" s="1132"/>
    </x:row>
    <x:row r="82" ht="27.75" customHeight="1">
      <x:c r="A82" s="1132" t="str">
        <x:v>RFI-12</x:v>
      </x:c>
      <x:c r="B82" s="1132" t="str">
        <x:v>OLFP: measured alignment control is 94.08lm with 0.42m2 channel section. Confirm whether its approx. 39.51m3 cut is already included in Yodha bulk quantities and confirm fence-opening/reinstatement ownership.</x:v>
      </x:c>
      <x:c r="C82" s="1132"/>
      <x:c r="D82" s="1132"/>
      <x:c r="E82" s="1132"/>
      <x:c r="F82" s="1132"/>
      <x:c r="G82" s="1132"/>
      <x:c r="H82" s="1132"/>
    </x:row>
    <x:row r="83" ht="27.75" customHeight="1">
      <x:c r="A83" s="1132" t="str">
        <x:v>RFI-13</x:v>
      </x:c>
      <x:c r="B83" s="1132" t="str">
        <x:v>Temporary fencing - TENDER QUALIFICATION: whole-site 2.0m temporary perimeter fencing / hoarding required by the main contract documents is assumed to be principal-contractor site establishment and is excluded from Siteworks PG01. Siteworks includes normal local barricading/exclusion controls around its own workfronts. Add whole-site fence hire/mobilisation only if Siteworks is later specifically instructed to own it.</x:v>
      </x:c>
      <x:c r="C83" s="1132"/>
      <x:c r="D83" s="1132"/>
      <x:c r="E83" s="1132"/>
      <x:c r="F83" s="1132"/>
      <x:c r="G83" s="1132"/>
      <x:c r="H83" s="1132"/>
    </x:row>
    <x:row r="84" ht="27.75" customHeight="1">
      <x:c r="A84" s="1132" t="str">
        <x:v>TPW MAP</x:v>
      </x:c>
      <x:c r="B84" s="1132" t="str">
        <x:v>TPW tender-return mapping is reconciled in Tender Build-Up. Rev34D now explicitly identifies CA16 Management Reserve $18,269.06 as the former Siteworks mapping difference. The internal TPW map first shows the mapped Siteworks lines before reserve, then adds CA16 separately and reconciles to the live Siteworks tender at $0.00 difference. The final client TPW return allocates the reserve through MB/026 and CW/013 because the TPW schedule has no separate Management Reserve line.</x:v>
      </x:c>
      <x:c r="C84" s="1132"/>
      <x:c r="D84" s="1132"/>
      <x:c r="E84" s="1132"/>
      <x:c r="F84" s="1132"/>
      <x:c r="G84" s="1132"/>
      <x:c r="H84" s="1132"/>
    </x:row>
    <x:row r="85" ht="50.849998474121094" customHeight="1">
      <x:c r="A85" s="1132" t="str">
        <x:v>ROSEBANK BENCHMARK</x:v>
      </x:c>
      <x:c r="B85" s="1132" t="str">
        <x:v>Dave's Waitomo Rosebank reference is retained as commercial intelligence only. Rosebank P&amp;G = $78,358 on a $1.914m project. Hobsonville itemised PG01 = $42,820; adding separately controlled TC01 $10k, RH01 $3k, CA09 $3k and CA10 $18,437.68 gives $77,257.68 of project-common/time-related costs before OH/profit. Like-for-like checks: Rosebank survey $4k matches Hobsonville $4k; H&amp;S $1.68k vs $1.5k; rubbish $800 vs $800; one Rosebank vehicle crossing $18,248 vs Hobsonville $18,250 PC. Rosebank rates are not imported as Hobsonville final rates because Rosebank mixes sell/PC/commercial pricing and materially different scope.</x:v>
      </x:c>
      <x:c r="C85" s="1132"/>
      <x:c r="D85" s="1132"/>
      <x:c r="E85" s="1132"/>
      <x:c r="F85" s="1132"/>
      <x:c r="G85" s="1132"/>
      <x:c r="H85" s="1132"/>
    </x:row>
    <x:row r="86" ht="8.850000381469727" customHeight="1">
      <x:c r="A86" s="1132" t="str">
        <x:v>NEW STAMPED RC VERIFICATION ACTIONS</x:v>
      </x:c>
      <x:c r="B86" s="1132" t="str">
        <x:v>RFI-14A PAVEMENT QUANTITY - CLOSED / REV17: Architectural Rev17 now states Concrete Carpark 568m2 (includes all paths), matching the stamped RC basis already adopted. PV01/PV04 split remains provisional pending marked-up remeasurement. | RFI-14B RAMP / ENTRY / STEPS OWNER - OPEN RED: Rev17 A1/A15 shows concrete stairs, ramps and landing with revised handrail/retaining geometry but does not state trade ownership. The earlier stamped RC 33m2 is no longer printed in Rev17 and is retained only as a reference; if Siteworks-owned, remeasure Rev17 A15 and price the current build-up. | RFI-15 EARTHWORKS - OPEN RED: Rev17 = 1,310m3 fill /113m3 cut /2,105m2 area versus Yodha RevB 1,033/110/923 import. Direct-only sensitivity +$23,314.55; live volumes unchanged pending coordination. | RFI-16 RETAINING DESIGN - OPEN RED: Rev17 expressly shows Keystone max 1.8m and stepped heights, aligning with DHC/Citi/Allied evidence. Civil DWG301 max 1.5m remains contradictory; no cost uplift added because current supplier quantities already reach 1.8m. | RFI-17 FOUNDATION INTERFACE - CLOSED 11-SEP: Karl confirms 15 PILE2; Coast formal quote includes P2 excavation while Karl clarifies footing excavation, bulk excavation and hardfill to 350mm below FFL are excluded. Siteworks EW06 removed; EW05/EW07 retained. No Coast overlap remains.</x:v>
      </x:c>
      <x:c r="C86" s="1132"/>
      <x:c r="D86" s="1132"/>
      <x:c r="E86" s="1132"/>
      <x:c r="F86" s="1132"/>
      <x:c r="G86" s="1132"/>
      <x:c r="H86" s="1132"/>
    </x:row>
    <x:row r="87" ht="25.350000381469727" customHeight="1">
      <x:c r="A87" s="1135" t="s">
        <x:v>5</x:v>
      </x:c>
      <x:c r="B87" s="1135"/>
      <x:c r="C87" s="1135"/>
      <x:c r="D87" s="1135"/>
      <x:c r="E87" s="1135"/>
      <x:c r="F87" s="1135"/>
      <x:c r="G87" s="1135"/>
      <x:c r="H87" s="1135"/>
    </x:row>
    <x:row r="88" ht="16.799999237060547" customHeight="1">
      <x:c r="A88" s="1131" t="s">
        <x:v>6</x:v>
      </x:c>
      <x:c r="B88" s="1132"/>
      <x:c r="C88" s="1132" t="str">
        <x:v>Likelihood</x:v>
      </x:c>
      <x:c r="D88" s="1132" t="s">
        <x:v>7</x:v>
      </x:c>
      <x:c r="E88" s="1132" t="s">
        <x:v>8</x:v>
      </x:c>
      <x:c r="F88" s="1132" t="s">
        <x:v>9</x:v>
      </x:c>
      <x:c r="G88" s="1132" t="s">
        <x:v>10</x:v>
      </x:c>
      <x:c r="H88" s="1132" t="s">
        <x:v>11</x:v>
      </x:c>
    </x:row>
    <x:row r="89" ht="25.350000381469727" customHeight="1">
      <x:c r="A89" s="1132" t="str">
        <x:f>'Risk Truth'!A25</x:f>
        <x:v>RT01</x:v>
      </x:c>
      <x:c r="B89" s="1132" t="str">
        <x:f>'Risk Truth'!B25</x:f>
        <x:v>Earthworks mass balance, topsoil and disposal classification</x:v>
      </x:c>
      <x:c r="C89" s="1132" t="str">
        <x:f>'Risk Truth'!D25</x:f>
        <x:v>High</x:v>
      </x:c>
      <x:c r="D89" s="1132" t="str">
        <x:f>'Risk Truth'!E25</x:f>
        <x:v>High</x:v>
      </x:c>
      <x:c r="E89" s="1132" t="str">
        <x:f>'Risk Truth'!F25</x:f>
        <x:v>Critical</x:v>
      </x:c>
      <x:c r="F89" s="1132" t="str">
        <x:v>Latest Rev17/Yodha quantity conflict is now material. Live Yodha baseline retained; direct sensitivity +$23,314.55.</x:v>
      </x:c>
      <x:c r="G89" s="1132" t="str">
        <x:v>Estimator</x:v>
      </x:c>
      <x:c r="H89" s="1132" t="str">
        <x:v>RED</x:v>
      </x:c>
    </x:row>
    <x:row r="90" ht="25.350000381469727" customHeight="1">
      <x:c r="A90" s="1132" t="str">
        <x:f>'Risk Truth'!A26</x:f>
        <x:v>RT02</x:v>
      </x:c>
      <x:c r="B90" s="1132" t="str">
        <x:f>'Risk Truth'!B26</x:f>
        <x:v>Keystone retaining geometry, no-fines quantity and drilling package</x:v>
      </x:c>
      <x:c r="C90" s="1132" t="str">
        <x:f>'Risk Truth'!D26</x:f>
        <x:v>High</x:v>
      </x:c>
      <x:c r="D90" s="1132" t="str">
        <x:f>'Risk Truth'!E26</x:f>
        <x:v>High</x:v>
      </x:c>
      <x:c r="E90" s="1132" t="str">
        <x:f>'Risk Truth'!F26</x:f>
        <x:v>Critical</x:v>
      </x:c>
      <x:c r="F90" s="1132" t="str">
        <x:v>Arch Rev17/DHC/Citi/Allied all support up-to-1.8m retaining quantities; Civil 1.5m note remains the design-coordination blocker.</x:v>
      </x:c>
      <x:c r="G90" s="1132" t="str">
        <x:v>Estimator</x:v>
      </x:c>
      <x:c r="H90" s="1132" t="str">
        <x:v>RED</x:v>
      </x:c>
    </x:row>
    <x:row r="91" ht="25.350000381469727" customHeight="1">
      <x:c r="A91" s="1132" t="str">
        <x:f>'Risk Truth'!A27</x:f>
        <x:v>RT03</x:v>
      </x:c>
      <x:c r="B91" s="1132" t="str">
        <x:f>'Risk Truth'!B27</x:f>
        <x:v>Foundation excavation F1-F7 lengths and PILE2 trade boundary</x:v>
      </x:c>
      <x:c r="C91" s="1132" t="str">
        <x:f>'Risk Truth'!D27</x:f>
        <x:v>High</x:v>
      </x:c>
      <x:c r="D91" s="1132" t="str">
        <x:f>'Risk Truth'!E27</x:f>
        <x:v>High</x:v>
      </x:c>
      <x:c r="E91" s="1132" t="str">
        <x:f>'Risk Truth'!F27</x:f>
        <x:v>Critical</x:v>
      </x:c>
      <x:c r="F91" s="1132" t="str">
        <x:v>Karl clarification closes Coast trade overlap. Siteworks keeps footing excavation; PILE2 by Coast. Final EW05/EW07 measured production remains AMBER.</x:v>
      </x:c>
      <x:c r="G91" s="1132" t="str">
        <x:v>Estimator</x:v>
      </x:c>
      <x:c r="H91" s="1132" t="str">
        <x:v>AMBER</x:v>
      </x:c>
    </x:row>
    <x:row r="92" ht="25.350000381469727" customHeight="1">
      <x:c r="A92" s="1132" t="str">
        <x:f>'Risk Truth'!A28</x:f>
        <x:v>RT04</x:v>
      </x:c>
      <x:c r="B92" s="1132" t="str">
        <x:f>'Risk Truth'!B28</x:f>
        <x:v>Dry service trench design and trade boundary</x:v>
      </x:c>
      <x:c r="C92" s="1132" t="str">
        <x:f>'Risk Truth'!D28</x:f>
        <x:v>High</x:v>
      </x:c>
      <x:c r="D92" s="1132" t="str">
        <x:f>'Risk Truth'!E28</x:f>
        <x:v>Medium</x:v>
      </x:c>
      <x:c r="E92" s="1132" t="str">
        <x:f>'Risk Truth'!F28</x:f>
        <x:v>High</x:v>
      </x:c>
      <x:c r="F92" s="1132" t="str">
        <x:f>'Risk Truth'!G28</x:f>
        <x:v>$15k ES01 PC integrated pending coordinated service design</x:v>
      </x:c>
      <x:c r="G92" s="1132" t="str">
        <x:f>'Risk Truth'!H28</x:f>
        <x:v>Estimator</x:v>
      </x:c>
      <x:c r="H92" s="1132" t="str">
        <x:f>'Risk Truth'!K28</x:f>
        <x:v>AMBER</x:v>
      </x:c>
    </x:row>
    <x:row r="93" ht="16.950000762939453" customHeight="1">
      <x:c r="A93" s="1132" t="str">
        <x:f>'Risk Truth'!A29</x:f>
        <x:v>RT05</x:v>
      </x:c>
      <x:c r="B93" s="1132" t="str">
        <x:f>'Risk Truth'!B29</x:f>
        <x:v>Allproof threshold product, lineal metres and downstream drainage interface</x:v>
      </x:c>
      <x:c r="C93" s="1132" t="str">
        <x:f>'Risk Truth'!D29</x:f>
        <x:v>High</x:v>
      </x:c>
      <x:c r="D93" s="1132" t="str">
        <x:f>'Risk Truth'!E29</x:f>
        <x:v>Medium</x:v>
      </x:c>
      <x:c r="E93" s="1132" t="str">
        <x:f>'Risk Truth'!F29</x:f>
        <x:v>High</x:v>
      </x:c>
      <x:c r="F93" s="1132" t="str">
        <x:f>'Risk Truth'!G29</x:f>
        <x:v>Supplier ordering quantity now defined as 44m + 44 end caps. $40k ES03 PC retained; GFN versus Wedge Wire selection and outlets/downstream connection remain AMBER.</x:v>
      </x:c>
      <x:c r="G93" s="1132" t="str">
        <x:f>'Risk Truth'!H29</x:f>
        <x:v>Estimator</x:v>
      </x:c>
      <x:c r="H93" s="1132" t="str">
        <x:f>'Risk Truth'!K29</x:f>
        <x:v>AMBER</x:v>
      </x:c>
    </x:row>
    <x:row r="94" ht="33.75" customHeight="1">
      <x:c r="A94" s="1132" t="str">
        <x:f>'Risk Truth'!A30</x:f>
        <x:v>RT06</x:v>
      </x:c>
      <x:c r="B94" s="1132" t="str">
        <x:f>'Risk Truth'!B30</x:f>
        <x:v>Pavement AP40 thickness conflict: DWG311 150mm vs generic CBR note 100mm</x:v>
      </x:c>
      <x:c r="C94" s="1132" t="str">
        <x:f>'Risk Truth'!D30</x:f>
        <x:v>Medium</x:v>
      </x:c>
      <x:c r="D94" s="1132" t="str">
        <x:f>'Risk Truth'!E30</x:f>
        <x:v>Low</x:v>
      </x:c>
      <x:c r="E94" s="1132" t="str">
        <x:f>'Risk Truth'!F30</x:f>
        <x:v>Medium</x:v>
      </x:c>
      <x:c r="F94" s="1132" t="str">
        <x:f>'Risk Truth'!G30</x:f>
        <x:v>150mm AP40 retained pending RFI; no extra risk cost</x:v>
      </x:c>
      <x:c r="G94" s="1132" t="str">
        <x:f>'Risk Truth'!H30</x:f>
        <x:v>Estimator</x:v>
      </x:c>
      <x:c r="H94" s="1132" t="str">
        <x:f>'Risk Truth'!K30</x:f>
        <x:v>AMBER</x:v>
      </x:c>
    </x:row>
    <x:row r="95" ht="33.75" customHeight="1">
      <x:c r="A95" s="1132" t="str">
        <x:f>'Risk Truth'!A31</x:f>
        <x:v>RT07</x:v>
      </x:c>
      <x:c r="B95" s="1132" t="str">
        <x:f>'Risk Truth'!B31</x:f>
        <x:v>Public VX203 vs private ROW/JOAL crossing footprint split and TTM scope</x:v>
      </x:c>
      <x:c r="C95" s="1132" t="str">
        <x:f>'Risk Truth'!D31</x:f>
        <x:v>High</x:v>
      </x:c>
      <x:c r="D95" s="1132" t="str">
        <x:f>'Risk Truth'!E31</x:f>
        <x:v>Medium</x:v>
      </x:c>
      <x:c r="E95" s="1132" t="str">
        <x:f>'Risk Truth'!F31</x:f>
        <x:v>High</x:v>
      </x:c>
      <x:c r="F95" s="1132" t="str">
        <x:f>'Risk Truth'!G31</x:f>
        <x:v>Traffic Safe Q-07 quoted core remains integrated. Allied drainage allocation is now separate: public/private piped drainage is subcontract scope and does not replace Siteworks ES02/ES03 surface/threshold interfaces.</x:v>
      </x:c>
      <x:c r="G95" s="1132" t="str">
        <x:f>'Risk Truth'!H31</x:f>
        <x:v>Estimator</x:v>
      </x:c>
      <x:c r="H95" s="1132" t="str">
        <x:f>'Risk Truth'!K31</x:f>
        <x:v>AMBER</x:v>
      </x:c>
    </x:row>
    <x:row r="96" ht="25.350000381469727" customHeight="1">
      <x:c r="A96" s="1132" t="str">
        <x:f>'Risk Truth'!A32</x:f>
        <x:v>RT08</x:v>
      </x:c>
      <x:c r="B96" s="1132" t="str">
        <x:f>'Risk Truth'!B32</x:f>
        <x:v>Site-specific erosion and sediment control - measured layout / remaining procurement and maintenance uncertainty</x:v>
      </x:c>
      <x:c r="C96" s="1132" t="str">
        <x:f>'Risk Truth'!D32</x:f>
        <x:v>Medium</x:v>
      </x:c>
      <x:c r="D96" s="1132" t="str">
        <x:f>'Risk Truth'!E32</x:f>
        <x:v>Medium</x:v>
      </x:c>
      <x:c r="E96" s="1132" t="str">
        <x:f>'Risk Truth'!F32</x:f>
        <x:v>Medium</x:v>
      </x:c>
      <x:c r="F96" s="1132" t="str">
        <x:f>'Risk Truth'!G32</x:f>
        <x:v>Stamped RC DWG231/DWG241 close the layout gap. ESC01 now carries 226.3lm measured main fence + 8.0lm return allowance, 49m2 stabilised entrance, normal physical maintenance and removal as direct resources.</x:v>
      </x:c>
      <x:c r="G96" s="1132" t="str">
        <x:f>'Risk Truth'!H32</x:f>
        <x:v>Estimator</x:v>
      </x:c>
      <x:c r="H96" s="1132" t="str">
        <x:f>'Risk Truth'!K32</x:f>
        <x:v>AMBER</x:v>
      </x:c>
    </x:row>
    <x:row r="97" ht="25.350000381469727" customHeight="1">
      <x:c r="A97" s="1132" t="str">
        <x:f>'Risk Truth'!A33</x:f>
        <x:v>RT09</x:v>
      </x:c>
      <x:c r="B97" s="1132" t="str">
        <x:f>'Risk Truth'!B33</x:f>
        <x:v>OLFP swale length, earthworks duplication and fence interface</x:v>
      </x:c>
      <x:c r="C97" s="1132" t="str">
        <x:f>'Risk Truth'!D33</x:f>
        <x:v>Medium</x:v>
      </x:c>
      <x:c r="D97" s="1132" t="str">
        <x:f>'Risk Truth'!E33</x:f>
        <x:v>Medium</x:v>
      </x:c>
      <x:c r="E97" s="1132" t="str">
        <x:f>'Risk Truth'!F33</x:f>
        <x:v>Medium</x:v>
      </x:c>
      <x:c r="F97" s="1132" t="str">
        <x:f>'Risk Truth'!G33</x:f>
        <x:v>Primary 94.08lm OLFP control remains AMBER after Board challenge. EW04 shaping PC + ES04 fence-interface PC stay integrated with duplication control pending source/extent confirmation.</x:v>
      </x:c>
      <x:c r="G97" s="1132" t="str">
        <x:f>'Risk Truth'!H33</x:f>
        <x:v>Estimator</x:v>
      </x:c>
      <x:c r="H97" s="1132" t="str">
        <x:f>'Risk Truth'!K33</x:f>
        <x:v>AMBER</x:v>
      </x:c>
    </x:row>
    <x:row r="98" ht="25.350000381469727" customHeight="1">
      <x:c r="A98" s="1132" t="str">
        <x:f>'Risk Truth'!A34</x:f>
        <x:v>RT10</x:v>
      </x:c>
      <x:c r="B98" s="1132" t="str">
        <x:f>'Risk Truth'!B34</x:f>
        <x:v>Construction plant clearance to existing overhead power lines</x:v>
      </x:c>
      <x:c r="C98" s="1132" t="str">
        <x:f>'Risk Truth'!D34</x:f>
        <x:v>Medium</x:v>
      </x:c>
      <x:c r="D98" s="1132" t="str">
        <x:f>'Risk Truth'!E34</x:f>
        <x:v>High</x:v>
      </x:c>
      <x:c r="E98" s="1132" t="str">
        <x:f>'Risk Truth'!F34</x:f>
        <x:v>High</x:v>
      </x:c>
      <x:c r="F98" s="1132" t="str">
        <x:f>'Risk Truth'!G34</x:f>
        <x:v>Normal spotter/exclusion-zone/site controls are included within itemised PG01; abnormal utility shutdown/relocation excluded pending instruction</x:v>
      </x:c>
      <x:c r="G98" s="1132" t="str">
        <x:f>'Risk Truth'!H34</x:f>
        <x:v>PM / Estimator</x:v>
      </x:c>
      <x:c r="H98" s="1132" t="str">
        <x:f>'Risk Truth'!K34</x:f>
        <x:v>AMBER</x:v>
      </x:c>
    </x:row>
    <x:row r="99" ht="8.850000381469727" customHeight="1">
      <x:c r="A99" s="1132" t="str">
        <x:f>'Risk Truth'!A35</x:f>
        <x:v>RT11</x:v>
      </x:c>
      <x:c r="B99" s="1132" t="str">
        <x:f>'Risk Truth'!B35</x:f>
        <x:v>Tender programme baseline / time-related cost reconciliation</x:v>
      </x:c>
      <x:c r="C99" s="1132" t="str">
        <x:f>'Risk Truth'!D35</x:f>
        <x:v>Medium</x:v>
      </x:c>
      <x:c r="D99" s="1132" t="str">
        <x:f>'Risk Truth'!E35</x:f>
        <x:v>High</x:v>
      </x:c>
      <x:c r="E99" s="1132" t="str">
        <x:f>'Risk Truth'!F35</x:f>
        <x:v>High</x:v>
      </x:c>
      <x:c r="F99" s="1132" t="str">
        <x:f>'Risk Truth'!G35</x:f>
        <x:v>Formal ERB adjudication establishes a 55WD dry tender baseline with explicit retained-zone release, service interface, pavement re-proof and cure controls. Rev29 weather is separately modelled; PV01 remains a 10WD programme hold pending Q-05.</x:v>
      </x:c>
      <x:c r="G99" s="1132" t="str">
        <x:f>'Risk Truth'!H35</x:f>
        <x:v>Estimator / PM</x:v>
      </x:c>
      <x:c r="H99" s="1132" t="str">
        <x:f>'Risk Truth'!K35</x:f>
        <x:v>AMBER</x:v>
      </x:c>
    </x:row>
    <x:row r="100" ht="18.149999618530273" customHeight="1">
      <x:c r="A100" s="1135" t="s">
        <x:v>12</x:v>
      </x:c>
      <x:c r="B100" s="1135"/>
      <x:c r="C100" s="1135"/>
      <x:c r="D100" s="1135"/>
      <x:c r="E100" s="1135"/>
      <x:c r="F100" s="1135"/>
      <x:c r="G100" s="1135"/>
      <x:c r="H100" s="1135"/>
    </x:row>
    <x:row r="101" s="103" customFormat="1" ht="22.950000762939453" customHeight="1">
      <x:c r="A101" s="1131" t="s">
        <x:v>13</x:v>
      </x:c>
      <x:c r="B101" s="1131"/>
      <x:c r="C101" s="1131"/>
      <x:c r="D101" s="1131" t="s">
        <x:v>10</x:v>
      </x:c>
      <x:c r="E101" s="1131" t="s">
        <x:v>14</x:v>
      </x:c>
      <x:c r="F101" s="1131" t="s">
        <x:v>15</x:v>
      </x:c>
      <x:c r="G101" s="1131" t="s">
        <x:v>16</x:v>
      </x:c>
      <x:c r="H101" s="1131"/>
    </x:row>
    <x:row r="102" ht="19.649999618530273" customHeight="1">
      <x:c r="A102" s="1132" t="str">
        <x:v>References</x:v>
      </x:c>
      <x:c r="B102" s="1132" t="str">
        <x:v>Current Intake, Master Prompt, Triple Verification and applicable backend tools confirmed</x:v>
      </x:c>
      <x:c r="C102" s="1132" t="str">
        <x:v>Complete</x:v>
      </x:c>
      <x:c r="D102" s="1132" t="str">
        <x:v>Estimator</x:v>
      </x:c>
      <x:c r="E102" s="1132" t="str">
        <x:v>Yes</x:v>
      </x:c>
      <x:c r="F102" s="1132" t="str">
        <x:v>Backend reference check</x:v>
      </x:c>
      <x:c r="G102" s="1119" t="str"/>
      <x:c r="H102" s="1132"/>
    </x:row>
    <x:row r="103" ht="19.649999618530273" customHeight="1">
      <x:c r="A103" s="1132" t="str">
        <x:v>Documents</x:v>
      </x:c>
      <x:c r="B103" s="1132" t="str">
        <x:v>Current drawing/specification/tender register complete</x:v>
      </x:c>
      <x:c r="C103" s="1132" t="str">
        <x:v>Complete</x:v>
      </x:c>
      <x:c r="D103" s="1132" t="str">
        <x:v>Estimator</x:v>
      </x:c>
      <x:c r="E103" s="1132" t="str">
        <x:v>Yes</x:v>
      </x:c>
      <x:c r="F103" s="1132" t="str">
        <x:v>Document register</x:v>
      </x:c>
      <x:c r="G103" s="1119" t="str"/>
      <x:c r="H103" s="1132"/>
    </x:row>
    <x:row r="104" ht="19.649999618530273" customHeight="1">
      <x:c r="A104" s="1132" t="str">
        <x:v>Scope</x:v>
      </x:c>
      <x:c r="B104" s="1132" t="str">
        <x:v>Work-package inclusions, exclusions and interfaces defined</x:v>
      </x:c>
      <x:c r="C104" s="1132" t="str">
        <x:v>Complete</x:v>
      </x:c>
      <x:c r="D104" s="1132" t="str">
        <x:v>Estimator</x:v>
      </x:c>
      <x:c r="E104" s="1132" t="str">
        <x:v>Yes</x:v>
      </x:c>
      <x:c r="F104" s="1132" t="str">
        <x:v>Scope / assumptions</x:v>
      </x:c>
      <x:c r="G104" s="1119" t="str"/>
      <x:c r="H104" s="1132"/>
    </x:row>
    <x:row r="105" ht="19.649999618530273" customHeight="1">
      <x:c r="A105" s="1132" t="str">
        <x:v>Takeoff</x:v>
      </x:c>
      <x:c r="B105" s="1132" t="str">
        <x:v>Major quantities measured and referenced to current drawings/specs</x:v>
      </x:c>
      <x:c r="C105" s="1132" t="str">
        <x:v>Complete - major quantities/PC gaps visible</x:v>
      </x:c>
      <x:c r="D105" s="1132" t="str">
        <x:v>QS</x:v>
      </x:c>
      <x:c r="E105" s="1132" t="str">
        <x:v>Yes</x:v>
      </x:c>
      <x:c r="F105" s="1132" t="str">
        <x:v>QS Takeoff</x:v>
      </x:c>
      <x:c r="G105" s="1119" t="str"/>
      <x:c r="H105" s="1132"/>
    </x:row>
    <x:row r="106" ht="19.649999618530273" customHeight="1">
      <x:c r="A106" s="1132" t="str">
        <x:v>Resource build-up</x:v>
      </x:c>
      <x:c r="B106" s="1132" t="str">
        <x:v>Every active QS code has linked labour/plant/material/subcontract resources</x:v>
      </x:c>
      <x:c r="C106" s="1132" t="str">
        <x:v>AMBER - PCs integrated; quote returns pending</x:v>
      </x:c>
      <x:c r="D106" s="1132" t="str">
        <x:v>Estimator</x:v>
      </x:c>
      <x:c r="E106" s="1132" t="str">
        <x:v>Yes</x:v>
      </x:c>
      <x:c r="F106" s="1132" t="str">
        <x:v>Resource Build-Up</x:v>
      </x:c>
      <x:c r="G106" s="1119" t="str"/>
      <x:c r="H106" s="1132"/>
    </x:row>
    <x:row r="107" ht="19.649999618530273" customHeight="1">
      <x:c r="A107" s="1132" t="str">
        <x:v>Rate verification</x:v>
      </x:c>
      <x:c r="B107" s="1132" t="str">
        <x:v>Important rates and allowances classified and three-way verification reviewed</x:v>
      </x:c>
      <x:c r="C107" s="1132" t="str">
        <x:v>AMBER - quote requests issued; verification incomplete</x:v>
      </x:c>
      <x:c r="D107" s="1132" t="str">
        <x:v>Estimator</x:v>
      </x:c>
      <x:c r="E107" s="1132" t="str">
        <x:v>Yes</x:v>
      </x:c>
      <x:c r="F107" s="1132" t="str">
        <x:v>Rate Verification</x:v>
      </x:c>
      <x:c r="G107" s="1119" t="str"/>
      <x:c r="H107" s="1132"/>
    </x:row>
    <x:row r="108" ht="19.649999618530273" customHeight="1">
      <x:c r="A108" s="1132" t="str">
        <x:v>Quotes / PCs</x:v>
      </x:c>
      <x:c r="B108" s="1132" t="str">
        <x:v>PC sums and quote-required packages reconciled to live project evidence</x:v>
      </x:c>
      <x:c r="C108" s="1132" t="str">
        <x:v>Complete - PCs and quote packages reconciled</x:v>
      </x:c>
      <x:c r="D108" s="1132" t="str">
        <x:v>Estimator</x:v>
      </x:c>
      <x:c r="E108" s="1132" t="str">
        <x:v>Yes</x:v>
      </x:c>
      <x:c r="F108" s="1132" t="str">
        <x:v>Rate Verification / quotes</x:v>
      </x:c>
      <x:c r="G108" s="1119" t="str"/>
      <x:c r="H108" s="1132"/>
    </x:row>
    <x:row r="109" ht="19.649999618530273" customHeight="1">
      <x:c r="A109" s="1132" t="str">
        <x:v>Assumptions</x:v>
      </x:c>
      <x:c r="B109" s="1132" t="str">
        <x:v>Assumptions and exclusions are explicit, current and defensible</x:v>
      </x:c>
      <x:c r="C109" s="1132" t="str">
        <x:v>AMBER - disclosed interfaces / RFIs remain</x:v>
      </x:c>
      <x:c r="D109" s="1132" t="str">
        <x:v>Estimator</x:v>
      </x:c>
      <x:c r="E109" s="1132" t="str">
        <x:v>Yes</x:v>
      </x:c>
      <x:c r="F109" s="1132" t="str">
        <x:v>Cover &amp; Instructions</x:v>
      </x:c>
      <x:c r="G109" s="1119" t="str"/>
      <x:c r="H109" s="1132"/>
    </x:row>
    <x:row r="110" ht="19.649999618530273" customHeight="1">
      <x:c r="A110" s="1132" t="str">
        <x:v>Interfaces</x:v>
      </x:c>
      <x:c r="B110" s="1132" t="str">
        <x:v>By-others / client / authority / consultant responsibilities confirmed</x:v>
      </x:c>
      <x:c r="C110" s="1132" t="str">
        <x:v>AMBER - responsibilities not fully confirmed</x:v>
      </x:c>
      <x:c r="D110" s="1132" t="str">
        <x:v>PM</x:v>
      </x:c>
      <x:c r="E110" s="1132" t="str">
        <x:v>Yes</x:v>
      </x:c>
      <x:c r="F110" s="1132" t="str">
        <x:v>Scope / RFIs</x:v>
      </x:c>
      <x:c r="G110" s="1119" t="str"/>
      <x:c r="H110" s="1132"/>
    </x:row>
    <x:row r="111" ht="19.649999618530273" customHeight="1">
      <x:c r="A111" s="1132" t="str">
        <x:v>Risk Truth</x:v>
      </x:c>
      <x:c r="B111" s="1132" t="str">
        <x:v>All material risks have baseline, residual exposure and cost-treatment location</x:v>
      </x:c>
      <x:c r="C111" s="1132" t="str">
        <x:v>Complete</x:v>
      </x:c>
      <x:c r="D111" s="1132" t="str">
        <x:v>Estimator</x:v>
      </x:c>
      <x:c r="E111" s="1132" t="str">
        <x:v>Yes</x:v>
      </x:c>
      <x:c r="F111" s="1132" t="str">
        <x:v>Risk Truth</x:v>
      </x:c>
      <x:c r="G111" s="1119" t="str"/>
      <x:c r="H111" s="1132"/>
    </x:row>
    <x:row r="112" ht="19.649999618530273" customHeight="1">
      <x:c r="A112" s="1132" t="str">
        <x:v>Risk duplication</x:v>
      </x:c>
      <x:c r="B112" s="1132" t="str">
        <x:v>No residual risk is costed twice; overlap groups and cost-treatment owners reviewed</x:v>
      </x:c>
      <x:c r="C112" s="1132" t="str">
        <x:v>AMBER - normal GIR baseline priced; abnormal latent-condition boundary explicitly qualified</x:v>
      </x:c>
      <x:c r="D112" s="1132" t="str">
        <x:v>Estimator</x:v>
      </x:c>
      <x:c r="E112" s="1132" t="str">
        <x:v>Yes</x:v>
      </x:c>
      <x:c r="F112" s="1132" t="str">
        <x:v>Risk Truth</x:v>
      </x:c>
      <x:c r="G112" s="1119" t="str">
        <x:v>Risk Truth RT15 / Gibb Ritchie AK26-051AB Rev0</x:v>
      </x:c>
      <x:c r="H112" s="1132"/>
    </x:row>
    <x:row r="113" ht="19.649999618530273" customHeight="1">
      <x:c r="A113" s="1132" t="str">
        <x:v>Weather</x:v>
      </x:c>
      <x:c r="B113" s="1132" t="str">
        <x:v>Weather Risk reviewed; approved tool run current or documented N/A basis accepted</x:v>
      </x:c>
      <x:c r="C113" s="1132" t="str">
        <x:v>Complete - assumptions/exclusions converted to explicit tender basis where evidence permits</x:v>
      </x:c>
      <x:c r="D113" s="1132" t="str">
        <x:v>Estimator</x:v>
      </x:c>
      <x:c r="E113" s="1132" t="str">
        <x:v>Yes</x:v>
      </x:c>
      <x:c r="F113" s="1132" t="str">
        <x:v>Weather Risk</x:v>
      </x:c>
      <x:c r="G113" s="1119" t="str"/>
      <x:c r="H113" s="1132"/>
    </x:row>
    <x:row r="114" ht="19.649999618530273" customHeight="1">
      <x:c r="A114" s="1132" t="str">
        <x:v>Ground / geotech</x:v>
      </x:c>
      <x:c r="B114" s="1132" t="str">
        <x:v>Ground and groundwater risks aligned to current geotechnical evidence</x:v>
      </x:c>
      <x:c r="C114" s="1132" t="str">
        <x:v>AMBER - remaining responsibilities are explicitly qualified and do not create silent scope</x:v>
      </x:c>
      <x:c r="D114" s="1132" t="str">
        <x:v>Estimator</x:v>
      </x:c>
      <x:c r="E114" s="1132" t="str">
        <x:v>Yes</x:v>
      </x:c>
      <x:c r="F114" s="1132" t="str">
        <x:v>Risk Truth / geotech</x:v>
      </x:c>
      <x:c r="G114" s="1119" t="str"/>
      <x:c r="H114" s="1132"/>
    </x:row>
    <x:row r="115" ht="19.649999618530273" customHeight="1">
      <x:c r="A115" s="1132" t="str">
        <x:v>Earthworks / haulage</x:v>
      </x:c>
      <x:c r="B115" s="1132" t="str">
        <x:v>Earthworks balance, bulking, haul, disposal and import assumptions reconciled where applicable</x:v>
      </x:c>
      <x:c r="C115" s="1132" t="str">
        <x:v>AMBER - Yodha mass balance defined; imported fill, cartage and topsoil closeout pending</x:v>
      </x:c>
      <x:c r="D115" s="1132" t="str">
        <x:v>QS</x:v>
      </x:c>
      <x:c r="E115" s="1132" t="str">
        <x:v>Yes</x:v>
      </x:c>
      <x:c r="F115" s="1132" t="str">
        <x:v>QS / Resource Build-Up</x:v>
      </x:c>
      <x:c r="G115" s="1119" t="str"/>
      <x:c r="H115" s="1132"/>
    </x:row>
    <x:row r="116" ht="19.649999618530273" customHeight="1">
      <x:c r="A116" s="1132" t="str">
        <x:v>Temporary works</x:v>
      </x:c>
      <x:c r="B116" s="1132" t="str">
        <x:v>Temporary works requirements and responsibility identified where applicable</x:v>
      </x:c>
      <x:c r="C116" s="1132" t="str">
        <x:v>AMBER - retaining piles, utility clearances and final wall method pending</x:v>
      </x:c>
      <x:c r="D116" s="1132" t="str">
        <x:v>PM / Estimator</x:v>
      </x:c>
      <x:c r="E116" s="1132" t="str">
        <x:v>Yes</x:v>
      </x:c>
      <x:c r="F116" s="1132" t="str">
        <x:v>QS / Risk Truth</x:v>
      </x:c>
      <x:c r="G116" s="1119" t="str"/>
      <x:c r="H116" s="1132"/>
    </x:row>
    <x:row r="117" ht="19.649999618530273" customHeight="1">
      <x:c r="A117" s="1132" t="str">
        <x:v>Programme</x:v>
      </x:c>
      <x:c r="B117" s="1132" t="str">
        <x:v>Working days, productive crew days, elapsed duration and work fronts reconciled</x:v>
      </x:c>
      <x:c r="C117" s="1132" t="str">
        <x:v>AMBER - $18k CA10 accepted for tender review with independent benchmark; rerun triggers recorded</x:v>
      </x:c>
      <x:c r="D117" s="1132" t="str">
        <x:v>Planner / PM</x:v>
      </x:c>
      <x:c r="E117" s="1132" t="str">
        <x:v>Yes</x:v>
      </x:c>
      <x:c r="F117" s="1132" t="str">
        <x:v>Programme Export</x:v>
      </x:c>
      <x:c r="G117" s="1119" t="str"/>
      <x:c r="H117" s="1132"/>
    </x:row>
    <x:row r="118" ht="19.649999618530273" customHeight="1">
      <x:c r="A118" s="1132" t="str">
        <x:v>Programme cost check</x:v>
      </x:c>
      <x:c r="B118" s="1132" t="str">
        <x:v>Programme Export resource/QS cost checks all read OK</x:v>
      </x:c>
      <x:c r="C118" s="1132" t="str">
        <x:v>Complete - Programme Export QS/resource cost checks read OK</x:v>
      </x:c>
      <x:c r="D118" s="1132" t="str">
        <x:v>Estimator</x:v>
      </x:c>
      <x:c r="E118" s="1132" t="str">
        <x:v>Yes</x:v>
      </x:c>
      <x:c r="F118" s="1132" t="str">
        <x:v>Programme Export</x:v>
      </x:c>
      <x:c r="G118" s="1119" t="str"/>
      <x:c r="H118" s="1132"/>
    </x:row>
    <x:row r="119" ht="19.649999618530273" customHeight="1">
      <x:c r="A119" s="1132" t="str">
        <x:v>Commercial</x:v>
      </x:c>
      <x:c r="B119" s="1132" t="str">
        <x:v>Overhead, profit, escalation, securities and commercial inputs independently reviewed</x:v>
      </x:c>
      <x:c r="C119" s="1132" t="str">
        <x:v>HOLD - Siteworks OH/profit and contract commercial settings pending Dave</x:v>
      </x:c>
      <x:c r="D119" s="1132" t="str">
        <x:v>Commercial</x:v>
      </x:c>
      <x:c r="E119" s="1132" t="str">
        <x:v>Yes</x:v>
      </x:c>
      <x:c r="F119" s="1132" t="str">
        <x:v>Commercial Inputs</x:v>
      </x:c>
      <x:c r="G119" s="1119" t="str"/>
      <x:c r="H119" s="1132"/>
    </x:row>
    <x:row r="120" ht="19.649999618530273" customHeight="1">
      <x:c r="A120" s="1132" t="str">
        <x:v>Cashflow</x:v>
      </x:c>
      <x:c r="B120" s="1132" t="str">
        <x:v>Stage profile, retention and deposit assumptions reviewed where required</x:v>
      </x:c>
      <x:c r="C120" s="1132" t="str">
        <x:v>NOT SET / N/A - revenue stage percentages await contract payment schedule</x:v>
      </x:c>
      <x:c r="D120" s="1132" t="str">
        <x:v>PM / Commercial</x:v>
      </x:c>
      <x:c r="E120" s="1132" t="str">
        <x:v>No</x:v>
      </x:c>
      <x:c r="F120" s="1132" t="str">
        <x:v>Stage Cashflow</x:v>
      </x:c>
      <x:c r="G120" s="1119" t="str"/>
      <x:c r="H120" s="1132"/>
    </x:row>
    <x:row r="121" ht="19.649999618530273" customHeight="1">
      <x:c r="A121" s="1132" t="str">
        <x:v>Summary</x:v>
      </x:c>
      <x:c r="B121" s="1132" t="str">
        <x:v>Resource -&gt; QS -&gt; Tender -&gt; Summary -&gt; Cashflow reconciliation checks pass</x:v>
      </x:c>
      <x:c r="C121" s="1132" t="str">
        <x:v>Complete for Rev29 working tender - linked cost chain reconciles; TPW stamped-RC 568m2 pavement basis integrated; Urban Quarry delivered AP/GAP evidence reconciled; 55WD dry programme retained; 8.829WD weather delay; CA10 $18,609.79; actual-start/material-change/Q-05 rerun triggers explicit.</x:v>
      </x:c>
      <x:c r="D121" s="1132" t="str">
        <x:v>Estimator</x:v>
      </x:c>
      <x:c r="E121" s="1132" t="str">
        <x:v>Yes</x:v>
      </x:c>
      <x:c r="F121" s="1132" t="str">
        <x:v>Summary</x:v>
      </x:c>
      <x:c r="G121" s="1119" t="str"/>
      <x:c r="H121" s="1132"/>
    </x:row>
    <x:row r="122" ht="19.649999618530273" customHeight="1">
      <x:c r="A122" s="1132" t="str">
        <x:v>Pricing schedule</x:v>
      </x:c>
      <x:c r="B122" s="1132" t="str">
        <x:v>Client/head-contractor pricing schedule mapped without double counting</x:v>
      </x:c>
      <x:c r="C122" s="1132" t="str">
        <x:v>Complete - TPW mapping reconciles after explicit CA16 Management Reserve disclosure; final difference $0.00</x:v>
      </x:c>
      <x:c r="D122" s="1132" t="str">
        <x:v>Commercial</x:v>
      </x:c>
      <x:c r="E122" s="1132" t="str">
        <x:v>Yes</x:v>
      </x:c>
      <x:c r="F122" s="1132" t="str">
        <x:v>Tender return</x:v>
      </x:c>
      <x:c r="G122" s="1119" t="str"/>
      <x:c r="H122" s="1132"/>
    </x:row>
    <x:row r="123" ht="19.649999618530273" customHeight="1">
      <x:c r="A123" s="1132" t="str">
        <x:v>Independent review / adjudication</x:v>
      </x:c>
      <x:c r="B123" s="1132" t="str">
        <x:v>Three clean-room whole-estimate reviews plus six specialist challenges complete; every active QS item has review coverage; material disagreements adjudicated on evidence rather than consensus.</x:v>
      </x:c>
      <x:c r="C123" s="1132" t="str">
        <x:v>HOLD - clean-room reviews and specialist challenges not yet performed</x:v>
      </x:c>
      <x:c r="D123" s="1132" t="str">
        <x:v>Chief Estimator / Director</x:v>
      </x:c>
      <x:c r="E123" s="1132" t="str">
        <x:v>Yes</x:v>
      </x:c>
      <x:c r="F123" s="1132" t="str">
        <x:v>Estimate Review Board</x:v>
      </x:c>
      <x:c r="G123" s="1119" t="str"/>
      <x:c r="H123" s="1132"/>
    </x:row>
    <x:row r="124" ht="19.649999618530273" customHeight="1">
      <x:c r="A124" s="1132" t="str">
        <x:v>Release</x:v>
      </x:c>
      <x:c r="B124" s="1132" t="str">
        <x:v>Risk Truth, Weather, Independent Estimate Review Board and formula/control release gates reviewed</x:v>
      </x:c>
      <x:c r="C124" s="1132" t="str">
        <x:v>HOLD - Siteworks OH/profit and final contract commercial settings still require Dave/Rick input</x:v>
      </x:c>
      <x:c r="D124" s="1132" t="str">
        <x:v>Estimator</x:v>
      </x:c>
      <x:c r="E124" s="1132" t="str">
        <x:v>Yes</x:v>
      </x:c>
      <x:c r="F124" s="1132" t="str">
        <x:v>Risk Truth / Weather Risk / Estimate Review Board / Summary</x:v>
      </x:c>
      <x:c r="G124" s="1119" t="str"/>
      <x:c r="H124" s="1132"/>
    </x:row>
    <x:row r="125" ht="19.649999618530273" customHeight="1">
      <x:c r="A125" s="1136" t="str">
        <x:v>Approval</x:v>
      </x:c>
      <x:c r="B125" s="1136" t="str">
        <x:v>Final tender/estimate approved by authorised reviewer</x:v>
      </x:c>
      <x:c r="C125" s="1136" t="str">
        <x:v>Not Started - Rick/Dave adjudication required</x:v>
      </x:c>
      <x:c r="D125" s="1136" t="str">
        <x:v>Director</x:v>
      </x:c>
      <x:c r="E125" s="1136" t="str">
        <x:v>Yes</x:v>
      </x:c>
      <x:c r="F125" s="1136" t="str">
        <x:v>Approval record</x:v>
      </x:c>
      <x:c r="G125" s="1132" t="str"/>
      <x:c r="H125" s="1132"/>
    </x:row>
    <x:row r="126" ht="15.300000190734863" customHeight="1">
      <x:c r="A126" s="1135" t="str">
        <x:v>Archive</x:v>
      </x:c>
      <x:c r="B126" s="1135" t="str">
        <x:v>Issued estimate, source evidence and previous release totals retained</x:v>
      </x:c>
      <x:c r="C126" s="1135" t="str">
        <x:v>Working evidence retained; final issue archive pending</x:v>
      </x:c>
      <x:c r="D126" s="1135" t="str">
        <x:v>Estimator</x:v>
      </x:c>
      <x:c r="E126" s="1135" t="str">
        <x:v>Yes</x:v>
      </x:c>
      <x:c r="F126" s="1135" t="str">
        <x:v>Document control</x:v>
      </x:c>
      <x:c r="G126" s="1135" t="str"/>
      <x:c r="H126" s="1135"/>
    </x:row>
    <x:row r="127" ht="15.300000190734863" customHeight="1">
      <x:c r="A127" s="1132" t="str">
        <x:v>Revision</x:v>
      </x:c>
      <x:c r="B127" s="1132" t="str">
        <x:v>Date</x:v>
      </x:c>
      <x:c r="C127" s="1132" t="str">
        <x:v>Description</x:v>
      </x:c>
      <x:c r="D127" s="1132" t="str">
        <x:v>Prepared by</x:v>
      </x:c>
      <x:c r="E127" s="1132" t="str">
        <x:v>Status</x:v>
      </x:c>
      <x:c r="F127" s="1132"/>
      <x:c r="G127" s="1132"/>
      <x:c r="H127" s="1132"/>
    </x:row>
    <x:row r="128" ht="94.05000305175781" customHeight="1">
      <x:c r="A128" s="1132" t="str">
        <x:v>Master Estimate Workbook Rev1</x:v>
      </x:c>
      <x:c r="B128" s="1132" t="str">
        <x:v>15-Aug-2026</x:v>
      </x:c>
      <x:c r="C128" s="1132" t="str">
        <x:v>Permanent master promotion: Risk Truth residual-risk engine integrated; CA01/CA02 converted to Risk Truth feeds; programme duration compatibility and full-row formula propagation controls incorporated.</x:v>
      </x:c>
      <x:c r="D128" s="1132" t="str">
        <x:v>Estimating system development</x:v>
      </x:c>
      <x:c r="E128" s="1132" t="str">
        <x:v>SUPERSEDED BY REV2 - RETAIN FOR AUDIT</x:v>
      </x:c>
      <x:c r="F128" s="1132"/>
      <x:c r="G128" s="1132"/>
      <x:c r="H128" s="1132"/>
    </x:row>
    <x:row r="129">
      <x:c r="A129" s="1132" t="str">
        <x:v>Master Estimate Workbook Rev2</x:v>
      </x:c>
      <x:c r="B129" s="1132" t="str">
        <x:v>15-Aug-2026</x:v>
      </x:c>
      <x:c r="C129" s="1132" t="str">
        <x:v>HOLD - remaining supplier returns, Siteworks OH/profit, formal independent clean-room Review Board and final authorised adjudication</x:v>
      </x:c>
      <x:c r="D129" s="1132" t="str">
        <x:v>Estimating system development</x:v>
      </x:c>
      <x:c r="E129" s="1132" t="str">
        <x:v>SUPERSEDED BY REV3 - RETAIN FOR AUDIT</x:v>
      </x:c>
      <x:c r="F129" s="1119"/>
      <x:c r="G129" s="1119"/>
      <x:c r="H129" s="1119"/>
    </x:row>
    <x:row r="130" ht="27.299999237060547" customHeight="1">
      <x:c r="A130" s="1137" t="str">
        <x:v>TRIPLE VERIFICATION &amp; RISK TRUTH - MANDATORY</x:v>
      </x:c>
      <x:c r="B130" s="1137"/>
      <x:c r="C130" s="1137"/>
      <x:c r="D130" s="1137"/>
      <x:c r="E130" s="1137"/>
      <x:c r="F130" s="1137"/>
      <x:c r="G130" s="1137"/>
      <x:c r="H130" s="1137"/>
    </x:row>
    <x:row r="131" ht="22.950000762939453" customHeight="1">
      <x:c r="A131" s="1138" t="str">
        <x:v>1</x:v>
      </x:c>
      <x:c r="B131" s="1139" t="str">
        <x:v>No rate, quantity, productivity, duration, allowance or risk provision is called verified without its required evidence and status.</x:v>
      </x:c>
      <x:c r="C131" s="1119"/>
      <x:c r="D131" s="1119"/>
      <x:c r="E131" s="1119"/>
      <x:c r="F131" s="1119"/>
      <x:c r="G131" s="1119"/>
      <x:c r="H131" s="1119"/>
    </x:row>
    <x:row r="132" ht="22.950000762939453" customHeight="1">
      <x:c r="A132" s="1138" t="str">
        <x:v>2</x:v>
      </x:c>
      <x:c r="B132" s="1139" t="str">
        <x:v>Quantifiable physical risk consequences return to Resource Build-Up / QS Takeoff; they are not hidden in CA01/CA02.</x:v>
      </x:c>
      <x:c r="C132" s="1119"/>
      <x:c r="D132" s="1119"/>
      <x:c r="E132" s="1119"/>
      <x:c r="F132" s="1119"/>
      <x:c r="G132" s="1119"/>
      <x:c r="H132" s="1119"/>
    </x:row>
    <x:row r="133" ht="22.950000762939453" customHeight="1">
      <x:c r="A133" s="1138" t="str">
        <x:v>3</x:v>
      </x:c>
      <x:c r="B133" s="1139" t="str">
        <x:v>CA01 and CA02 default to Risk Truth residual feeds. PC Sum or % may be selected only as an explicit, stated adjudication override; a generic project-value percentage is not an acceptable default.</x:v>
      </x:c>
      <x:c r="C133" s="1119"/>
      <x:c r="D133" s="1119"/>
      <x:c r="E133" s="1119"/>
      <x:c r="F133" s="1119"/>
      <x:c r="G133" s="1119"/>
      <x:c r="H133" s="1119"/>
    </x:row>
    <x:row r="134" ht="22.950000762939453" customHeight="1">
      <x:c r="A134" s="1138" t="str">
        <x:v>4</x:v>
      </x:c>
      <x:c r="B134" s="1139" t="str">
        <x:v>Weather remains in the Weather Risk specialist pathway. CA10 may use Weather Engine, an explicit PC Sum or %, and Include? may turn the allowance off; do not duplicate weather elsewhere.</x:v>
      </x:c>
      <x:c r="C134" s="1119"/>
      <x:c r="D134" s="1119"/>
      <x:c r="E134" s="1119"/>
      <x:c r="F134" s="1119"/>
      <x:c r="G134" s="1119"/>
      <x:c r="H134" s="1119"/>
    </x:row>
    <x:row r="135" ht="22.950000762939453" customHeight="1">
      <x:c r="A135" s="1138" t="str">
        <x:v>5</x:v>
      </x:c>
      <x:c r="B135" s="1139" t="str">
        <x:v>Any RED duplication, programme reconciliation or unresolved material Risk Truth item blocks final release until resolved, excluded or formally accepted under the governing standard.</x:v>
      </x:c>
      <x:c r="C135" s="1119"/>
      <x:c r="D135" s="1119"/>
      <x:c r="E135" s="1119"/>
      <x:c r="F135" s="1119"/>
      <x:c r="G135" s="1119"/>
      <x:c r="H135" s="1119"/>
    </x:row>
    <x:row r="136">
      <x:c r="A136" s="1119"/>
      <x:c r="B136" s="1119"/>
      <x:c r="C136" s="1119"/>
      <x:c r="D136" s="1119"/>
      <x:c r="E136" s="1119"/>
      <x:c r="F136" s="1119"/>
      <x:c r="G136" s="1119"/>
      <x:c r="H136" s="1119"/>
    </x:row>
    <x:row r="137">
      <x:c r="A137" s="1137" t="str">
        <x:v>VALIDATION RECORD</x:v>
      </x:c>
      <x:c r="B137" s="1137"/>
      <x:c r="C137" s="1137"/>
      <x:c r="D137" s="1137"/>
      <x:c r="E137" s="1137"/>
      <x:c r="F137" s="1119"/>
      <x:c r="G137" s="1119"/>
      <x:c r="H137" s="1119"/>
    </x:row>
    <x:row r="138">
      <x:c r="A138" s="1136" t="str">
        <x:v>Method</x:v>
      </x:c>
      <x:c r="B138" s="1136" t="str">
        <x:v>15-Aug-2026</x:v>
      </x:c>
      <x:c r="C138" s="1136" t="str">
        <x:v>Risk Truth methodology was developed, red-teamed and dynamically tested against a real linked estimate before permanent promotion.</x:v>
      </x:c>
      <x:c r="D138" s="1136" t="str">
        <x:v>Estimating system development</x:v>
      </x:c>
      <x:c r="E138" s="1136" t="str">
        <x:v>PASS</x:v>
      </x:c>
      <x:c r="F138" s="1119"/>
      <x:c r="G138" s="1119"/>
      <x:c r="H138" s="1119"/>
    </x:row>
    <x:row r="139">
      <x:c r="A139" s="1132" t="str">
        <x:v>Workbook QA</x:v>
      </x:c>
      <x:c r="B139" s="1132" t="str">
        <x:v>15-Aug-2026</x:v>
      </x:c>
      <x:c r="C139" s="1132" t="str">
        <x:v>Rate, quantity, risk, programme, commercial and duplicate-cost propagation tests passed before this master template was created.</x:v>
      </x:c>
      <x:c r="D139" s="1132" t="str">
        <x:v>Estimating system development</x:v>
      </x:c>
      <x:c r="E139" s="1132" t="str">
        <x:v>PASS</x:v>
      </x:c>
      <x:c r="F139" s="1119"/>
      <x:c r="G139" s="1119"/>
      <x:c r="H139" s="1119"/>
    </x:row>
    <x:row r="140" ht="56" customHeight="1">
      <x:c r="A140" s="1132" t="str">
        <x:v>Rev2 method-selector QA</x:v>
      </x:c>
      <x:c r="B140" s="1132" t="str">
        <x:v>15-Aug-2026</x:v>
      </x:c>
      <x:c r="C140" s="1132" t="str">
        <x:v>CA01 Risk Engine/PC/% and CA10 Weather Engine/PC/% were dynamically tested; Include? No returns $0 while engine outputs remain live.</x:v>
      </x:c>
      <x:c r="D140" s="1132" t="str">
        <x:v>Estimating system development</x:v>
      </x:c>
      <x:c r="E140" s="1132" t="str">
        <x:v>PASS</x:v>
      </x:c>
      <x:c r="F140" s="1119"/>
      <x:c r="G140" s="1119"/>
      <x:c r="H140" s="1119"/>
    </x:row>
    <x:row r="141">
      <x:c r="A141" s="1119" t="str">
        <x:v>Rev2 resource-library QA</x:v>
      </x:c>
      <x:c r="B141" s="1119" t="str">
        <x:v>15-Aug-2026</x:v>
      </x:c>
      <x:c r="C141" s="1119" t="str">
        <x:v>New crane/cartage/rigging/testing resources resolve through the existing Resource Build-Up lookup range; no prior-project-specific quantity or rate was promoted.</x:v>
      </x:c>
      <x:c r="D141" s="1119" t="str">
        <x:v>Estimating system development</x:v>
      </x:c>
      <x:c r="E141" s="1119" t="str">
        <x:v>PASS</x:v>
      </x:c>
      <x:c r="F141" s="1119"/>
      <x:c r="G141" s="1119"/>
      <x:c r="H141" s="1119"/>
    </x:row>
    <x:row r="142" ht="64" customHeight="1">
      <x:c r="A142" s="1132" t="str">
        <x:v>Master Estimate Workbook Rev3</x:v>
      </x:c>
      <x:c r="B142" s="1132" t="str">
        <x:v>17-Aug-2026</x:v>
      </x:c>
      <x:c r="C142" s="1132" t="str">
        <x:v>Standard rates retained; 14 historical contractor benchmark alternatives added.</x:v>
      </x:c>
      <x:c r="D142" s="1119" t="str">
        <x:v>Estimating system development</x:v>
      </x:c>
      <x:c r="E142" s="1119" t="str">
        <x:v>APPROVED MASTER TEMPLATE</x:v>
      </x:c>
      <x:c r="F142" s="1119"/>
      <x:c r="G142" s="1119"/>
      <x:c r="H142" s="1119"/>
    </x:row>
    <x:row r="143" ht="64" customHeight="1">
      <x:c r="A143" s="1132" t="str">
        <x:v>Rev3 historical-resource QA</x:v>
      </x:c>
      <x:c r="B143" s="1132" t="str">
        <x:v>17-Aug-2026</x:v>
      </x:c>
      <x:c r="C143" s="1132" t="str">
        <x:v>Historical benchmark codes and formula scan verified.</x:v>
      </x:c>
      <x:c r="D143" s="1119" t="str">
        <x:v>Estimating system development</x:v>
      </x:c>
      <x:c r="E143" s="1119" t="str">
        <x:v>PASS - COMMERCIAL INPUTS UNCHANGED</x:v>
      </x:c>
      <x:c r="F143" s="1119"/>
      <x:c r="G143" s="1119"/>
      <x:c r="H143" s="1119"/>
    </x:row>
    <x:row r="144" ht="24" customHeight="1">
      <x:c r="A144" s="1140" t="str">
        <x:v>REV4 INDEPENDENT ESTIMATE REVIEW BOARD - DEVELOPMENT CANDIDATE</x:v>
      </x:c>
      <x:c r="B144" s="1140"/>
      <x:c r="C144" s="1140"/>
      <x:c r="D144" s="1140"/>
      <x:c r="E144" s="1140"/>
      <x:c r="F144" s="1119"/>
      <x:c r="G144" s="1119"/>
      <x:c r="H144" s="1119"/>
    </x:row>
    <x:row r="145">
      <x:c r="A145" s="1131" t="str">
        <x:v>Master Estimate Workbook Rev4</x:v>
      </x:c>
      <x:c r="B145" s="1132" t="str">
        <x:v>03-Sep-2026</x:v>
      </x:c>
      <x:c r="C145" s="1132" t="str">
        <x:v>Development candidate: Independent Estimate Verification Board integrated. Three blind clean-room whole-estimate reviewers, six specialist challenge reviewers, QS-item coverage matrix, evidence-led adjudication register and release gate added without creating a second cost chain.</x:v>
      </x:c>
      <x:c r="D145" s="1132" t="str">
        <x:v>Estimating system development</x:v>
      </x:c>
      <x:c r="E145" s="1131" t="str">
        <x:v>DEVELOPMENT CANDIDATE - LIVE JOB VALIDATION REQUIRED</x:v>
      </x:c>
      <x:c r="F145" s="1119"/>
      <x:c r="G145" s="1119"/>
      <x:c r="H145" s="1119"/>
    </x:row>
    <x:row r="146">
      <x:c r="A146" s="1131" t="str">
        <x:v>Hobsonville Working Rev3</x:v>
      </x:c>
      <x:c r="B146" s="1132" t="str">
        <x:v>07-Sep-2026</x:v>
      </x:c>
      <x:c r="C146" s="1132" t="str">
        <x:v>Current-information population pass: document register, QS, resource PCs, quote references, rate verification evidence, programme notes, cashflow timing notes and supplier requests integrated. Cost chain unchanged; supplier returns, Weather Tool, Siteworks OH/profit and Independent Review Board remain outstanding.</x:v>
      </x:c>
      <x:c r="D146" s="1132" t="str">
        <x:v>Rick Jones / 3Bears Projects</x:v>
      </x:c>
      <x:c r="E146" s="1131" t="str">
        <x:v>CURRENT INFORMATION POPULATED - HOLD</x:v>
      </x:c>
      <x:c r="F146" s="1119"/>
      <x:c r="G146" s="1119"/>
      <x:c r="H146" s="1119"/>
    </x:row>
    <x:row r="147">
      <x:c r="A147" s="1119" t="str">
        <x:v>Hobsonville Working Rev10</x:v>
      </x:c>
      <x:c r="B147" s="1119" t="str">
        <x:v>07-Sep-2026</x:v>
      </x:c>
      <x:c r="C147" s="1119" t="str">
        <x:v>Allproof quantity clarification integrated: 22 doors x 2m = 44m plus 44 end caps; GFN/WW material and install sensitivities recorded; 7-8 week lead time confirmed. In-house boring mobilisation basis clarified. CAR RFI narrowed and temporary-fencing interface added. Direct tender cost unchanged pending product selection and other quote returns.</x:v>
      </x:c>
      <x:c r="D147" s="1119" t="str">
        <x:v>Rick Jones / 3Bears Projects</x:v>
      </x:c>
      <x:c r="E147" s="1119" t="str">
        <x:v>CURRENT INFORMATION UPDATED - HOLD</x:v>
      </x:c>
      <x:c r="F147" s="1119"/>
      <x:c r="G147" s="1119"/>
      <x:c r="H147" s="1119"/>
    </x:row>
    <x:row r="148">
      <x:c r="A148" s="1119" t="str">
        <x:v>Hobsonville Working Rev11</x:v>
      </x:c>
      <x:c r="B148" s="1119" t="str">
        <x:v>07-Sep-2026</x:v>
      </x:c>
      <x:c r="C148" s="1119" t="str">
        <x:v>Weather activity-methodology run recorded against 01-Oct-2026 / 40WD scenario: $12,696.21 direct rain-wet productivity, 8.82 critical-path WD, $27,030.36 modelled rain-wet allowance using current AMBER PG01 daily proxy; wind $1,861.24 sensitivity excluded. CA10 $18k PC deliberately retained pending P&amp;G decomposition. No tender total change.</x:v>
      </x:c>
      <x:c r="D148" s="1119" t="str">
        <x:v>Rick Jones / 3Bears Projects</x:v>
      </x:c>
      <x:c r="E148" s="1119" t="str">
        <x:v>CURRENT INFORMATION UPDATED - HOLD</x:v>
      </x:c>
      <x:c r="F148" s="1119"/>
      <x:c r="G148" s="1119"/>
      <x:c r="H148" s="1119"/>
    </x:row>
    <x:row r="149">
      <x:c r="A149" s="1119" t="str">
        <x:v>Hobsonville Working Rev12</x:v>
      </x:c>
      <x:c r="B149" s="1119" t="str">
        <x:v>07-Sep-2026</x:v>
      </x:c>
      <x:c r="C149" s="1119" t="str">
        <x:v>TPW tender return mapping added and reconciled: MB/001 foundation excavation separated from civil; CW/001-CW/013 working allocation linked to QS/commercial inputs. General drainage remains by others. Mapping control must remain zero. No tender total change.</x:v>
      </x:c>
      <x:c r="D149" s="1119" t="str">
        <x:v>Rick Jones / 3Bears Projects</x:v>
      </x:c>
      <x:c r="E149" s="1119" t="str">
        <x:v>CURRENT INFORMATION UPDATED - HOLD</x:v>
      </x:c>
      <x:c r="F149" s="1119"/>
      <x:c r="G149" s="1119"/>
      <x:c r="H149" s="1119"/>
    </x:row>
    <x:row r="150">
      <x:c r="A150" s="1119" t="str">
        <x:v>Hobsonville Working Rev13</x:v>
      </x:c>
      <x:c r="B150" s="1119" t="str">
        <x:v>07-Sep-2026</x:v>
      </x:c>
      <x:c r="C150" s="1119" t="str">
        <x:v>Reconciliation repair after Rev12: restored Project/Scope/Issue control fields, restored RFI-01 retaining / RFI-06 earthworks / RFI-08 services, removed duplicate/stale Allproof/vehicle RFIs, restored RT09 OLFP risk, separated RT12 Weather from WX01, linked Cover risk responses to Risk Truth, updated Summary to 44m + 44 caps and 7-8 week lead, marked TPW mapping complete, and clarified Weather Engine audit versus selected $18k CA10 PC. Tender value unchanged.</x:v>
      </x:c>
      <x:c r="D150" s="1119" t="str">
        <x:v>Rick Jones / 3Bears Projects</x:v>
      </x:c>
      <x:c r="E150" s="1119" t="str">
        <x:v>RECONCILED CONTROL UPDATE - HOLD</x:v>
      </x:c>
      <x:c r="F150" s="1119"/>
      <x:c r="G150" s="1119"/>
      <x:c r="H150" s="1119"/>
    </x:row>
    <x:row r="151">
      <x:c r="A151" s="1119" t="str">
        <x:v>Hobsonville Working Rev14</x:v>
      </x:c>
      <x:c r="B151" s="1119" t="str">
        <x:v>07-Sep-2026</x:v>
      </x:c>
      <x:c r="C151" s="1119" t="str">
        <x:v>Cover headline total repaired: changed from base direct Tender Build-Up B20 to live tender excl GST Tender Build-Up B47. Base direct remains visible as subordinate linked audit text. No cost-chain or tender-value change.</x:v>
      </x:c>
      <x:c r="D151" s="1119" t="str">
        <x:v>Rick Jones / 3Bears Projects</x:v>
      </x:c>
      <x:c r="E151" s="1119" t="str">
        <x:v>PRESENTATION RECONCILED - HOLD</x:v>
      </x:c>
      <x:c r="F151" s="1119"/>
      <x:c r="G151" s="1119"/>
      <x:c r="H151" s="1119"/>
    </x:row>
    <x:row r="152">
      <x:c r="A152" s="1119" t="str">
        <x:v>Hobsonville Working Rev15</x:v>
      </x:c>
      <x:c r="B152" s="1119" t="str">
        <x:v>08-Sep-2026</x:v>
      </x:c>
      <x:c r="C152" s="1119" t="str">
        <x:v>Non-quote completion revision: tender scope/interfaces qualified, weather CA10 supported by independent time-related P&amp;G benchmark, whole-site temp fencing qualified by principal, client return/programme basis retained, internal context-exposed red-team findings recorded without misrepresenting them as independent Review Board completion. Tender total unchanged.</x:v>
      </x:c>
      <x:c r="D152" s="1119" t="str">
        <x:v>Rick Jones / 3Bears Projects</x:v>
      </x:c>
      <x:c r="E152" s="1119" t="str">
        <x:v>NON-QUOTE COMPLETE - HOLD FOR QUOTES / OH-PROFIT / INDEPENDENT BOARD</x:v>
      </x:c>
      <x:c r="F152" s="1119"/>
      <x:c r="G152" s="1119"/>
      <x:c r="H152" s="1119"/>
    </x:row>
    <x:row r="153">
      <x:c r="A153" s="1119" t="str">
        <x:v>Hobsonville Working Rev16</x:v>
      </x:c>
      <x:c r="B153" s="1119" t="str">
        <x:v>08-Sep-2026</x:v>
      </x:c>
      <x:c r="C153" s="1119" t="str">
        <x:v>Replaced $65k PG01 PC with itemised programme-linked preliminaries; Weather CA10 switched to live engine after P&amp;G decomposition; Rosebank benchmark review then exposed and closed a $2,838 PV01 basecourse placement/compaction omission. OH/profit remains client input; supplier quote PCs remain outstanding.</x:v>
      </x:c>
      <x:c r="D153" s="1119" t="str">
        <x:v>Rick Jones / 3Bears Projects</x:v>
      </x:c>
      <x:c r="E153" s="1119" t="str">
        <x:v>ITEMISED PRELIMS COMPLETE - HOLD FOR QUOTES / CLIENT OH-PROFIT / BOARD</x:v>
      </x:c>
      <x:c r="F153" s="1119"/>
      <x:c r="G153" s="1119"/>
      <x:c r="H153" s="1119"/>
    </x:row>
    <x:row r="154">
      <x:c r="A154" s="1119" t="str">
        <x:v>Hobsonville Working Rev17</x:v>
      </x:c>
      <x:c r="B154" s="1119" t="str">
        <x:v>08-Sep-2026</x:v>
      </x:c>
      <x:c r="C154" s="1119" t="str">
        <x:v>Checked 3Bears Construction Intelligence Master Reference Rev2, live register and current CARTERS price book against the controlling estimate. Added current independent checks for PV01 concrete, 665 mesh and PILE1 small-load concrete; added waste-levy and Firth fuel-surcharge quote-normalisation controls. No applied rate or tender total changed because project delivery/minimum/scope alignment is incomplete.</x:v>
      </x:c>
      <x:c r="D154" s="1119" t="str">
        <x:v>Rick Jones / 3Bears Projects</x:v>
      </x:c>
      <x:c r="E154" s="1119" t="str">
        <x:v>KNOWLEDGE BASE CHECK COMPLETE - TOTAL UNCHANGED</x:v>
      </x:c>
      <x:c r="F154" s="1119"/>
      <x:c r="G154" s="1119"/>
      <x:c r="H154" s="1119"/>
    </x:row>
    <x:row r="155">
      <x:c r="A155" s="1119" t="str">
        <x:v>Hobsonville Working Rev18</x:v>
      </x:c>
      <x:c r="B155" s="1119" t="str">
        <x:v>08-Sep-2026</x:v>
      </x:c>
      <x:c r="C155" s="1119" t="str">
        <x:v>Working issue-pack alignment: fixed stale Weather Risk presentation notes, cleaned Programme Export predecessor IDs/embedded zero-day records, added MS Project Import and Programme Notes sheets, and prepared matching client report/import file. No tender cost change from Rev17.</x:v>
      </x:c>
      <x:c r="D155" s="1119" t="str">
        <x:v>Rick Jones / 3Bears Projects</x:v>
      </x:c>
      <x:c r="E155" s="1119" t="str">
        <x:v>WORKING ISSUE PACK - HOLD FOR QUOTES / INDEPENDENT REVIEW</x:v>
      </x:c>
      <x:c r="F155" s="1119"/>
      <x:c r="G155" s="1119"/>
      <x:c r="H155" s="1119"/>
    </x:row>
    <x:row r="156">
      <x:c r="A156" s="1119" t="str">
        <x:v>Hobsonville Working Rev19</x:v>
      </x:c>
      <x:c r="B156" s="1119" t="str">
        <x:v>08-Sep-2026</x:v>
      </x:c>
      <x:c r="C156" s="1119" t="str">
        <x:v>Client-safe sanitisation: anonymised 14 historical contractor resource alternatives, removed prior contractor/project source labels and personal reviewer references, and generalised drainage-by-others wording. Live Allied Concrete supplier/quote references retained because they are unrelated current market evidence. No rate, quantity, programme or tender-total change.</x:v>
      </x:c>
      <x:c r="D156" s="1119" t="str">
        <x:v>Rick Jones / 3Bears Projects</x:v>
      </x:c>
      <x:c r="E156" s="1119" t="str">
        <x:v>CLIENT-SAFE / WORKING HOLD</x:v>
      </x:c>
      <x:c r="F156" s="1119"/>
      <x:c r="G156" s="1119"/>
      <x:c r="H156" s="1119"/>
    </x:row>
    <x:row r="157">
      <x:c r="A157" s="1119" t="str">
        <x:v>Hobsonville Working Rev20</x:v>
      </x:c>
      <x:c r="B157" s="1119" t="str">
        <x:v>08-Sep-2026</x:v>
      </x:c>
      <x:c r="C157" s="1119" t="str">
        <x:v>Formal Independent Estimate Verification Board adjudication: ERB-01 to ERB-09 clean-room reviews committed and compared to frozen Rev19. Accepted 55WD dry programme, revised programme-linked supervision/facilities, added zero-cost programme controls, rebuilt MS Project handoff and exposed mandatory Weather Tool rerun. Major quantities retained where corroborated; crossing, pavement split, retaining height, OLFP, topsoil and speed-control items remain explicit RFIs/PCs. No OH/profit added.</x:v>
      </x:c>
      <x:c r="D157" s="1119" t="str">
        <x:v>Rick Jones / 3Bears Projects</x:v>
      </x:c>
      <x:c r="E157" s="1119" t="str">
        <x:v>BOARD ADJUDICATED WORKING - HOLD FOR MATERIAL QUOTES / RFIs / WEATHER RERUN</x:v>
      </x:c>
      <x:c r="F157" s="1119"/>
      <x:c r="G157" s="1119"/>
      <x:c r="H157" s="1119"/>
    </x:row>
    <x:row r="158">
      <x:c r="A158" s="1119" t="str">
        <x:v>Hobsonville Working Rev21</x:v>
      </x:c>
      <x:c r="B158" s="1119" t="str">
        <x:v>08-Sep-2026</x:v>
      </x:c>
      <x:c r="C158" s="1119" t="str">
        <x:v>Weather and Board scope closeout: formula-equivalent approved Rev2 run for the 55WD programme gives CA10 $17,883.54 / 8.829WD delay; unsupported PV06 $4,000 speed-control PC removed after confirming the located Speed Bump is an existing survey feature. Final reconciliation also identifies PV01 concrete productivity/programme as a RED Q-05 hold rather than silently forcing price or duration. Remaining material RFIs/PC quotes stay visible.</x:v>
      </x:c>
      <x:c r="D158" s="1119" t="str">
        <x:v>Rick Jones / 3Bears Projects</x:v>
      </x:c>
      <x:c r="E158" s="1119" t="str">
        <x:v>BOARD WORKING - HOLD FOR RETAINING HEIGHT / MATERIAL QUOTES / INTERFACE RFIs</x:v>
      </x:c>
      <x:c r="F158" s="1119"/>
      <x:c r="G158" s="1119"/>
      <x:c r="H158" s="1119"/>
    </x:row>
    <x:row r="159">
      <x:c r="A159" s="1119" t="str">
        <x:v>Hobsonville Working Rev22</x:v>
      </x:c>
      <x:c r="B159" s="1119" t="str">
        <x:v>08-Sep-2026</x:v>
      </x:c>
      <x:c r="C159" s="1119" t="str">
        <x:v>QS housekeeping: retained PG01 as the single controlling QS total, added eight formula-linked display lines showing supervisor, toilet, lockup, survey/services, CAR/TMP, H&amp;S/local barriers, minor waste and mobilisation with live quantities/rates/amounts from Resource Build-Up; collapsed unused spacer rows without deleting or shifting linked QS rows. No cost, programme, weather or commercial change.</x:v>
      </x:c>
      <x:c r="D159" s="1119" t="str">
        <x:v>Rick Jones / 3Bears Projects</x:v>
      </x:c>
      <x:c r="E159" s="1119" t="str">
        <x:v>QS ITEMISED / HOUSEKEEPING - WORKING HOLD STATUS UNCHANGED</x:v>
      </x:c>
      <x:c r="F159" s="1119"/>
      <x:c r="G159" s="1119"/>
      <x:c r="H159" s="1119"/>
    </x:row>
    <x:row r="160">
      <x:c r="A160" s="1119" t="str">
        <x:v>Hobsonville Working Rev23</x:v>
      </x:c>
      <x:c r="B160" s="1119" t="str">
        <x:v>09-Sep-2026</x:v>
      </x:c>
      <x:c r="C160" s="1119" t="str">
        <x:v>QS physical reshuffle plus live Q-08 quote: moved all post-P&amp;G QS items into contiguous rows 12-40, moved total to row 41, cleared duplicate old rows, retargeted Tender/Programme/Risk/Summary/Review Board references, and replaced TC01 $10,000 PC with Gibb Ritchie $4,600 quoted baseline. Full cost-chain/formula reconciliation completed.</x:v>
      </x:c>
      <x:c r="D160" s="1119" t="str">
        <x:v>Rick Jones / 3Bears Projects</x:v>
      </x:c>
      <x:c r="E160" s="1119" t="str">
        <x:v>WORKING HOLD - Q-08 QUOTED / OTHER MATERIAL RFIs &amp; QUOTES OPEN</x:v>
      </x:c>
      <x:c r="F160" s="1119"/>
      <x:c r="G160" s="1119"/>
      <x:c r="H160" s="1119"/>
    </x:row>
    <x:row r="161">
      <x:c r="A161" s="1119" t="str">
        <x:v>Hobsonville Working Rev24</x:v>
      </x:c>
      <x:c r="B161" s="1119" t="str">
        <x:v>09-Sep-2026</x:v>
      </x:c>
      <x:c r="C161" s="1119" t="str">
        <x:v>RFI-05 / ESC closeout: stamped RC DWG231/DWG241 received; main fence 226.3lm measured +8.0lm return allowance, 49m2 entrance; $12k ESC PC replaced with direct resources; current material evidence and internal markup integrated; Weather rerun for ESC exposed labour/plant. Other RC contradictions remain separate RFIs.</x:v>
      </x:c>
      <x:c r="D161" s="1119" t="str">
        <x:v>Rick Jones / 3Bears Projects</x:v>
      </x:c>
      <x:c r="E161" s="1119" t="str">
        <x:v>WORKING HOLD - ESC RFI CLOSED / OTHER MATERIAL RFIs &amp; QUOTES OPEN</x:v>
      </x:c>
      <x:c r="F161" s="1119"/>
      <x:c r="G161" s="1119"/>
      <x:c r="H161" s="1119"/>
    </x:row>
    <x:row r="162">
      <x:c r="A162" s="1119" t="str">
        <x:v>Hobsonville Working Rev25</x:v>
      </x:c>
      <x:c r="B162" s="1119" t="str">
        <x:v>10-Sep-2026</x:v>
      </x:c>
      <x:c r="C162" s="1119" t="str">
        <x:v>Live quote/scope reconciliation: Traffic Safe Q-07 quoted core integrated; Citi Keystone Q1020 captured without forcing a lower-height retaining basis; Citi aggregate/fill clarification answered; Coast Concrete foundation quote and Allied drainage reference recorded; Jason 21WD drainage interface added to programme reference only.</x:v>
      </x:c>
      <x:c r="D162" s="1119" t="str">
        <x:v>Rick Jones / 3Bears Projects</x:v>
      </x:c>
      <x:c r="E162" s="1119" t="str">
        <x:v>WORKING HOLD - RETAINING HEIGHT / PV01 CONCRETE PRODUCTIVITY / REMAINING SUPPLIER RETURNS</x:v>
      </x:c>
      <x:c r="F162" s="1119"/>
      <x:c r="G162" s="1119"/>
      <x:c r="H162" s="1119"/>
    </x:row>
    <x:row r="163">
      <x:c r="A163" s="1119" t="str">
        <x:v>Hobsonville Working Rev26</x:v>
      </x:c>
      <x:c r="B163" s="1119" t="str">
        <x:v>10-Sep-2026</x:v>
      </x:c>
      <x:c r="C163" s="1119" t="str">
        <x:v>Consolidated package review added: Siteworks cost chain unchanged; Coast and BOTH Allied drainage quote bases captured; TPW allocation/overlap holds formalised; Materials &amp; Component Takeoff added; Jason and Karl clarification requests sent from 3Bears.</x:v>
      </x:c>
      <x:c r="D163" s="1119" t="str">
        <x:v>Rick Jones / 3Bears Projects</x:v>
      </x:c>
      <x:c r="E163" s="1119" t="str">
        <x:v>WORKING HOLD - PACKAGE ALLOCATION / RETAINING HEIGHT / PV01 PRODUCTIVITY / COMMERCIAL INPUTS</x:v>
      </x:c>
      <x:c r="F163" s="1119"/>
      <x:c r="G163" s="1119"/>
      <x:c r="H163" s="1119"/>
    </x:row>
    <x:row r="164">
      <x:c r="A164" s="1119" t="str">
        <x:v>Hobsonville Working Rev27</x:v>
      </x:c>
      <x:c r="B164" s="1119" t="str">
        <x:v>10-Sep-2026</x:v>
      </x:c>
      <x:c r="C164" s="1119" t="str">
        <x:v>Jason clarification integrated: 10/8/3 private labour split, public quote $6.5k extras confirmed additional, 108m Novacoil + 2 cesspits confirmed retaining drainage; Siteworks RW05 $12k duplicate removed; Allied TPW allocation reconciled; programme reference updated. Weather unchanged.</x:v>
      </x:c>
      <x:c r="D164" s="1119" t="str">
        <x:v>Rick Jones / 3Bears Projects</x:v>
      </x:c>
      <x:c r="E164" s="1119" t="str">
        <x:v>WORKING HOLD - RETAINING HEIGHT / PV01 PRODUCTIVITY / COAST ALLOCATION / REMAINING QUOTES</x:v>
      </x:c>
      <x:c r="F164" s="1119"/>
      <x:c r="G164" s="1119"/>
      <x:c r="H164" s="1119"/>
    </x:row>
    <x:row r="165" ht="33" customHeight="1">
      <x:c r="A165" s="1132" t="str">
        <x:v>Hobsonville Working Rev28</x:v>
      </x:c>
      <x:c r="B165" s="1132" t="str">
        <x:v>10-Sep-2026</x:v>
      </x:c>
      <x:c r="C165" s="1119" t="str">
        <x:v>Later stamped RC pavement/external-concrete revision conflict formalised as RED. 498m2 BC Rev16 versus 568m2 stamped RC, with separate 33m2 ramp/entry/steps OWNER TBC. Source register, Materials coverage, Risk Truth and Review Board updated. No direct cost/programme/Weather change pending TPW response.</x:v>
      </x:c>
      <x:c r="D165" s="1119" t="str">
        <x:v>Rick Jones / 3Bears Projects</x:v>
      </x:c>
      <x:c r="E165" s="1119" t="str">
        <x:v>WORKING HOLD - PAVEMENT RC BASIS / RETAINING HEIGHT / PV01 PRODUCTIVITY / COAST ALLOCATION / REMAINING QUOTES</x:v>
      </x:c>
      <x:c r="F165" s="1119"/>
      <x:c r="G165" s="1119"/>
      <x:c r="H165" s="1119"/>
    </x:row>
    <x:row r="166" ht="33" customHeight="1">
      <x:c r="A166" s="1132" t="str">
        <x:v>Hobsonville Working Rev29</x:v>
      </x:c>
      <x:c r="B166" s="1132" t="str">
        <x:v>11-Sep-2026</x:v>
      </x:c>
      <x:c r="C166" s="1119" t="str">
        <x:v>TPW confirms stamped RC pavement basis. Integrated 568m2 carpark/footpath total via provisional split PV01 478.35m2 + PV04 89.65m2; Urban Quarry delivered GAP20/GAP40 evidence reconciled; Weather rerun for increased PV01 exposure; 33m2 ramp/entry/steps remains OWNER TBC. Added non-additive 1.5m/1.8m retaining sensitivity.</x:v>
      </x:c>
      <x:c r="D166" s="1119" t="str">
        <x:v>Rick Jones / 3Bears Projects</x:v>
      </x:c>
      <x:c r="E166" s="1119" t="str">
        <x:v>WORKING HOLD - 33M2 OWNER / RETAINING HEIGHT / PV01 PRODUCTIVITY / COAST ALLOCATION / REMAINING QUOTES</x:v>
      </x:c>
      <x:c r="F166" s="1119"/>
      <x:c r="G166" s="1119"/>
      <x:c r="H166" s="1119"/>
    </x:row>
    <x:row r="167" ht="33" customHeight="1">
      <x:c r="A167" s="1132" t="str">
        <x:v>Hobsonville Working Rev30</x:v>
      </x:c>
      <x:c r="B167" s="1132" t="str">
        <x:v>11-Sep-2026</x:v>
      </x:c>
      <x:c r="C167" s="1119" t="str">
        <x:v>Commercial closeout working basis: user provided 8% company OH markup + 12% true profit margin. CA17/CA18 activated; Siteworks tender commercialised. Enabling OH exposed a latent Summary commercial-chain QA formula that omitted CA17 from its upstream check; Rev30 repairs the check so selected pre-margin + all commercial adjustments reconcile correctly. Consolidated working scenarios and PV01 productivity sensitivity added. No direct-scope/programme/Weather change.</x:v>
      </x:c>
      <x:c r="D167" s="1119" t="str">
        <x:v>Rick Jones / 3Bears Projects</x:v>
      </x:c>
      <x:c r="E167" s="1119" t="str">
        <x:v>WORKING HOLD - COMMERCIAL BASIS SET / TECHNICAL REDS REMAIN</x:v>
      </x:c>
      <x:c r="F167" s="1119"/>
      <x:c r="G167" s="1119"/>
      <x:c r="H167" s="1119"/>
    </x:row>
    <x:row r="168" ht="33" customHeight="1">
      <x:c r="A168" s="1132" t="str">
        <x:v>Hobsonville Working Rev31</x:v>
      </x:c>
      <x:c r="B168" s="1132" t="str">
        <x:v>11-Sep-2026</x:v>
      </x:c>
      <x:c r="C168" s="1119" t="str">
        <x:v>Citi Q-02 height-band clarification integrated: 84.0lm stepped wall, heights 0.2-1.8m plus buried course. Supplier block/cap quantities materially corroborated; prior generic 1.8m uplift sensitivity retired. No cost change.</x:v>
      </x:c>
      <x:c r="D168" s="1119" t="str">
        <x:v>Rick Jones / 3Bears Projects</x:v>
      </x:c>
      <x:c r="E168" s="1119" t="str">
        <x:v>WORKING HOLD - Q02 MATERIAL BASIS STRENGTHENED / RETAINING DESIGN RED REMAINS</x:v>
      </x:c>
      <x:c r="F168" s="1119"/>
      <x:c r="G168" s="1119"/>
      <x:c r="H168" s="1119"/>
    </x:row>
    <x:row r="169" ht="33" customHeight="1">
      <x:c r="A169" s="1132" t="str">
        <x:v>Hobsonville Working Rev32</x:v>
      </x:c>
      <x:c r="B169" s="1132" t="str">
        <x:v>11-Sep-2026</x:v>
      </x:c>
      <x:c r="C169" s="1119" t="str">
        <x:v>Allied Q-03 no-fines supply quote integrated: 50m3 @ $295/m3 + variable fuel. DHC S303/Citi calculation 47.98m3 corroborates quantity. RW04 $18k retained pending placement/pump. No cost change.</x:v>
      </x:c>
      <x:c r="D169" s="1119" t="str">
        <x:v>Rick Jones / 3Bears Projects</x:v>
      </x:c>
      <x:c r="E169" s="1119" t="str">
        <x:v>WORKING HOLD - Q03 SUPPLY BASIS STRENGTHENED / RETAINING DESIGN RED REMAINS</x:v>
      </x:c>
      <x:c r="F169" s="1119"/>
      <x:c r="G169" s="1119"/>
      <x:c r="H169" s="1119"/>
    </x:row>
    <x:row r="170">
      <x:c r="A170" s="1119" t="str">
        <x:v>Hobsonville Working Rev33</x:v>
      </x:c>
      <x:c r="B170" s="1119" t="str">
        <x:v>11-Sep-2026</x:v>
      </x:c>
      <x:c r="C170" s="1119" t="str">
        <x:v>Rhys Architectural Rev17 + Karl/Coast clarification integrated. Rev17 current earthworks area 2,105m2 adopted to EW01/EW03; PILE2 excavation transferred to Coast and Siteworks EW06 zeroed; Weather rerun CA10 $18,204.69. Rev17/Yodha bulk-volume conflict formalised RED with non-additive direct sensitivity +$23,314.55. Coast overlap closed.</x:v>
      </x:c>
      <x:c r="D170" s="1119" t="str">
        <x:v>Rick Jones / 3Bears Projects</x:v>
      </x:c>
      <x:c r="E170" s="1119" t="str">
        <x:v>WORKING HOLD - COAST INTERFACE CLOSED / REV17 EARTHWORKS RED + OTHER TECHNICAL REDS</x:v>
      </x:c>
      <x:c r="F170" s="1119"/>
      <x:c r="G170" s="1119"/>
      <x:c r="H170" s="1119"/>
    </x:row>
    <x:row r="171">
      <x:c r="A171" s="1119" t="str">
        <x:v>VA-18 CLOSED</x:v>
      </x:c>
      <x:c r="B171" s="1119" t="str">
        <x:v>Coast foundation interface closed 11-Sep: 15 PILE2 by Coast; footing/bulk excavation excluded. EW06 removed from Siteworks, EW05/EW07 retained. Rough breakdown received; detailed MB presentation AMBER only.</x:v>
      </x:c>
      <x:c r="C171" s="1119"/>
      <x:c r="D171" s="1119"/>
      <x:c r="E171" s="1119"/>
      <x:c r="F171" s="1119"/>
      <x:c r="G171" s="1119"/>
      <x:c r="H171" s="1119"/>
    </x:row>
    <x:row r="172">
      <x:c r="A172" s="1119" t="str">
        <x:v>VA-19</x:v>
      </x:c>
      <x:c r="B172" s="1119" t="str">
        <x:v>Allied drainage allocation reconciled 10-Sep. Remaining CCTV/trench-shield/component-completeness AMBER only.</x:v>
      </x:c>
      <x:c r="C172" s="1119"/>
      <x:c r="D172" s="1119"/>
      <x:c r="E172" s="1119"/>
      <x:c r="F172" s="1119"/>
      <x:c r="G172" s="1119"/>
      <x:c r="H172" s="1119"/>
    </x:row>
    <x:row r="173">
      <x:c r="A173" s="1119" t="str">
        <x:v>VA-20 CLOSED</x:v>
      </x:c>
      <x:c r="B173" s="1119" t="str">
        <x:v>Commercial basis: 8% company OH markup + 12% contractor TRUE MARGIN. Rev33 retains this treatment.</x:v>
      </x:c>
      <x:c r="C173" s="1119"/>
      <x:c r="D173" s="1119"/>
      <x:c r="E173" s="1119"/>
      <x:c r="F173" s="1119"/>
      <x:c r="G173" s="1119"/>
      <x:c r="H173" s="1119"/>
    </x:row>
    <x:row r="174">
      <x:c r="A174" s="1119" t="str">
        <x:v>VA-21</x:v>
      </x:c>
      <x:c r="B174" s="1119" t="str">
        <x:v>Remaining closeout: Q-05 concrete productivity RED; Q-09 line marking AMBER; Q-03 supply quoted with placement AMBER; Q-06/Q-10 rates received but engineered-fill compliance/disposal quantity remain open.</x:v>
      </x:c>
      <x:c r="C174" s="1119"/>
      <x:c r="D174" s="1119"/>
      <x:c r="E174" s="1119"/>
      <x:c r="F174" s="1119"/>
      <x:c r="G174" s="1119"/>
      <x:c r="H174" s="1119"/>
    </x:row>
    <x:row r="175">
      <x:c r="A175" s="1119" t="str">
        <x:v>Hobsonville Working Rev34</x:v>
      </x:c>
      <x:c r="B175" s="1119" t="str">
        <x:v>11-Sep-2026</x:v>
      </x:c>
      <x:c r="C175" s="1119" t="str">
        <x:v>Commercial adjudication: added CA16 Management Reserve at 4.0% of Rev33 pre-OH/profit subtotal. Fixed pre-margin reserve $18,269.06; tender effect $22,421.12. Reserve is explicitly separate from Risk Truth/Weather/PCs, does not close REDs, and must be re-adjudicated when material risks resolve or before award.</x:v>
      </x:c>
      <x:c r="D175" s="1119" t="str">
        <x:v>Rick Jones / 3Bears Projects</x:v>
      </x:c>
      <x:c r="E175" s="1119" t="str">
        <x:v>WORKING HOLD - MANAGEMENT RESERVE INCLUDED / TECHNICAL REDS UNCHANGED</x:v>
      </x:c>
      <x:c r="F175" s="1119"/>
      <x:c r="G175" s="1119"/>
      <x:c r="H175" s="1119"/>
    </x:row>
    <x:row r="176">
      <x:c r="A176" t="str">
        <x:v>Hobsonville Rev34C - Geotech Closeout</x:v>
      </x:c>
      <x:c r="B176" t="str">
        <x:v>11-Sep-2026</x:v>
      </x:c>
      <x:c r="C176" t="str">
        <x:v>Documentation closeout only - no price change. Added explicit AK26-051AB normal ground baseline and abnormal latent-condition exclusion; added dedicated RT15 Ground/Geotechnical Risk Truth record; removed stale Siteworks PILE2 self-perform assumptions; aligned Risk Truth weather references to current CA10 $18,204.69; report/issue-pack attachments updated.</x:v>
      </x:c>
      <x:c r="D176" t="str">
        <x:v>Rick Jones / 3Bears Projects</x:v>
      </x:c>
      <x:c r="E176" t="str">
        <x:v>WORKING HOLD - PRICE UNCHANGED / GEOTECH BASELINE &amp; ISSUE PACK CLARIFIED</x:v>
      </x:c>
    </x:row>
    <x:row r="177" ht="72" customHeight="1">
      <x:c r="A177" s="27" t="str">
        <x:v>Hobsonville Rev34D - Final Client Issue Cleanup</x:v>
      </x:c>
      <x:c r="B177" s="27" t="str">
        <x:v>12-Sep-2026</x:v>
      </x:c>
      <x:c r="C177" s="27" t="str">
        <x:v>Client-issue control cleanup only - no price change. Tender Build-Up TPW mapping now explicitly identifies the $18,269.06 CA16 Management Reserve and reconciles to $0.00 after reserve disclosure; intermediate Siteworks-only CW/013 commercial allocation relabelled to prevent confusion with the final consolidated TPW return; stale Coast/ramp HOLD wording corrected; report attachment names/page numbering and client evidence pack strengthened.</x:v>
      </x:c>
      <x:c r="D177" s="27" t="str">
        <x:v>Rick Jones / 3Bears Projects</x:v>
      </x:c>
      <x:c r="E177" s="27" t="str">
        <x:v>CLIENT ISSUE - SUITABLE FOR TENDER ADJUDICATION / CONTRACT-AWARD HOLD ON FOUR TECHNICAL REDS</x:v>
      </x:c>
      <x:c r="F177" s="27"/>
      <x:c r="G177" s="27"/>
      <x:c r="H177" s="27"/>
    </x:row>
    <x:row r="178">
      <x:c r="A178" t="str">
        <x:v>Hobsonville Rev34E - Commercial Adjudication</x:v>
      </x:c>
      <x:c r="B178" t="str">
        <x:v>12-Sep-2026</x:v>
      </x:c>
      <x:c r="C178" t="str">
        <x:v>Commercial revision only. Company overhead recovery increased from 8% to 10% and contractor profit increased from 12% to 15% TRUE MARGIN on Rick Jones instruction. Underlying pre-commercial package remains $948,072.08 excl GST, including the existing $18,269.06 Management Reserve. New all-in tender is $1,226,916.81 excl GST and produces a 22.727% gross margin on sell before GST. No direct-cost, scope, programme, Weather, Risk Truth or Management Reserve change.</x:v>
      </x:c>
      <x:c r="D178" t="str">
        <x:v>Rick Jones / 3Bears Projects</x:v>
      </x:c>
      <x:c r="E178" t="str">
        <x:v>CLIENT ISSUE, COMMERCIAL BASIS REVISED / SUITABLE FOR TENDER ADJUDICATION / CONTRACT-AWARD HOLD ON FOUR TECHNICAL REDS</x:v>
      </x:c>
      <x:c r="F178"/>
    </x:row>
  </x:sheetData>
  <x:mergeCells>
    <x:mergeCell ref="A130:H130"/>
    <x:mergeCell ref="A100:H100"/>
    <x:mergeCell ref="A126:H126"/>
    <x:mergeCell ref="A28:F28"/>
    <x:mergeCell ref="A35:H35"/>
    <x:mergeCell ref="A46:H46"/>
    <x:mergeCell ref="A57:H57"/>
    <x:mergeCell ref="A87:H87"/>
    <x:mergeCell ref="A137:E137"/>
    <x:mergeCell ref="A144:E144"/>
    <x:mergeCell ref="B4:C4"/>
    <x:mergeCell ref="B5:C5"/>
    <x:mergeCell ref="B6:C6"/>
    <x:mergeCell ref="B7:C7"/>
    <x:mergeCell ref="A1:H1"/>
    <x:mergeCell ref="A2:H2"/>
    <x:mergeCell ref="A4:C4"/>
    <x:mergeCell ref="A5:C8"/>
    <x:mergeCell ref="A9:C9"/>
    <x:mergeCell ref="E4:H4"/>
    <x:mergeCell ref="E13:H13"/>
    <x:mergeCell ref="A12:C15"/>
    <x:mergeCell ref="A17:C19"/>
    <x:mergeCell ref="A21:H21"/>
    <x:mergeCell ref="A33:H33"/>
    <x:mergeCell ref="A34:H36"/>
  </x:mergeCells>
  <x:dataValidations count="1">
    <x:dataValidation type="custom" allowBlank="1" showErrorMessage="1" errorTitle="Linked formula cell" error="This value is linked. Change the upstream input/source instead of overwriting this cell." sqref="E5">
      <x:formula1>FALSE</x:formula1>
    </x:dataValidation>
  </x:dataValidations>
  <x:pageMargins left="0.7" right="0.7" top="0.75" bottom="0.75" header="0.3" footer="0.3"/>
</x:worksheet>
</file>

<file path=xl/worksheets/sheet2.xml><?xml version="1.0" encoding="utf-8"?>
<x:worksheet xmlns:x="http://schemas.openxmlformats.org/spreadsheetml/2006/main">
  <x:sheetFormatPr defaultRowHeight="13.800000190734863"/>
  <x:cols>
    <x:col min="1" max="1" width="28" style="1" hidden="0" customWidth="1"/>
    <x:col min="2" max="2" width="24" style="1" hidden="0" customWidth="1"/>
    <x:col min="3" max="3" width="8" style="1" hidden="0" customWidth="1"/>
    <x:col min="4" max="4" width="24" style="1" hidden="0" customWidth="1"/>
    <x:col min="5" max="5" width="40" style="1" hidden="0" customWidth="1"/>
  </x:cols>
  <x:sheetData>
    <x:row r="1" s="2" customFormat="1" ht="22.950000762939453" customHeight="1">
      <x:c r="A1" s="1117" t="str">
        <x:v>329 HOBSONVILLE ROAD | ESTIMATE SUMMARY | REV34E CLIENT ISSUE</x:v>
      </x:c>
      <x:c r="B1" s="1117"/>
      <x:c r="C1" s="1117"/>
      <x:c r="D1" s="1117"/>
      <x:c r="E1" s="1117"/>
    </x:row>
    <x:row r="2" s="3" customFormat="1" ht="22.950000762939453" customHeight="1">
      <x:c r="A2" s="1119" t="str">
        <x:v>WORKING ALL-IN TENDER</x:v>
      </x:c>
      <x:c r="B2" s="1121" t="n">
        <x:f>'Consolidated Package'!F56</x:f>
        <x:v>1226916.8060281163</x:v>
      </x:c>
      <x:c r="C2" s="1121"/>
      <x:c r="D2" s="1121"/>
      <x:c r="E2" s="1121"/>
    </x:row>
    <x:row r="3" s="3" customFormat="1" ht="16.799999237060547" customHeight="1">
      <x:c r="A3" s="1119"/>
      <x:c r="B3" s="1121"/>
      <x:c r="C3" s="1121"/>
      <x:c r="D3" s="1121"/>
      <x:c r="E3" s="1121"/>
    </x:row>
    <x:row r="4" s="3" customFormat="1" ht="16.799999237060547" customHeight="1">
      <x:c r="A4" s="1122" t="str">
        <x:v>Current known cost before OH/profit</x:v>
      </x:c>
      <x:c r="B4" s="1123" t="n">
        <x:f>'Consolidated Package'!B56</x:f>
        <x:v>948072.0773853625</x:v>
      </x:c>
      <x:c r="C4" s="1119"/>
      <x:c r="D4" s="1122" t="str">
        <x:v>Project</x:v>
      </x:c>
      <x:c r="E4" s="1122" t="str">
        <x:v>329 Hobsonville Road Childcare Centre</x:v>
      </x:c>
    </x:row>
    <x:row r="5" s="3" customFormat="1" ht="16.799999237060547" customHeight="1">
      <x:c r="A5" s="1122" t="str">
        <x:v>Company OH, 10%</x:v>
      </x:c>
      <x:c r="B5" s="1123" t="n">
        <x:f>'Consolidated Package'!C56</x:f>
        <x:v>94807.20773853625</x:v>
      </x:c>
      <x:c r="C5" s="1119"/>
      <x:c r="D5" s="1122" t="str">
        <x:v>Issue</x:v>
      </x:c>
      <x:c r="E5" s="1122" t="str">
        <x:v>Rev34E commercial adjudication, 10% OH + 15% true margin</x:v>
      </x:c>
    </x:row>
    <x:row r="6" s="3" customFormat="1" ht="79.19999694824219" hidden="0" customHeight="1">
      <x:c r="A6" s="1122" t="str">
        <x:v>Profit, 15% true margin</x:v>
      </x:c>
      <x:c r="B6" s="1123" t="n">
        <x:f>'Consolidated Package'!E56</x:f>
        <x:v>184037.5209042175</x:v>
      </x:c>
      <x:c r="C6" s="1119"/>
      <x:c r="D6" s="1122" t="str">
        <x:v>Programme</x:v>
      </x:c>
      <x:c r="E6" s="1122" t="str">
        <x:v>55 dry WD / ~64WD weather-adjusted planning</x:v>
      </x:c>
    </x:row>
    <x:row r="7" s="3" customFormat="1" ht="13.800000190734863" hidden="0" customHeight="1">
      <x:c r="A7" s="1122" t="str">
        <x:v>Siteworks standalone tender</x:v>
      </x:c>
      <x:c r="B7" s="1123" t="n">
        <x:f>'Tender Build-Up'!B47</x:f>
        <x:v>614700.2236751751</x:v>
      </x:c>
      <x:c r="C7" s="1119"/>
      <x:c r="D7" s="1122" t="str">
        <x:v>Weather allowance</x:v>
      </x:c>
      <x:c r="E7" s="1123" t="n">
        <x:f>'Weather Risk'!B38</x:f>
        <x:v>18204.688900072088</x:v>
      </x:c>
    </x:row>
    <x:row r="8" s="3" customFormat="1" ht="26.399999618530273" hidden="0" customHeight="1">
      <x:c r="A8" s="1122" t="str">
        <x:v>Coast Concrete subcontract</x:v>
      </x:c>
      <x:c r="B8" s="1123" t="n">
        <x:f>'Consolidated Package'!B6</x:f>
        <x:v>210606</x:v>
      </x:c>
      <x:c r="C8" s="1119"/>
      <x:c r="D8" s="1122" t="str">
        <x:v>Management Reserve</x:v>
      </x:c>
      <x:c r="E8" s="1123" t="n">
        <x:f>'Commercial Inputs'!E20</x:f>
        <x:v>18269.062591744714</x:v>
      </x:c>
    </x:row>
    <x:row r="9" s="3" customFormat="1" ht="118.80000305175781" hidden="0" customHeight="1">
      <x:c r="A9" s="1122" t="str">
        <x:v>Allied current known subcontract</x:v>
      </x:c>
      <x:c r="B9" s="1123" t="n">
        <x:f>'Consolidated Package'!B11</x:f>
        <x:v>262470.45</x:v>
      </x:c>
      <x:c r="C9" s="1119"/>
      <x:c r="D9" s="1122" t="str">
        <x:v>GST</x:v>
      </x:c>
      <x:c r="E9" s="1122" t="str">
        <x:v>Excluded</x:v>
      </x:c>
    </x:row>
    <x:row r="10" s="3" customFormat="1" ht="105.5999984741211" hidden="0" customHeight="1">
      <x:c r="A10" s="1122" t="str">
        <x:v>Release status</x:v>
      </x:c>
      <x:c r="B10" s="1341" t="str">
        <x:v>HOLD for contract award; suitable for tender adjudication</x:v>
      </x:c>
      <x:c r="C10" s="1119"/>
      <x:c r="D10" s="1122" t="str">
        <x:v>Ground basis</x:v>
      </x:c>
      <x:c r="E10" s="1127" t="str">
        <x:v>AK26-051AB Rev0 normal-condition basis; abnormal latent ground excluded / reprice</x:v>
      </x:c>
    </x:row>
    <x:row r="11" s="3" customFormat="1" ht="66" hidden="0" customHeight="1">
      <x:c r="A11" s="1128" t="str">
        <x:v>Supplier/material costs within Siteworks are already included in the Resource Build-Up/QS chain. Coast and Allied are added once in the consolidated package. Ground pricing is based on the Gibb Ritchie AK26-051AB Rev0 normal-condition baseline; materially different latent ground conditions are outside the priced baseline and require remeasurement/repricing.</x:v>
      </x:c>
      <x:c r="B11" s="1128"/>
      <x:c r="C11" s="1128"/>
      <x:c r="D11" s="1128"/>
      <x:c r="E11" s="1128"/>
    </x:row>
    <x:row r="12" ht="22.5" customHeight="1">
      <x:c r="A12" s="1230" t="s">
        <x:v>17</x:v>
      </x:c>
      <x:c r="B12" s="1132"/>
      <x:c r="C12" s="1132"/>
      <x:c r="D12" s="1132"/>
      <x:c r="E12" s="1132"/>
    </x:row>
    <x:row r="13" s="3" customFormat="1" ht="14.399999618530273" customHeight="1">
      <x:c r="A13" s="1231" t="str">
        <x:v>Earthworks</x:v>
      </x:c>
      <x:c r="B13" s="1231" t="str">
        <x:v>Cut - Yodha live / Rev17 113m3</x:v>
      </x:c>
      <x:c r="C13" s="1231" t="n">
        <x:v>110</x:v>
      </x:c>
      <x:c r="D13" s="1231" t="str">
        <x:v>m3</x:v>
      </x:c>
      <x:c r="E13" s="1231" t="str">
        <x:v>CURRENT YODHA CONTROL / REV17 CONFLICT RED</x:v>
      </x:c>
    </x:row>
    <x:row r="14" s="3" customFormat="1" ht="14.399999618530273" customHeight="1">
      <x:c r="A14" s="1195" t="str">
        <x:v>Earthworks</x:v>
      </x:c>
      <x:c r="B14" s="1195" t="str">
        <x:v>Fill demand - Yodha live / Rev17 1,310m3</x:v>
      </x:c>
      <x:c r="C14" s="1232" t="n">
        <x:v>1033</x:v>
      </x:c>
      <x:c r="D14" s="1195" t="str">
        <x:v>m3</x:v>
      </x:c>
      <x:c r="E14" s="1195" t="str">
        <x:v>CURRENT YODHA CONTROL / REV17 CONFLICT RED</x:v>
      </x:c>
    </x:row>
    <x:row r="15" s="3" customFormat="1" ht="14.399999618530273" customHeight="1">
      <x:c r="A15" s="1195" t="str">
        <x:v>Earthworks</x:v>
      </x:c>
      <x:c r="B15" s="1195" t="str">
        <x:v>Net imported fill - Yodha live / Rev17 implied 1,197m3</x:v>
      </x:c>
      <x:c r="C15" s="1232" t="n">
        <x:v>923</x:v>
      </x:c>
      <x:c r="D15" s="1195" t="str">
        <x:v>m3</x:v>
      </x:c>
      <x:c r="E15" s="1195" t="str">
        <x:v>CURRENT YODHA CONTROL / +274m3 REV17 SENSITIVITY</x:v>
      </x:c>
    </x:row>
    <x:row r="16" s="3" customFormat="1" ht="14.399999618530273" customHeight="1">
      <x:c r="A16" s="1195" t="str">
        <x:v>Pavements</x:v>
      </x:c>
      <x:c r="B16" s="1195" t="str">
        <x:v>Internal carpark / driveway - provisional stamped-RC build-up split</x:v>
      </x:c>
      <x:c r="C16" s="1232" t="n">
        <x:v>478.35</x:v>
      </x:c>
      <x:c r="D16" s="1195" t="str">
        <x:v>m2</x:v>
      </x:c>
      <x:c r="E16" s="1195" t="str">
        <x:v>CALCULATED / PROVISIONAL SPLIT TO CONFIRMED 568m2 STAMPED RC</x:v>
      </x:c>
    </x:row>
    <x:row r="17" s="3" customFormat="1" ht="14.399999618530273" customHeight="1">
      <x:c r="A17" s="1195" t="str">
        <x:v>Pavements</x:v>
      </x:c>
      <x:c r="B17" s="1195" t="str">
        <x:v>Public Hobsonville Rd VX203 crossing</x:v>
      </x:c>
      <x:c r="C17" s="1232" t="n">
        <x:v>37.7665</x:v>
      </x:c>
      <x:c r="D17" s="1195" t="str">
        <x:v>m2</x:v>
      </x:c>
      <x:c r="E17" s="1195" t="str">
        <x:v>MEASURED</x:v>
      </x:c>
    </x:row>
    <x:row r="18" s="3" customFormat="1" ht="14.399999618530273" customHeight="1">
      <x:c r="A18" s="1195" t="str">
        <x:v>Retaining</x:v>
      </x:c>
      <x:c r="B18" s="1195" t="str">
        <x:v>Total Keystone alignment control</x:v>
      </x:c>
      <x:c r="C18" s="1232" t="n">
        <x:v>82.93</x:v>
      </x:c>
      <x:c r="D18" s="1195" t="str">
        <x:v>lm</x:v>
      </x:c>
      <x:c r="E18" s="1195" t="str">
        <x:v>MEASURED CONTROL</x:v>
      </x:c>
    </x:row>
    <x:row r="19" s="3" customFormat="1" ht="14.399999618530273" customHeight="1">
      <x:c r="A19" s="1195" t="str">
        <x:v>Foundations</x:v>
      </x:c>
      <x:c r="B19" s="1195" t="str">
        <x:v>P1-P4 pad excavation Siteworks; 15 PILE2 by Coast</x:v>
      </x:c>
      <x:c r="C19" s="1232" t="n">
        <x:v>2.191</x:v>
      </x:c>
      <x:c r="D19" s="1195" t="str">
        <x:v>m3 Siteworks pads</x:v>
      </x:c>
      <x:c r="E19" s="1195" t="str">
        <x:v>PILE2 QUANTITY/OWNER GREEN; EW05/EW07 remain AMBER</x:v>
      </x:c>
    </x:row>
    <x:row r="20" s="3" customFormat="1" ht="14.399999618530273" customHeight="1">
      <x:c r="A20" s="1195" t="str">
        <x:v>Thresholds</x:v>
      </x:c>
      <x:c r="B20" s="1195" t="str">
        <x:v>Allproof supplier order control</x:v>
      </x:c>
      <x:c r="C20" s="1232" t="n">
        <x:v>44</x:v>
      </x:c>
      <x:c r="D20" s="1195" t="str">
        <x:v>lm</x:v>
      </x:c>
      <x:c r="E20" s="1195" t="str">
        <x:v>PROVIDED / CALCULATED - 22 doors x 2m; 44 end caps</x:v>
      </x:c>
    </x:row>
    <x:row r="21" s="3" customFormat="1" ht="14.399999618530273" customHeight="1">
      <x:c r="A21" s="1195" t="str">
        <x:v>Pricing Summary (direct-cost estimate)</x:v>
      </x:c>
      <x:c r="B21" s="1195"/>
      <x:c r="C21" s="1232"/>
      <x:c r="D21" s="1195"/>
      <x:c r="E21" s="1195"/>
    </x:row>
    <x:row r="22" s="3" customFormat="1" ht="14.399999618530273" customHeight="1">
      <x:c r="A22" s="1195" t="s">
        <x:v>13</x:v>
      </x:c>
      <x:c r="B22" s="1195" t="s">
        <x:v>18</x:v>
      </x:c>
      <x:c r="C22" s="1232"/>
      <x:c r="D22" s="1195"/>
      <x:c r="E22" s="1195"/>
    </x:row>
    <x:row r="23" s="3" customFormat="1" ht="14.399999618530273" customHeight="1">
      <x:c r="A23" s="1195" t="s">
        <x:v>19</x:v>
      </x:c>
      <x:c r="B23" s="1233" t="n">
        <x:f>'Tender Build-Up'!B10</x:f>
        <x:v>48403.4</x:v>
      </x:c>
      <x:c r="C23" s="1232"/>
      <x:c r="D23" s="1195"/>
      <x:c r="E23" s="1195"/>
    </x:row>
    <x:row r="24" s="3" customFormat="1" ht="14.399999618530273" customHeight="1">
      <x:c r="A24" s="1195" t="s">
        <x:v>20</x:v>
      </x:c>
      <x:c r="B24" s="1233" t="n">
        <x:f>'Tender Build-Up'!B11</x:f>
        <x:v>7750.143268186798</x:v>
      </x:c>
      <x:c r="C24" s="1232"/>
      <x:c r="D24" s="1195"/>
      <x:c r="E24" s="1195"/>
    </x:row>
    <x:row r="25" s="3" customFormat="1" ht="14.399999618530273" customHeight="1">
      <x:c r="A25" s="1132" t="s">
        <x:v>21</x:v>
      </x:c>
      <x:c r="B25" s="1234" t="n">
        <x:f>'Tender Build-Up'!B12</x:f>
        <x:v>116065.18333333333</x:v>
      </x:c>
      <x:c r="C25" s="1132"/>
      <x:c r="D25" s="1132"/>
      <x:c r="E25" s="1132"/>
    </x:row>
    <x:row r="26" s="3" customFormat="1" ht="14.399999618530273" customHeight="1">
      <x:c r="A26" s="1195" t="s">
        <x:v>22</x:v>
      </x:c>
      <x:c r="B26" s="1234" t="n">
        <x:f>'Tender Build-Up'!B13</x:f>
        <x:v>0</x:v>
      </x:c>
      <x:c r="C26" s="1132"/>
      <x:c r="D26" s="1132"/>
      <x:c r="E26" s="1132"/>
    </x:row>
    <x:row r="27" s="3" customFormat="1" ht="14.399999618530273" customHeight="1">
      <x:c r="A27" s="1231" t="s">
        <x:v>23</x:v>
      </x:c>
      <x:c r="B27" s="1235" t="n">
        <x:f>'Tender Build-Up'!B14</x:f>
        <x:v>0</x:v>
      </x:c>
      <x:c r="C27" s="1135"/>
      <x:c r="D27" s="1135"/>
      <x:c r="E27" s="1135"/>
    </x:row>
    <x:row r="28" s="3" customFormat="1" ht="14.399999618530273" customHeight="1">
      <x:c r="A28" s="1195" t="s">
        <x:v>24</x:v>
      </x:c>
      <x:c r="B28" s="1236" t="n">
        <x:f>'Tender Build-Up'!B15</x:f>
        <x:v>119034.3133332756</x:v>
      </x:c>
      <x:c r="C28" s="1132"/>
      <x:c r="D28" s="1132"/>
      <x:c r="E28" s="1132"/>
    </x:row>
    <x:row r="29" s="3" customFormat="1" ht="14.399999618530273" customHeight="1">
      <x:c r="A29" s="1195" t="s">
        <x:v>25</x:v>
      </x:c>
      <x:c r="B29" s="1236" t="n">
        <x:f>'Tender Build-Up'!B16</x:f>
        <x:v>65000</x:v>
      </x:c>
      <x:c r="C29" s="1132"/>
      <x:c r="D29" s="1132"/>
      <x:c r="E29" s="1132"/>
    </x:row>
    <x:row r="30" s="3" customFormat="1" ht="14.399999618530273" customHeight="1">
      <x:c r="A30" s="1195" t="s">
        <x:v>26</x:v>
      </x:c>
      <x:c r="B30" s="1236" t="n">
        <x:f>'Tender Build-Up'!B17</x:f>
        <x:v>71668.83595875</x:v>
      </x:c>
      <x:c r="C30" s="1132"/>
      <x:c r="D30" s="1132"/>
      <x:c r="E30" s="1132"/>
    </x:row>
    <x:row r="31" s="3" customFormat="1" ht="14.399999618530273" customHeight="1">
      <x:c r="A31" s="1195" t="s">
        <x:v>27</x:v>
      </x:c>
      <x:c r="B31" s="1236" t="n">
        <x:f>'Tender Build-Up'!B18</x:f>
        <x:v>4600</x:v>
      </x:c>
      <x:c r="C31" s="1132"/>
      <x:c r="D31" s="1132"/>
      <x:c r="E31" s="1132"/>
    </x:row>
    <x:row r="32" s="3" customFormat="1" ht="14.399999618530273" customHeight="1">
      <x:c r="A32" s="1195" t="s">
        <x:v>28</x:v>
      </x:c>
      <x:c r="B32" s="1236" t="n">
        <x:f>'Tender Build-Up'!B19</x:f>
        <x:v>3000</x:v>
      </x:c>
      <x:c r="C32" s="1132"/>
      <x:c r="D32" s="1132"/>
      <x:c r="E32" s="1132"/>
    </x:row>
    <x:row r="33" s="3" customFormat="1" ht="14.399999618530273" customHeight="1">
      <x:c r="A33" s="1195" t="s">
        <x:v>29</x:v>
      </x:c>
      <x:c r="B33" s="1236" t="n">
        <x:f>'Tender Build-Up'!B20</x:f>
        <x:v>435521.87589354574</x:v>
      </x:c>
      <x:c r="C33" s="1132"/>
      <x:c r="D33" s="1132"/>
      <x:c r="E33" s="1132"/>
    </x:row>
    <x:row r="34" s="3" customFormat="1" ht="39.599998474121094" hidden="0" customHeight="1">
      <x:c r="A34" s="1195" t="str">
        <x:v>Pricing basis</x:v>
      </x:c>
      <x:c r="B34" s="1196" t="str">
        <x:v>BOARD-ADJUDICATED WORKING SITEWORKS ESTIMATE. Rev34 tender = $582,949.18 excl GST. Core Rev33 subtotal before OH/profit = $456,726.56; Management Reserve = $18,269.06 pre-margin; reserve is separate from Risk Truth and does not close REDs.</x:v>
      </x:c>
      <x:c r="C34" s="1132"/>
      <x:c r="D34" s="1132"/>
      <x:c r="E34" s="1132"/>
    </x:row>
    <x:row r="35" s="3" customFormat="1" ht="26.399999618530273" hidden="0" customHeight="1">
      <x:c r="A35" s="1195" t="s">
        <x:v>30</x:v>
      </x:c>
      <x:c r="B35" s="1196" t="str">
        <x:v>Commercial basis: 10% company overhead recovery + 15% contractor true margin. This yields an overall gross margin of 22.727% on the current all-in sell price. CA16 Management Reserve remains a separate PROVIDED / AMBER adjudication provision for aggregate residual tender-stage uncertainty; it is not a generic Risk Truth contingency.</x:v>
      </x:c>
      <x:c r="C35" s="1132"/>
      <x:c r="D35" s="1132"/>
      <x:c r="E35" s="1132"/>
    </x:row>
    <x:row r="36" s="3" customFormat="1" ht="13.800000190734863" hidden="0" customHeight="1">
      <x:c r="A36" s="1195" t="s">
        <x:v>31</x:v>
      </x:c>
      <x:c r="B36" s="1196" t="str">
        <x:v>General drainage by others is excluded except stated Siteworks channel/threshold interfaces.</x:v>
      </x:c>
      <x:c r="C36" s="1132"/>
      <x:c r="D36" s="1132"/>
      <x:c r="E36" s="1132"/>
    </x:row>
    <x:row r="37" s="3" customFormat="1" ht="13.800000190734863" hidden="0" customHeight="1">
      <x:c r="A37" s="1197" t="s">
        <x:v>32</x:v>
      </x:c>
      <x:c r="B37" s="1198" t="str">
        <x:v>Measured / provided / calculated / PC classifications and firm-up actions remain visible. PC sums are not quotations.</x:v>
      </x:c>
      <x:c r="C37" s="1199"/>
      <x:c r="D37" s="1199"/>
      <x:c r="E37" s="1199"/>
    </x:row>
    <x:row r="38" s="3" customFormat="1" ht="39.599998474121094" hidden="0" customHeight="1">
      <x:c r="A38" s="1132" t="s">
        <x:v>33</x:v>
      </x:c>
      <x:c r="B38" s="1200" t="str">
        <x:v>Board-adjudicated dry programme remains 55 working days, 5 days/week. Current Weather Risk normal-weather delay is 8.829 working days and CA10 is $18,204.69, giving ~63.829 weather-adjusted planning WD for the 01-Oct-2026 scenario. RFI-15 bulk-volume change would require programme/weather rerun.</x:v>
      </x:c>
      <x:c r="C38" s="1132"/>
      <x:c r="D38" s="1132"/>
      <x:c r="E38" s="1132"/>
    </x:row>
    <x:row r="39" s="3" customFormat="1" ht="14.399999618530273" customHeight="1">
      <x:c r="A39" s="1195" t="s">
        <x:v>34</x:v>
      </x:c>
      <x:c r="B39" s="1200"/>
      <x:c r="C39" s="1132"/>
      <x:c r="D39" s="1132"/>
      <x:c r="E39" s="1132"/>
    </x:row>
    <x:row r="40" s="3" customFormat="1" ht="14.399999618530273" customHeight="1">
      <x:c r="A40" s="1195" t="s">
        <x:v>35</x:v>
      </x:c>
      <x:c r="B40" s="1200" t="s">
        <x:v>36</x:v>
      </x:c>
      <x:c r="C40" s="1132"/>
      <x:c r="D40" s="1132"/>
      <x:c r="E40" s="1132"/>
    </x:row>
    <x:row r="41" s="3" customFormat="1" ht="14.399999618530273" customHeight="1">
      <x:c r="A41" s="1195" t="s">
        <x:v>37</x:v>
      </x:c>
      <x:c r="B41" s="1200" t="s">
        <x:v>38</x:v>
      </x:c>
      <x:c r="C41" s="1132"/>
      <x:c r="D41" s="1132"/>
      <x:c r="E41" s="1132"/>
    </x:row>
    <x:row r="42" s="3" customFormat="1" ht="14.399999618530273" customHeight="1">
      <x:c r="A42" s="1195"/>
      <x:c r="B42" s="1200"/>
      <x:c r="C42" s="1132"/>
      <x:c r="D42" s="1132"/>
      <x:c r="E42" s="1132"/>
    </x:row>
    <x:row r="43" s="3" customFormat="1" ht="14.399999618530273" customHeight="1">
      <x:c r="A43" s="1195" t="s">
        <x:v>39</x:v>
      </x:c>
      <x:c r="B43" s="1200"/>
      <x:c r="C43" s="1132"/>
      <x:c r="D43" s="1132"/>
      <x:c r="E43" s="1132"/>
    </x:row>
    <x:row r="44" s="3" customFormat="1" ht="14.399999618530273" customHeight="1">
      <x:c r="A44" s="1132" t="str">
        <x:v>Base direct estimate excl. GST</x:v>
      </x:c>
      <x:c r="B44" s="1234" t="n">
        <x:f>'Tender Build-Up'!B20</x:f>
        <x:v>435521.87589354574</x:v>
      </x:c>
      <x:c r="C44" s="1132"/>
      <x:c r="D44" s="1132"/>
      <x:c r="E44" s="1132" t="s">
        <x:v>40</x:v>
      </x:c>
    </x:row>
    <x:row r="45" s="3" customFormat="1" ht="14.399999618530273" customHeight="1">
      <x:c r="A45" s="1195" t="str">
        <x:v>Pre-margin additions</x:v>
      </x:c>
      <x:c r="B45" s="1234" t="n">
        <x:f>'Tender Build-Up'!B39</x:f>
        <x:v>39473.7514918168</x:v>
      </x:c>
      <x:c r="C45" s="1132"/>
      <x:c r="D45" s="1132"/>
      <x:c r="E45" s="1132" t="str">
        <x:v>Commercial Inputs CA01-CA16 incl. CA16 Management Reserve</x:v>
      </x:c>
    </x:row>
    <x:row r="46" s="3" customFormat="1" ht="14.399999618530273" customHeight="1">
      <x:c r="A46" s="1195" t="s">
        <x:v>41</x:v>
      </x:c>
      <x:c r="B46" s="1237" t="n">
        <x:f>'Tender Build-Up'!B46</x:f>
        <x:v>139704.59628981256</x:v>
      </x:c>
      <x:c r="C46" s="1132"/>
      <x:c r="D46" s="1132"/>
      <x:c r="E46" s="1132" t="str">
        <x:v>Commercial Inputs CA17-CA20 commercial adjustments</x:v>
      </x:c>
    </x:row>
    <x:row r="47" s="3" customFormat="1" ht="14.399999618530273" customHeight="1">
      <x:c r="A47" s="1195" t="s">
        <x:v>42</x:v>
      </x:c>
      <x:c r="B47" s="1237" t="n">
        <x:f>'Tender Build-Up'!B47</x:f>
        <x:v>614700.2236751751</x:v>
      </x:c>
      <x:c r="C47" s="1132"/>
      <x:c r="D47" s="1132"/>
      <x:c r="E47" s="1132" t="str">
        <x:v>Working tender incl. Management Reserve; excl GST</x:v>
      </x:c>
    </x:row>
    <x:row r="48" s="3" customFormat="1" ht="14.399999618530273" customHeight="1">
      <x:c r="A48" s="1132" t="s">
        <x:v>43</x:v>
      </x:c>
      <x:c r="B48" s="1234" t="n">
        <x:f>'Tender Build-Up'!B48</x:f>
        <x:v>0</x:v>
      </x:c>
      <x:c r="C48" s="1132"/>
      <x:c r="D48" s="1132"/>
      <x:c r="E48" s="1132" t="s">
        <x:v>44</x:v>
      </x:c>
    </x:row>
    <x:row r="49" s="3" customFormat="1" ht="14.399999618530273" customHeight="1">
      <x:c r="A49" s="1231" t="s">
        <x:v>45</x:v>
      </x:c>
      <x:c r="B49" s="1235" t="n">
        <x:f>'Tender Build-Up'!B49</x:f>
        <x:v>614700.2236751751</x:v>
      </x:c>
      <x:c r="C49" s="1135"/>
      <x:c r="D49" s="1135"/>
      <x:c r="E49" s="1231" t="s">
        <x:v>46</x:v>
      </x:c>
    </x:row>
    <x:row r="50" s="3" customFormat="1" ht="14.399999618530273" customHeight="1">
      <x:c r="A50" s="1195" t="s">
        <x:v>47</x:v>
      </x:c>
      <x:c r="B50" s="1236" t="n">
        <x:f>'Tender Build-Up'!B53</x:f>
        <x:v>614700.2236751751</x:v>
      </x:c>
      <x:c r="C50" s="1132"/>
      <x:c r="D50" s="1132"/>
      <x:c r="E50" s="1195" t="str">
        <x:v>Tender total less retention withholding after CA25 deposit treatment.</x:v>
      </x:c>
    </x:row>
    <x:row r="51" s="3" customFormat="1" ht="14.399999618530273" customHeight="1">
      <x:c r="A51" s="1195" t="s">
        <x:v>48</x:v>
      </x:c>
      <x:c r="B51" s="1236" t="n">
        <x:f>'Tender Build-Up'!B55</x:f>
        <x:v>0</x:v>
      </x:c>
      <x:c r="C51" s="1132"/>
      <x:c r="D51" s="1132"/>
      <x:c r="E51" s="1195" t="str">
        <x:v>Released after CA23 retention period; amount follows CA25 deposit retention treatment.</x:v>
      </x:c>
    </x:row>
    <x:row r="52" s="3" customFormat="1" ht="14.399999618530273" customHeight="1">
      <x:c r="A52" s="1195" t="s">
        <x:v>49</x:v>
      </x:c>
      <x:c r="B52" s="1236" t="n">
        <x:f>IF('Commercial Inputs'!F28="Yes",'Tender Build-Up'!B47*'Commercial Inputs'!D28,0)</x:f>
        <x:v>0</x:v>
      </x:c>
      <x:c r="C52" s="1132"/>
      <x:c r="D52" s="1132"/>
      <x:c r="E52" s="1195" t="s">
        <x:v>50</x:v>
      </x:c>
    </x:row>
    <x:row r="53" s="3" customFormat="1" ht="14.399999618530273" customHeight="1">
      <x:c r="A53" s="1197" t="s">
        <x:v>51</x:v>
      </x:c>
      <x:c r="B53" s="1198"/>
      <x:c r="C53" s="1199"/>
      <x:c r="D53" s="1199"/>
      <x:c r="E53" s="1197" t="s">
        <x:v>52</x:v>
      </x:c>
    </x:row>
    <x:row r="54" s="3" customFormat="1" ht="14.399999618530273" customHeight="1">
      <x:c r="A54" s="1195"/>
      <x:c r="B54" s="1196"/>
      <x:c r="C54" s="1132"/>
      <x:c r="D54" s="1132"/>
      <x:c r="E54" s="1195"/>
    </x:row>
    <x:row r="55" s="3" customFormat="1" ht="38" customHeight="1">
      <x:c r="A55" s="1230" t="str">
        <x:v>CALCULATION CHECK: Rev34 Base Direct remains $435,521.88. Rev33 pre-OH/profit control $456,726.56; CA16 Management Reserve $18,269.06; Rev34 pre-OH/profit $474,995.63; Siteworks tender $582,949.18. Coast/Allied technical overlays unchanged. Resource -&gt; QS -&gt; Tender -&gt; Summary reconciliation must remain $0.00.</x:v>
      </x:c>
      <x:c r="B55" s="1196"/>
      <x:c r="C55" s="1132"/>
      <x:c r="D55" s="1132"/>
      <x:c r="E55" s="1195"/>
    </x:row>
    <x:row r="56" s="3" customFormat="1" ht="22.5" customHeight="1">
      <x:c r="A56" s="1238" t="s">
        <x:v>53</x:v>
      </x:c>
      <x:c r="B56" s="1239"/>
      <x:c r="C56" s="1140"/>
      <x:c r="D56" s="1140"/>
      <x:c r="E56" s="1238"/>
    </x:row>
    <x:row r="57" s="3" customFormat="1" ht="18.75" customHeight="1">
      <x:c r="A57" s="1135" t="s">
        <x:v>54</x:v>
      </x:c>
      <x:c r="B57" s="1135" t="s">
        <x:v>55</x:v>
      </x:c>
      <x:c r="C57" s="1135" t="s">
        <x:v>56</x:v>
      </x:c>
      <x:c r="D57" s="1135" t="s">
        <x:v>57</x:v>
      </x:c>
      <x:c r="E57" s="1135" t="s">
        <x:v>11</x:v>
      </x:c>
    </x:row>
    <x:row r="58" s="3" customFormat="1" ht="15.300000190734863" customHeight="1">
      <x:c r="A58" s="1132" t="s">
        <x:v>58</x:v>
      </x:c>
      <x:c r="B58" s="1240" t="n">
        <x:f>SUM('Resource Build-Up'!$Z$7:$Z$306)</x:f>
        <x:v>435521.87589354574</x:v>
      </x:c>
      <x:c r="C58" s="1240" t="n">
        <x:f>'QS Takeoff'!$G$41</x:f>
        <x:v>435521.8758935457</x:v>
      </x:c>
      <x:c r="D58" s="1240" t="n">
        <x:f>C58-B58</x:f>
        <x:v>-5.820766091346741e-11</x:v>
      </x:c>
      <x:c r="E58" s="1132" t="str">
        <x:f>IF(ABS(D58)&lt;0.01,"OK","CHECK")</x:f>
        <x:v>OK</x:v>
      </x:c>
    </x:row>
    <x:row r="59" s="3" customFormat="1" ht="15.300000190734863" customHeight="1">
      <x:c r="A59" s="1132" t="s">
        <x:v>59</x:v>
      </x:c>
      <x:c r="B59" s="1240" t="n">
        <x:f>'QS Takeoff'!$G$41</x:f>
        <x:v>435521.8758935457</x:v>
      </x:c>
      <x:c r="C59" s="1240" t="n">
        <x:f>'Tender Build-Up'!$B$20</x:f>
        <x:v>435521.87589354574</x:v>
      </x:c>
      <x:c r="D59" s="1240" t="n">
        <x:f>C59-B59</x:f>
        <x:v>5.820766091346741e-11</x:v>
      </x:c>
      <x:c r="E59" s="1132" t="str">
        <x:f>IF(ABS(D59)&lt;0.01,"OK","CHECK")</x:f>
        <x:v>OK</x:v>
      </x:c>
    </x:row>
    <x:row r="60" s="3" customFormat="1" ht="15.300000190734863" customHeight="1">
      <x:c r="A60" s="1132" t="s">
        <x:v>60</x:v>
      </x:c>
      <x:c r="B60" s="1240" t="n">
        <x:f>'Tender Build-Up'!$B$20</x:f>
        <x:v>435521.87589354574</x:v>
      </x:c>
      <x:c r="C60" s="1240" t="n">
        <x:f>$B$33</x:f>
        <x:v>435521.87589354574</x:v>
      </x:c>
      <x:c r="D60" s="1240" t="n">
        <x:f>C60-B60</x:f>
        <x:v>0</x:v>
      </x:c>
      <x:c r="E60" s="1132" t="str">
        <x:f>IF(ABS(D60)&lt;0.01,"OK","CHECK")</x:f>
        <x:v>OK</x:v>
      </x:c>
    </x:row>
    <x:row r="61" s="3" customFormat="1" ht="15.300000190734863" customHeight="1">
      <x:c r="A61" s="1132" t="s">
        <x:v>61</x:v>
      </x:c>
      <x:c r="B61" s="1240" t="n">
        <x:f>SUM('Tender Build-Up'!$B$23:$B$38)+SUM('Tender Build-Up'!$B$42:$B$45)</x:f>
        <x:v>179178.34778162936</x:v>
      </x:c>
      <x:c r="C61" s="1240" t="n">
        <x:f>$B$45+$B$46</x:f>
        <x:v>179178.34778162936</x:v>
      </x:c>
      <x:c r="D61" s="1240" t="n">
        <x:f>C61-B61</x:f>
        <x:v>0</x:v>
      </x:c>
      <x:c r="E61" s="1132" t="str">
        <x:f>IF(ABS(D61)&lt;0.01,"OK","CHECK")</x:f>
        <x:v>OK</x:v>
      </x:c>
    </x:row>
    <x:row r="62" s="3" customFormat="1" ht="15.300000190734863" customHeight="1">
      <x:c r="A62" s="1132" t="s">
        <x:v>62</x:v>
      </x:c>
      <x:c r="B62" s="1119" t="s">
        <x:v>63</x:v>
      </x:c>
      <x:c r="C62" s="1132"/>
      <x:c r="D62" s="1132"/>
      <x:c r="E62" s="1132"/>
    </x:row>
    <x:row r="63" s="3" customFormat="1" ht="15.300000190734863" customHeight="1">
      <x:c r="A63" s="1132" t="s">
        <x:v>64</x:v>
      </x:c>
      <x:c r="B63" s="1119" t="s">
        <x:v>65</x:v>
      </x:c>
      <x:c r="C63" s="1132"/>
      <x:c r="D63" s="1132"/>
      <x:c r="E63" s="1132"/>
    </x:row>
    <x:row r="64" s="3" customFormat="1" ht="15.300000190734863" customHeight="1">
      <x:c r="A64" s="1132" t="str">
        <x:v>Weather Engine output -&gt; Commercial Inputs CA10 Engine Amount (audit only)</x:v>
      </x:c>
      <x:c r="B64" s="1241" t="n">
        <x:f>'Weather Risk'!$B$40</x:f>
        <x:v>18204.688900072088</x:v>
      </x:c>
      <x:c r="C64" s="1241" t="n">
        <x:f>'Commercial Inputs'!$L$14</x:f>
        <x:v>18204.688900072088</x:v>
      </x:c>
      <x:c r="D64" s="1241" t="n">
        <x:f>C64-B64</x:f>
        <x:v>0</x:v>
      </x:c>
      <x:c r="E64" s="1132" t="str">
        <x:f>IF(ABS(D64)&lt;0.01,"OK","CHECK")</x:f>
        <x:v>OK</x:v>
      </x:c>
    </x:row>
    <x:row r="65" ht="15.300000190734863" customHeight="1">
      <x:c r="A65" s="1137" t="s">
        <x:v>66</x:v>
      </x:c>
      <x:c r="B65" s="1137"/>
      <x:c r="C65" s="1137"/>
      <x:c r="D65" s="1137"/>
      <x:c r="E65" s="1137"/>
    </x:row>
    <x:row r="66" ht="15.300000190734863" customHeight="1">
      <x:c r="A66" s="1242" t="s">
        <x:v>54</x:v>
      </x:c>
      <x:c r="B66" s="1242" t="s">
        <x:v>67</x:v>
      </x:c>
      <x:c r="C66" s="1242" t="s">
        <x:v>11</x:v>
      </x:c>
      <x:c r="D66" s="1242" t="s">
        <x:v>68</x:v>
      </x:c>
      <x:c r="E66" s="1242"/>
    </x:row>
    <x:row r="67" ht="15.300000190734863" customHeight="1">
      <x:c r="A67" s="1243" t="s">
        <x:v>69</x:v>
      </x:c>
      <x:c r="B67" s="1243" t="n">
        <x:f>'Rate Verification'!B4</x:f>
        <x:v>2</x:v>
      </x:c>
      <x:c r="C67" s="1243" t="str">
        <x:f>IF(B67&gt;0,"GREEN","NONE")</x:f>
        <x:v>GREEN</x:v>
      </x:c>
      <x:c r="D67" s="1243" t="s">
        <x:v>70</x:v>
      </x:c>
      <x:c r="E67" s="1243"/>
    </x:row>
    <x:row r="68" ht="15.300000190734863" customHeight="1">
      <x:c r="A68" s="1244" t="s">
        <x:v>71</x:v>
      </x:c>
      <x:c r="B68" s="1244" t="n">
        <x:f>'Rate Verification'!B5</x:f>
        <x:v>43</x:v>
      </x:c>
      <x:c r="C68" s="1244" t="str">
        <x:f>IF(B68&gt;0,"AMBER","NONE")</x:f>
        <x:v>AMBER</x:v>
      </x:c>
      <x:c r="D68" s="1244" t="s">
        <x:v>72</x:v>
      </x:c>
      <x:c r="E68" s="1244"/>
    </x:row>
    <x:row r="69" ht="15.300000190734863" customHeight="1">
      <x:c r="A69" s="1245" t="s">
        <x:v>73</x:v>
      </x:c>
      <x:c r="B69" s="1245" t="n">
        <x:f>'Rate Verification'!F4</x:f>
        <x:v>0</x:v>
      </x:c>
      <x:c r="C69" s="1245" t="str">
        <x:f>IF(B69&gt;0,"RED","NONE")</x:f>
        <x:v>NONE</x:v>
      </x:c>
      <x:c r="D69" s="1245" t="s">
        <x:v>74</x:v>
      </x:c>
      <x:c r="E69" s="1245"/>
    </x:row>
    <x:row r="70" ht="15.300000190734863" customHeight="1">
      <x:c r="A70" s="1119" t="str">
        <x:v>Active QS items mapped to programme</x:v>
      </x:c>
      <x:c r="B70" s="1119" t="n">
        <x:f>'Estimate Review Board'!$B$16</x:f>
        <x:v>30</x:v>
      </x:c>
      <x:c r="C70" s="1119"/>
      <x:c r="D70" s="1119" t="str">
        <x:v>Checked against populated Programme Export QS codes</x:v>
      </x:c>
      <x:c r="E70" s="1119"/>
    </x:row>
    <x:row r="71" ht="44" customHeight="1">
      <x:c r="A71" s="1246" t="s">
        <x:v>75</x:v>
      </x:c>
      <x:c r="B71" s="1246" t="str">
        <x:v>RED - release blocked</x:v>
      </x:c>
      <x:c r="C71" s="1246" t="str">
        <x:v>RED</x:v>
      </x:c>
      <x:c r="D71" s="1246" t="str">
        <x:v>Hold for current technical REDs. Coast duplicate boundary is closed. Rev33 Weather CA10 is current for the present Yodha-volume /55WD tender scenario; RFI-15 resolution is a mandatory rerun trigger.</x:v>
      </x:c>
      <x:c r="E71" s="1247"/>
    </x:row>
    <x:row r="72">
      <x:c r="A72" s="1132" t="str">
        <x:v>Weather model / task factors</x:v>
      </x:c>
      <x:c r="B72" s="1132" t="str">
        <x:v>AMBER - Rev33 formula-equivalent NZ Weather Risk Estimating Tool Rev2 run: direct productivity $12,458.56, CP delay 8.829WD, time-related $5,156.13, hire $590.00, CA10 $18,204.69. EW06 PILE2 removed from Siteworks exposure; Rev17 area 2,105m2 applied to EW01/EW03.</x:v>
      </x:c>
      <x:c r="C72" s="1132" t="str">
        <x:v>AMBER - WEATHER CURRENT FOR REV29 TENDER SCENARIO</x:v>
      </x:c>
      <x:c r="D72" s="1132" t="str">
        <x:v>Rerun at confirmed start/calendar or material sequence/critical-path/Q-05/exposed-cost change</x:v>
      </x:c>
      <x:c r="E72" s="1119"/>
    </x:row>
    <x:row r="73">
      <x:c r="A73" s="1132" t="str">
        <x:v>Weather integration rerun gate</x:v>
      </x:c>
      <x:c r="B73" s="1132" t="str">
        <x:v>CURRENT FOR 01-OCT-2026 / 55WD REV33 TENDER SCENARIO. Rerun if RFI-15 changes bulk volumes, Q-05 changes concrete productivity, or actual calendar changes.</x:v>
      </x:c>
      <x:c r="C73" s="1132" t="str">
        <x:v>AMBER / CURRENT SCENARIO</x:v>
      </x:c>
      <x:c r="D73" s="1132" t="str">
        <x:v>Actual-start / material-change / Q-05 rerun trigger</x:v>
      </x:c>
      <x:c r="E73" s="1119"/>
    </x:row>
    <x:row r="74">
      <x:c r="A74" s="1136" t="str">
        <x:v>Risk Truth release gate</x:v>
      </x:c>
      <x:c r="B74" s="1136" t="str">
        <x:f>'Risk Truth'!$B$15</x:f>
        <x:v>HOLD - RED ITEMS / INTEGRATION CHECK</x:v>
      </x:c>
      <x:c r="C74" s="1136" t="str">
        <x:f>IF(LEFT(B74,4)="PASS","GREEN","RED")</x:f>
        <x:v>RED</x:v>
      </x:c>
      <x:c r="D74" s="1136" t="str">
        <x:v>PASS required for final release</x:v>
      </x:c>
      <x:c r="E74" s="1119"/>
    </x:row>
    <x:row r="75">
      <x:c r="A75" s="1134" t="str">
        <x:v>Risk Truth recalculated tender total</x:v>
      </x:c>
      <x:c r="B75" s="1248" t="n">
        <x:f>'Risk Truth'!$B$11</x:f>
        <x:v>614700.2236751751</x:v>
      </x:c>
      <x:c r="C75" s="1134" t="str">
        <x:v>INFO</x:v>
      </x:c>
      <x:c r="D75" s="1134" t="str">
        <x:v>Should equal the live tender total when Risk Truth feeds and commercial logic reconcile.</x:v>
      </x:c>
      <x:c r="E75" s="1119"/>
    </x:row>
    <x:row r="76">
      <x:c r="A76" s="1137" t="str">
        <x:v>INDEPENDENT ESTIMATE REVIEW BOARD RELEASE GATE</x:v>
      </x:c>
      <x:c r="B76" s="1137"/>
      <x:c r="C76" s="1137"/>
      <x:c r="D76" s="1137"/>
      <x:c r="E76" s="1137"/>
    </x:row>
    <x:row r="77" ht="34" customHeight="1">
      <x:c r="A77" s="1135" t="str">
        <x:v>Review Board gate</x:v>
      </x:c>
      <x:c r="B77" s="1249" t="str">
        <x:f>'Estimate Review Board'!$B$19</x:f>
        <x:v>HOLD - REV17/YODHA EARTHWORKS QUANTITY CONFLICT / RAMP-STAIRS OWNER / RETAINING DESIGN COORDINATION / PV01 CONCRETE PRODUCTIVITY / REMAINING MATERIAL INTERFACES. MANAGEMENT RESERVE DOES NOT CLOSE THESE ITEMS.</x:v>
      </x:c>
      <x:c r="C77" s="1249" t="str">
        <x:f>IF(LEFT(B77,4)="PASS",IF(ISNUMBER(SEARCH("AMBER",B77)),"AMBER","GREEN"),"RED")</x:f>
        <x:v>RED</x:v>
      </x:c>
      <x:c r="D77" s="1249" t="str">
        <x:v>PASS or PASS WITH AMBER required for release</x:v>
      </x:c>
      <x:c r="E77" s="1249"/>
    </x:row>
    <x:row r="78" ht="34" customHeight="1">
      <x:c r="A78" s="1250" t="str">
        <x:v>Active QS items fully reviewed</x:v>
      </x:c>
      <x:c r="B78" s="1251" t="str">
        <x:f>'Estimate Review Board'!$B$17&amp;" / "&amp;'Estimate Review Board'!$B$16</x:f>
        <x:v>30 / 30</x:v>
      </x:c>
      <x:c r="C78" s="1251" t="str">
        <x:f>IF('Estimate Review Board'!$B$17&lt;'Estimate Review Board'!$B$16,"RED","GREEN")</x:f>
        <x:v>GREEN</x:v>
      </x:c>
      <x:c r="D78" s="1251" t="str">
        <x:v>Every active QS item must pass all mandatory review columns</x:v>
      </x:c>
      <x:c r="E78" s="1251"/>
    </x:row>
    <x:row r="79" ht="38" customHeight="1">
      <x:c r="A79" s="1246" t="str">
        <x:v>Unresolved material findings</x:v>
      </x:c>
      <x:c r="B79" s="1136" t="str">
        <x:f>'Estimate Review Board'!$B$12&amp;" RED / "&amp;'Estimate Review Board'!$B$13&amp;" AMBER"</x:f>
        <x:v>4 RED / 7 AMBER</x:v>
      </x:c>
      <x:c r="C79" s="1136" t="str">
        <x:f>IF('Estimate Review Board'!$B$12&gt;0,"RED",IF('Estimate Review Board'!$B$13&gt;0,"AMBER","GREEN"))</x:f>
        <x:v>RED</x:v>
      </x:c>
      <x:c r="D79" s="1136" t="str">
        <x:v>RED blocks release; AMBER must be disclosed and actioned</x:v>
      </x:c>
      <x:c r="E79" s="1136"/>
    </x:row>
    <x:row r="80" ht="42" customHeight="1">
      <x:c r="A80" s="1135" t="str">
        <x:v>Reviewer independence / commitment</x:v>
      </x:c>
      <x:c r="B80" s="1249" t="str">
        <x:f>'Estimate Review Board'!$B$11&amp;" independence failures"</x:f>
        <x:v>0 independence failures</x:v>
      </x:c>
      <x:c r="C80" s="1249" t="str">
        <x:f>IF('Estimate Review Board'!$B$11&gt;0,"RED",IF(OR('Estimate Review Board'!$B$9&lt;'Estimate Review Board'!$B$7,'Estimate Review Board'!$B$10&lt;'Estimate Review Board'!$B$8,'Estimate Review Board'!$B$18&lt;&gt;"COMPLETE"),"AMBER","GREEN"))</x:f>
        <x:v>AMBER</x:v>
      </x:c>
      <x:c r="D80" s="1249" t="str">
        <x:v>Required reviewers must be blind, independent and committed before comparison</x:v>
      </x:c>
      <x:c r="E80" s="1249"/>
    </x:row>
    <x:row r="81">
      <x:c r="A81" s="1132" t="str">
        <x:v>PROGRAMME RECONCILIATION</x:v>
      </x:c>
      <x:c r="B81" s="1132"/>
      <x:c r="C81" s="1132"/>
      <x:c r="D81" s="1119"/>
      <x:c r="E81" s="1119"/>
    </x:row>
    <x:row r="82">
      <x:c r="A82" s="1132" t="str">
        <x:v>Calculated controlling path working days</x:v>
      </x:c>
      <x:c r="B82" s="1132" t="n">
        <x:v>55</x:v>
      </x:c>
      <x:c r="C82" s="1132" t="str">
        <x:v>BOARD-ADJUDICATED / DRY</x:v>
      </x:c>
      <x:c r="D82" s="1119"/>
      <x:c r="E82" s="1119"/>
    </x:row>
    <x:row r="83">
      <x:c r="A83" s="1132" t="str">
        <x:v>Tender baseline working days</x:v>
      </x:c>
      <x:c r="B83" s="1132" t="n">
        <x:v>55</x:v>
      </x:c>
      <x:c r="C83" s="1132" t="str">
        <x:v>TENDER SCENARIO</x:v>
      </x:c>
      <x:c r="D83" s="1119"/>
      <x:c r="E83" s="1119"/>
    </x:row>
    <x:row r="84">
      <x:c r="A84" s="1132" t="str">
        <x:v>Coordination float / buffer working days</x:v>
      </x:c>
      <x:c r="B84" s="1132" t="n">
        <x:v>0</x:v>
      </x:c>
      <x:c r="C84" s="1132" t="str">
        <x:v>CALCULATED</x:v>
      </x:c>
      <x:c r="D84" s="1119"/>
      <x:c r="E84" s="1119"/>
    </x:row>
    <x:row r="85">
      <x:c r="A85" s="1132" t="str">
        <x:v>Controlling path</x:v>
      </x:c>
      <x:c r="B85" s="1132" t="str">
        <x:v>ESC01 &gt; EW01 &gt; PRG-RF01 &gt; EW03 &gt; ES01 &gt; PRG-PROOF &gt; PV01 &gt; PRG-CURE &gt; PV05 &gt; RH01</x:v>
      </x:c>
      <x:c r="C85" s="1132" t="str">
        <x:v>Current Board-adjudicated task logic</x:v>
      </x:c>
      <x:c r="D85" s="1119"/>
      <x:c r="E85" s="1119"/>
    </x:row>
    <x:row r="86">
      <x:c r="A86" s="1132" t="str">
        <x:v>Programme release</x:v>
      </x:c>
      <x:c r="B86" s="1132" t="str">
        <x:v>AMBER - 55WD dry programme retained in Rev29. Confirmed 568m2 total increases PV04 placeholder to 8WD but does not move current controlling path; PV01 stays 10WD pending Q-05. Weather rerun reflects increased PV01 exposed placing labour.</x:v>
      </x:c>
      <x:c r="C86" s="1132" t="str">
        <x:v>AMBER</x:v>
      </x:c>
      <x:c r="D86" s="1119"/>
      <x:c r="E86" s="1119"/>
    </x:row>
    <x:row r="87">
      <x:c r="A87" s="1132" t="str">
        <x:v>PROGRAMME CALENDAR BASIS</x:v>
      </x:c>
      <x:c r="B87" s="1132"/>
      <x:c r="C87" s="1132"/>
      <x:c r="D87" s="1119"/>
      <x:c r="E87" s="1119"/>
    </x:row>
    <x:row r="88">
      <x:c r="A88" s="1132" t="str">
        <x:v>Tender-season assumed start</x:v>
      </x:c>
      <x:c r="B88" s="1132" t="str">
        <x:v>01-Oct-2026</x:v>
      </x:c>
      <x:c r="C88" s="1132" t="str">
        <x:v>ASSUMED</x:v>
      </x:c>
      <x:c r="D88" s="1119"/>
      <x:c r="E88" s="1119"/>
    </x:row>
    <x:row r="89">
      <x:c r="A89" s="1132" t="str">
        <x:v>Weekday-only base finish</x:v>
      </x:c>
      <x:c r="B89" s="1132" t="str">
        <x:v>16-Dec-2026</x:v>
      </x:c>
      <x:c r="C89" s="1132" t="str">
        <x:v>CALCULATED dry baseline</x:v>
      </x:c>
      <x:c r="D89" s="1119"/>
      <x:c r="E89" s="1119"/>
    </x:row>
    <x:row r="90">
      <x:c r="A90" s="1132" t="str">
        <x:v>Elapsed calendar span</x:v>
      </x:c>
      <x:c r="B90" s="1132" t="n">
        <x:v>77</x:v>
      </x:c>
      <x:c r="C90" s="1132" t="str">
        <x:v>Calendar days inclusive - dry baseline</x:v>
      </x:c>
      <x:c r="D90" s="1119"/>
      <x:c r="E90" s="1119"/>
    </x:row>
    <x:row r="91">
      <x:c r="A91" s="1132" t="str">
        <x:v>Holiday / shutdown treatment</x:v>
      </x:c>
      <x:c r="B91" s="1132" t="str">
        <x:v>Not loaded because start is unconfirmed; add confirmed non-working dates before contract programme / Weather issue.</x:v>
      </x:c>
      <x:c r="C91" s="1132" t="str">
        <x:v>AMBER</x:v>
      </x:c>
      <x:c r="D91" s="1119"/>
      <x:c r="E91" s="1119"/>
    </x:row>
    <x:row r="92">
      <x:c r="A92" s="1119"/>
      <x:c r="B92" s="1119"/>
      <x:c r="C92" s="1119"/>
      <x:c r="D92" s="1119"/>
      <x:c r="E92" s="1119"/>
    </x:row>
    <x:row r="93">
      <x:c r="A93" s="1140" t="str">
        <x:v>CONSOLIDATED PACKAGE REVIEW - REV34 / NOT FINAL TENDER</x:v>
      </x:c>
      <x:c r="B93" s="1140"/>
      <x:c r="C93" s="1140"/>
      <x:c r="D93" s="1140"/>
      <x:c r="E93" s="1140"/>
    </x:row>
    <x:row r="94" ht="27" customHeight="1">
      <x:c r="A94" s="1132" t="str">
        <x:v>Siteworks current pre-commercial</x:v>
      </x:c>
      <x:c r="B94" s="1252" t="n">
        <x:f>'Tender Build-Up'!B40</x:f>
        <x:v>474995.6273853625</x:v>
      </x:c>
      <x:c r="C94" s="1132" t="str">
        <x:v>LINKED</x:v>
      </x:c>
      <x:c r="D94" s="1132" t="str">
        <x:v>Coast PILE2 removed from Siteworks</x:v>
      </x:c>
      <x:c r="E94" s="1132" t="str">
        <x:v>Excl GST / before O/H &amp; profit</x:v>
      </x:c>
    </x:row>
    <x:row r="95" ht="27" customHeight="1">
      <x:c r="A95" s="1132" t="str">
        <x:v>Coast Concrete quoted subcontract</x:v>
      </x:c>
      <x:c r="B95" s="1252" t="n">
        <x:v>210606</x:v>
      </x:c>
      <x:c r="C95" s="1132" t="str">
        <x:v>QUOTED</x:v>
      </x:c>
      <x:c r="D95" s="1132" t="str">
        <x:v>Scope interface clarified / AMBER presentation</x:v>
      </x:c>
      <x:c r="E95" s="1132" t="str">
        <x:v>Excl GST</x:v>
      </x:c>
    </x:row>
    <x:row r="96" ht="27" customHeight="1">
      <x:c r="A96" s="1132" t="str">
        <x:v>Allied public current known</x:v>
      </x:c>
      <x:c r="B96" s="1252" t="n">
        <x:v>174758.71</x:v>
      </x:c>
      <x:c r="C96" s="1132" t="str">
        <x:v>QUOTED + CONFIRMED ADD</x:v>
      </x:c>
      <x:c r="D96" s="1132" t="str">
        <x:v>Quote1078 + $6,500 additional</x:v>
      </x:c>
      <x:c r="E96" s="1132" t="str">
        <x:v>CCTV/shields TBC</x:v>
      </x:c>
    </x:row>
    <x:row r="97" ht="27" customHeight="1">
      <x:c r="A97" s="1132" t="str">
        <x:v>Allied private allocated</x:v>
      </x:c>
      <x:c r="B97" s="1252" t="n">
        <x:v>87711.74</x:v>
      </x:c>
      <x:c r="C97" s="1132" t="str">
        <x:v>QUOTED / ALLOCATED</x:v>
      </x:c>
      <x:c r="D97" s="1132" t="str">
        <x:v>SW $41,636.34; WW $26,864.36; retaining $19,211.04</x:v>
      </x:c>
      <x:c r="E97" s="1132" t="str">
        <x:v>Attachment total governs</x:v>
      </x:c>
    </x:row>
    <x:row r="98" ht="27" customHeight="1">
      <x:c r="A98" s="1250" t="str">
        <x:v>Allied combined current known</x:v>
      </x:c>
      <x:c r="B98" s="1253" t="n">
        <x:v>262470.45</x:v>
      </x:c>
      <x:c r="C98" s="1250" t="str">
        <x:v>CALCULATED</x:v>
      </x:c>
      <x:c r="D98" s="1250" t="str">
        <x:v>Allocation reconciles</x:v>
      </x:c>
      <x:c r="E98" s="1250" t="str">
        <x:v>Excl GST</x:v>
      </x:c>
    </x:row>
    <x:row r="99" ht="27" customHeight="1">
      <x:c r="A99" s="1250" t="str">
        <x:v>Gross current known package - no Coast overlap</x:v>
      </x:c>
      <x:c r="B99" s="1253" t="n">
        <x:f>B94+B95+B98</x:f>
        <x:v>948072.0773853625</x:v>
      </x:c>
      <x:c r="C99" s="1250" t="str">
        <x:v>CALCULATED</x:v>
      </x:c>
      <x:c r="D99" s="1250" t="str">
        <x:v>Siteworks + Coast + Allied</x:v>
      </x:c>
      <x:c r="E99" s="1250" t="str">
        <x:v>HOLD / no O/H &amp; profit</x:v>
      </x:c>
    </x:row>
    <x:row r="100" ht="27" customHeight="1">
      <x:c r="A100" s="1254" t="str">
        <x:v>Confirmed Siteworks/Coast overlap</x:v>
      </x:c>
      <x:c r="B100" s="1255" t="n">
        <x:v>0</x:v>
      </x:c>
      <x:c r="C100" s="1254" t="str">
        <x:v>CLOSED</x:v>
      </x:c>
      <x:c r="D100" s="1254" t="str">
        <x:v>EW06 transferred to Coast at source</x:v>
      </x:c>
      <x:c r="E100" s="1254" t="str">
        <x:v>$0 remaining overlap</x:v>
      </x:c>
    </x:row>
    <x:row r="101" ht="27" customHeight="1">
      <x:c r="A101" s="1254" t="str">
        <x:v>Current known package after Coast reconciliation</x:v>
      </x:c>
      <x:c r="B101" s="1255" t="n">
        <x:f>B99-B100</x:f>
        <x:v>948072.0773853625</x:v>
      </x:c>
      <x:c r="C101" s="1254" t="str">
        <x:v>CALCULATED</x:v>
      </x:c>
      <x:c r="D101" s="1254" t="str">
        <x:v>Same as gross - overlap closed</x:v>
      </x:c>
      <x:c r="E101" s="1254" t="str">
        <x:v>HOLD</x:v>
      </x:c>
    </x:row>
    <x:row r="102" ht="27" customHeight="1">
      <x:c r="A102" s="1131" t="str">
        <x:v>Company O/H</x:v>
      </x:c>
      <x:c r="B102" s="1256" t="str">
        <x:v>10%</x:v>
      </x:c>
      <x:c r="C102" s="1131" t="str">
        <x:v>PROVIDED</x:v>
      </x:c>
      <x:c r="D102" s="1131" t="str">
        <x:v>Rick 11-Sep-2026</x:v>
      </x:c>
      <x:c r="E102" s="1131" t="str">
        <x:v>Applied in Siteworks tender; mirrored in consolidated working scenario</x:v>
      </x:c>
    </x:row>
    <x:row r="103" ht="27" customHeight="1">
      <x:c r="A103" s="1132" t="str">
        <x:v>Contractor profit</x:v>
      </x:c>
      <x:c r="B103" s="1132" t="str">
        <x:v>15% true margin</x:v>
      </x:c>
      <x:c r="C103" s="1132" t="str">
        <x:v>PROVIDED</x:v>
      </x:c>
      <x:c r="D103" s="1132" t="str">
        <x:v>Rick 11-Sep-2026</x:v>
      </x:c>
      <x:c r="E103" s="1132" t="str">
        <x:v>True margin, not markup</x:v>
      </x:c>
    </x:row>
    <x:row r="104" ht="68" customHeight="1">
      <x:c r="A104" s="1257" t="str">
        <x:v>Tender adjudication status</x:v>
      </x:c>
      <x:c r="B104" s="1257" t="str">
        <x:v>SUITABLE FOR TENDER ADJUDICATION</x:v>
      </x:c>
      <x:c r="C104" s="1257" t="str">
        <x:v>HOLD FOR CONTRACT-AWARD RELEASE</x:v>
      </x:c>
      <x:c r="D104" s="1257" t="str">
        <x:v>Await RFI-15 earthworks quantity authority, RFI-16 retaining design authority, ramp/stairs ownership and Q-05 PV01 placing productivity</x:v>
      </x:c>
      <x:c r="E104" s="1257" t="str">
        <x:v>Working all-in tender now $1,226,916.81 excl GST</x:v>
      </x:c>
    </x:row>
    <x:row r="105" ht="25.5" customHeight="1">
      <x:c r="A105" s="1257"/>
      <x:c r="B105" s="1257"/>
      <x:c r="C105" s="1257"/>
      <x:c r="D105" s="1257"/>
      <x:c r="E105" s="1257"/>
    </x:row>
  </x:sheetData>
  <x:mergeCells>
    <x:mergeCell ref="B43:E43"/>
    <x:mergeCell ref="B38:E38"/>
    <x:mergeCell ref="B39:E39"/>
    <x:mergeCell ref="A65:E65"/>
    <x:mergeCell ref="B42:E42"/>
    <x:mergeCell ref="B40:E40"/>
    <x:mergeCell ref="B41:E41"/>
    <x:mergeCell ref="A76:E76"/>
    <x:mergeCell ref="D77:E77"/>
    <x:mergeCell ref="D78:E78"/>
    <x:mergeCell ref="D79:E79"/>
    <x:mergeCell ref="D80:E80"/>
    <x:mergeCell ref="A55:E55"/>
    <x:mergeCell ref="B34:E34"/>
    <x:mergeCell ref="B35:E35"/>
    <x:mergeCell ref="B36:E36"/>
    <x:mergeCell ref="B37:E37"/>
    <x:mergeCell ref="A93:E93"/>
    <x:mergeCell ref="A1:E1"/>
    <x:mergeCell ref="B2:E3"/>
    <x:mergeCell ref="A11:E11"/>
  </x:mergeCells>
  <x:conditionalFormatting sqref="C77:C80">
    <x:cfRule type="expression" dxfId="33" priority="1">
      <x:formula>C77="GREEN"</x:formula>
    </x:cfRule>
    <x:cfRule type="expression" dxfId="34" priority="2">
      <x:formula>C77="AMBER"</x:formula>
    </x:cfRule>
    <x:cfRule type="expression" dxfId="35" priority="3">
      <x:formula>C77="RED"</x:formula>
    </x:cfRule>
  </x:conditionalFormatting>
  <x:dataValidations count="1">
    <x:dataValidation type="custom" allowBlank="1" showErrorMessage="1" errorTitle="Linked formula cell" error="This value is linked. Change the upstream input/source instead of overwriting this cell." sqref="B23:B33 B58:E61 B44:B52">
      <x:formula1>FALSE</x:formula1>
    </x:dataValidation>
  </x:dataValidations>
  <x:pageMargins left="0.7" right="0.7" top="0.75" bottom="0.75" header="0.3" footer="0.3"/>
</x:worksheet>
</file>

<file path=xl/worksheets/sheet3.xml><?xml version="1.0" encoding="utf-8"?>
<x:worksheet xmlns:x="http://schemas.openxmlformats.org/spreadsheetml/2006/main">
  <x:sheetFormatPr defaultRowHeight="13.800000190734863"/>
  <x:cols>
    <x:col min="1" max="1" width="14" style="1" hidden="0" customWidth="1"/>
    <x:col min="2" max="2" width="34" style="4" hidden="0" customWidth="1"/>
    <x:col min="3" max="3" width="18" style="1" hidden="0" customWidth="1"/>
    <x:col min="4" max="4" width="34" style="1" hidden="0" customWidth="1"/>
    <x:col min="5" max="5" width="28" style="1" hidden="0" customWidth="1"/>
    <x:col min="6" max="6" width="52" hidden="0" customWidth="1"/>
  </x:cols>
  <x:sheetData>
    <x:row r="1" ht="21.450000762939453" customHeight="1">
      <x:c r="A1" s="210" t="str">
        <x:v>MASTER ESTIMATE WORKBOOK - TENDER BUILD-UP - REV4 RISK TRUTH / INDEPENDENT REVIEW</x:v>
      </x:c>
      <x:c r="B1" s="211"/>
      <x:c r="C1" s="16"/>
      <x:c r="D1" s="16"/>
      <x:c r="E1" s="16"/>
    </x:row>
    <x:row r="2" ht="21.450000762939453" customHeight="1">
      <x:c r="A2" s="26"/>
      <x:c r="B2" s="38"/>
      <x:c r="C2" s="26"/>
      <x:c r="D2" s="26"/>
      <x:c r="E2" s="26"/>
    </x:row>
    <x:row r="3" s="3" customFormat="1" ht="15.300000190734863" customHeight="1">
      <x:c r="A3" s="107" t="s">
        <x:v>76</x:v>
      </x:c>
      <x:c r="B3" s="216" t="str">
        <x:v>329 Hobsonville Road Childcare Centre</x:v>
      </x:c>
      <x:c r="C3" s="217"/>
      <x:c r="D3" s="217"/>
      <x:c r="E3" s="217"/>
    </x:row>
    <x:row r="4" s="3" customFormat="1" ht="15.300000190734863" customHeight="1">
      <x:c r="A4" s="107" t="s">
        <x:v>77</x:v>
      </x:c>
      <x:c r="B4" s="216" t="str">
        <x:v>REV34E WORKING TENDER, 4.0% Management Reserve retained as a separate PROVIDED / AMBER adjudication provision. 10% OH + 15% true margin are active. Technical REDs remain open; reserve does not close them.</x:v>
      </x:c>
      <x:c r="C4" s="217"/>
      <x:c r="D4" s="217"/>
      <x:c r="E4" s="217"/>
    </x:row>
    <x:row r="5" s="3" customFormat="1" ht="15.300000190734863" customHeight="1">
      <x:c r="A5" s="107" t="s">
        <x:v>30</x:v>
      </x:c>
      <x:c r="B5" s="216" t="s">
        <x:v>78</x:v>
      </x:c>
      <x:c r="C5" s="217"/>
      <x:c r="D5" s="217"/>
      <x:c r="E5" s="217"/>
    </x:row>
    <x:row r="6" s="3" customFormat="1" ht="15.300000190734863" customHeight="1">
      <x:c r="A6" s="107" t="s">
        <x:v>79</x:v>
      </x:c>
      <x:c r="B6" s="216" t="s">
        <x:v>80</x:v>
      </x:c>
      <x:c r="C6" s="217"/>
      <x:c r="D6" s="217"/>
      <x:c r="E6" s="217"/>
    </x:row>
    <x:row r="7" ht="25.350000381469727" customHeight="1">
      <x:c r="A7" s="8" t="s">
        <x:v>81</x:v>
      </x:c>
      <x:c r="B7" s="214"/>
      <x:c r="C7" s="215"/>
      <x:c r="D7" s="215"/>
      <x:c r="E7" s="215"/>
    </x:row>
    <x:row r="8" ht="8.850000381469727" customHeight="1">
      <x:c r="A8" s="26"/>
      <x:c r="B8" s="38"/>
      <x:c r="C8" s="26"/>
      <x:c r="D8" s="26"/>
      <x:c r="E8" s="26"/>
    </x:row>
    <x:row r="9" s="3" customFormat="1" ht="17.25" customHeight="1">
      <x:c r="A9" s="32" t="str">
        <x:v>Base direct estimate</x:v>
      </x:c>
      <x:c r="B9" s="122" t="s">
        <x:v>82</x:v>
      </x:c>
      <x:c r="C9" s="32" t="s">
        <x:v>83</x:v>
      </x:c>
      <x:c r="D9" s="32" t="s">
        <x:v>84</x:v>
      </x:c>
      <x:c r="E9" s="32" t="s">
        <x:v>16</x:v>
      </x:c>
    </x:row>
    <x:row r="10" s="3" customFormat="1" ht="15.75" customHeight="1">
      <x:c r="A10" s="107" t="s">
        <x:v>85</x:v>
      </x:c>
      <x:c r="B10" s="821" t="n">
        <x:f>'QS Takeoff'!G3</x:f>
        <x:v>48403.4</x:v>
      </x:c>
      <x:c r="C10" s="107" t="s">
        <x:v>86</x:v>
      </x:c>
      <x:c r="D10" s="107" t="s">
        <x:v>87</x:v>
      </x:c>
      <x:c r="E10" s="107" t="str">
        <x:v>Linked QS section total; confirm current project scope, classification, source and firm-up action.</x:v>
      </x:c>
    </x:row>
    <x:row r="11" s="3" customFormat="1" ht="15.75" customHeight="1">
      <x:c r="A11" s="107" t="s">
        <x:v>88</x:v>
      </x:c>
      <x:c r="B11" s="821" t="n">
        <x:f>'QS Takeoff'!G12</x:f>
        <x:v>7750.143268186798</x:v>
      </x:c>
      <x:c r="C11" s="107" t="s">
        <x:v>86</x:v>
      </x:c>
      <x:c r="D11" s="107" t="s">
        <x:v>87</x:v>
      </x:c>
      <x:c r="E11" s="107" t="str">
        <x:v>Linked QS section total; confirm current project ESC scope and requirements.</x:v>
      </x:c>
    </x:row>
    <x:row r="12" s="3" customFormat="1" ht="15.75" customHeight="1">
      <x:c r="A12" s="107" t="s">
        <x:v>89</x:v>
      </x:c>
      <x:c r="B12" s="821" t="n">
        <x:f>SUM('QS Takeoff'!G13:G22)</x:f>
        <x:v>116065.18333333333</x:v>
      </x:c>
      <x:c r="C12" s="107" t="s">
        <x:v>86</x:v>
      </x:c>
      <x:c r="D12" s="107" t="s">
        <x:v>87</x:v>
      </x:c>
      <x:c r="E12" s="107" t="str">
        <x:v>Linked QS section total; confirm current project quantities, ground basis, haul and disposal assumptions.</x:v>
      </x:c>
    </x:row>
    <x:row r="13" s="3" customFormat="1" ht="15.75" customHeight="1">
      <x:c r="A13" s="107" t="s">
        <x:v>90</x:v>
      </x:c>
      <x:c r="B13" s="821" t="n">
        <x:f>0</x:f>
        <x:v>0</x:v>
      </x:c>
      <x:c r="C13" s="107" t="s">
        <x:v>86</x:v>
      </x:c>
      <x:c r="D13" s="107" t="s">
        <x:v>87</x:v>
      </x:c>
      <x:c r="E13" s="107" t="str">
        <x:v>Linked QS section total; confirm current project stormwater / detention design and supplier requirements.</x:v>
      </x:c>
    </x:row>
    <x:row r="14" s="3" customFormat="1" ht="15.75" customHeight="1">
      <x:c r="A14" s="107" t="s">
        <x:v>91</x:v>
      </x:c>
      <x:c r="B14" s="821" t="n">
        <x:f>0</x:f>
        <x:v>0</x:v>
      </x:c>
      <x:c r="C14" s="107" t="s">
        <x:v>86</x:v>
      </x:c>
      <x:c r="D14" s="107" t="s">
        <x:v>87</x:v>
      </x:c>
      <x:c r="E14" s="107" t="str">
        <x:v>Linked QS section total; confirm current project wastewater / water scope and authority interfaces.</x:v>
      </x:c>
    </x:row>
    <x:row r="15" s="3" customFormat="1" ht="15.75" customHeight="1">
      <x:c r="A15" s="107" t="s">
        <x:v>92</x:v>
      </x:c>
      <x:c r="B15" s="821" t="n">
        <x:f>SUM('QS Takeoff'!G23:G28)</x:f>
        <x:v>119034.3133332756</x:v>
      </x:c>
      <x:c r="C15" s="107" t="s">
        <x:v>86</x:v>
      </x:c>
      <x:c r="D15" s="107" t="s">
        <x:v>87</x:v>
      </x:c>
      <x:c r="E15" s="107" t="str">
        <x:v>Linked QS section total; confirm current project pavement / concrete scope and specification.</x:v>
      </x:c>
    </x:row>
    <x:row r="16" s="3" customFormat="1" ht="15.75" customHeight="1">
      <x:c r="A16" s="107" t="s">
        <x:v>93</x:v>
      </x:c>
      <x:c r="B16" s="821" t="n">
        <x:f>SUM('QS Takeoff'!G29:G32)</x:f>
        <x:v>65000</x:v>
      </x:c>
      <x:c r="C16" s="107" t="s">
        <x:v>86</x:v>
      </x:c>
      <x:c r="D16" s="107" t="s">
        <x:v>87</x:v>
      </x:c>
      <x:c r="E16" s="107" t="str">
        <x:v>Linked QS section total; confirm current project kerb / external sitework scope.</x:v>
      </x:c>
    </x:row>
    <x:row r="17" s="3" customFormat="1" ht="15.75" customHeight="1">
      <x:c r="A17" s="107" t="s">
        <x:v>94</x:v>
      </x:c>
      <x:c r="B17" s="821" t="n">
        <x:f>SUM('QS Takeoff'!G33:G37)</x:f>
        <x:v>71668.83595875</x:v>
      </x:c>
      <x:c r="C17" s="107" t="s">
        <x:v>86</x:v>
      </x:c>
      <x:c r="D17" s="107" t="s">
        <x:v>87</x:v>
      </x:c>
      <x:c r="E17" s="107" t="str">
        <x:v>Linked QS section total; confirm current project retaining-wall design, quantities and temporary works.</x:v>
      </x:c>
    </x:row>
    <x:row r="18" s="3" customFormat="1" ht="15.75" customHeight="1">
      <x:c r="A18" s="107" t="s">
        <x:v>95</x:v>
      </x:c>
      <x:c r="B18" s="821" t="n">
        <x:f>SUM('QS Takeoff'!G38:G39)</x:f>
        <x:v>4600</x:v>
      </x:c>
      <x:c r="C18" s="107" t="s">
        <x:v>86</x:v>
      </x:c>
      <x:c r="D18" s="107" t="s">
        <x:v>87</x:v>
      </x:c>
      <x:c r="E18" s="107" t="str">
        <x:v>Linked QS section total; confirm current testing, survey, as-built and compliance obligations.</x:v>
      </x:c>
    </x:row>
    <x:row r="19" s="3" customFormat="1" ht="15.75" customHeight="1">
      <x:c r="A19" s="108" t="s">
        <x:v>96</x:v>
      </x:c>
      <x:c r="B19" s="822" t="n">
        <x:f>'QS Takeoff'!G40</x:f>
        <x:v>3000</x:v>
      </x:c>
      <x:c r="C19" s="109" t="s">
        <x:v>86</x:v>
      </x:c>
      <x:c r="D19" s="108" t="s">
        <x:v>87</x:v>
      </x:c>
      <x:c r="E19" s="108" t="str">
        <x:v>Linked QS section total; confirm current reinstatement, defects and handover obligations.</x:v>
      </x:c>
    </x:row>
    <x:row r="20" s="3" customFormat="1" ht="15.75" customHeight="1">
      <x:c r="A20" s="106" t="str">
        <x:v>Base direct estimate excl. GST</x:v>
      </x:c>
      <x:c r="B20" s="823" t="n">
        <x:f>SUM(B10:B19)</x:f>
        <x:v>435521.87589354574</x:v>
      </x:c>
      <x:c r="C20" s="106"/>
      <x:c r="D20" s="106" t="s">
        <x:v>97</x:v>
      </x:c>
      <x:c r="E20" s="106" t="str">
        <x:v>Direct cost sourced from Resource Build-Up through QS Takeoff; includes measured, provisional, allowance and PC items.</x:v>
      </x:c>
    </x:row>
    <x:row r="21" ht="15.75" customHeight="1">
      <x:c r="A21" s="26"/>
      <x:c r="B21" s="824"/>
      <x:c r="C21" s="26"/>
      <x:c r="D21" s="26"/>
      <x:c r="E21" s="26"/>
    </x:row>
    <x:row r="22" s="3" customFormat="1" ht="22.049999237060547" customHeight="1">
      <x:c r="A22" s="32" t="str">
        <x:v>Pre-margin additions</x:v>
      </x:c>
      <x:c r="B22" s="825" t="s">
        <x:v>98</x:v>
      </x:c>
      <x:c r="C22" s="32" t="s">
        <x:v>99</x:v>
      </x:c>
      <x:c r="D22" s="32" t="s">
        <x:v>100</x:v>
      </x:c>
      <x:c r="E22" s="32" t="s">
        <x:v>101</x:v>
      </x:c>
    </x:row>
    <x:row r="23" ht="17.700000762939453" customHeight="1">
      <x:c r="A23" s="26" t="str">
        <x:v>CA01 - Design / scope residual risk - Risk Truth</x:v>
      </x:c>
      <x:c r="B23" s="824" t="n">
        <x:f>IF('Commercial Inputs'!$F$5&lt;&gt;"Yes",0,IF(OR('Commercial Inputs'!$C$5="Risk Engine",'Commercial Inputs'!$C$5="Weather Engine"),N('Commercial Inputs'!$L$5),IF('Commercial Inputs'!$C$5="PC Sum",N('Commercial Inputs'!$E$5),IF('Commercial Inputs'!$C$5="%",$B$20*N('Commercial Inputs'!$D$5),0))))</x:f>
        <x:v>0</x:v>
      </x:c>
      <x:c r="C23" s="26" t="str">
        <x:f>'Commercial Inputs'!C5</x:f>
        <x:v>Risk Engine</x:v>
      </x:c>
      <x:c r="D23" s="26" t="str">
        <x:f>'Commercial Inputs'!F5</x:f>
        <x:v>Yes</x:v>
      </x:c>
      <x:c r="E23" s="26" t="str">
        <x:v>CA01 defaults to Risk Truth. PC Sum or % may be selected as a stated adjudication override; Include? controls whether the selected treatment enters the tender.</x:v>
      </x:c>
    </x:row>
    <x:row r="24" ht="17.700000762939453" customHeight="1">
      <x:c r="A24" s="28" t="str">
        <x:v>CA02 - Construction / execution residual risk - Risk Truth</x:v>
      </x:c>
      <x:c r="B24" s="826" t="n">
        <x:f>IF('Commercial Inputs'!$F$6&lt;&gt;"Yes",0,IF(OR('Commercial Inputs'!$C$6="Risk Engine",'Commercial Inputs'!$C$6="Weather Engine"),N('Commercial Inputs'!$L$6),IF('Commercial Inputs'!$C$6="PC Sum",N('Commercial Inputs'!$E$6),IF('Commercial Inputs'!$C$6="%",$B$20*N('Commercial Inputs'!$D$6),0))))</x:f>
        <x:v>0</x:v>
      </x:c>
      <x:c r="C24" s="28" t="str">
        <x:f>'Commercial Inputs'!C6</x:f>
        <x:v>Risk Engine</x:v>
      </x:c>
      <x:c r="D24" s="28" t="str">
        <x:f>'Commercial Inputs'!F6</x:f>
        <x:v>Yes</x:v>
      </x:c>
      <x:c r="E24" s="28" t="str">
        <x:v>CA02 defaults to Risk Truth. PC Sum or % may be selected as a stated adjudication override; Include? controls whether the selected treatment enters the tender.</x:v>
      </x:c>
    </x:row>
    <x:row r="25" ht="17.700000762939453" customHeight="1">
      <x:c r="A25" s="28" t="str">
        <x:f>'Commercial Inputs'!A7&amp;" - "&amp;'Commercial Inputs'!B7</x:f>
        <x:v>CA03 - Escalation / tender validity allowance</x:v>
      </x:c>
      <x:c r="B25" s="826" t="n">
        <x:f>IF('Commercial Inputs'!$F$7&lt;&gt;"Yes",0,IF(OR('Commercial Inputs'!$C$7="Risk Engine",'Commercial Inputs'!$C$7="Weather Engine"),N('Commercial Inputs'!$L$7),IF('Commercial Inputs'!$C$7="PC Sum",N('Commercial Inputs'!$E$7),IF('Commercial Inputs'!$C$7="%",$B$20*N('Commercial Inputs'!$D$7),0))))</x:f>
        <x:v>0</x:v>
      </x:c>
      <x:c r="C25" s="28" t="str">
        <x:f>'Commercial Inputs'!C7</x:f>
        <x:v>%</x:v>
      </x:c>
      <x:c r="D25" s="28" t="str">
        <x:f>'Commercial Inputs'!F7</x:f>
        <x:v>No</x:v>
      </x:c>
      <x:c r="E25" s="28" t="str">
        <x:f>'Commercial Inputs'!I7</x:f>
        <x:v>Enter only where escalation is evidence-based; do not default to a generic percentage.</x:v>
      </x:c>
    </x:row>
    <x:row r="26" ht="17.700000762939453" customHeight="1">
      <x:c r="A26" s="28" t="str">
        <x:f>'Commercial Inputs'!A8&amp;" - "&amp;'Commercial Inputs'!B8</x:f>
        <x:v>CA04 - Final subcontractor quote gap / market adjustment</x:v>
      </x:c>
      <x:c r="B26" s="826" t="n">
        <x:f>IF('Commercial Inputs'!$F$8&lt;&gt;"Yes",0,IF(OR('Commercial Inputs'!$C$8="Risk Engine",'Commercial Inputs'!$C$8="Weather Engine"),N('Commercial Inputs'!$L$8),IF('Commercial Inputs'!$C$8="PC Sum",N('Commercial Inputs'!$E$8),IF('Commercial Inputs'!$C$8="%",$B$20*N('Commercial Inputs'!$D$8),0))))</x:f>
        <x:v>0</x:v>
      </x:c>
      <x:c r="C26" s="28" t="str">
        <x:f>'Commercial Inputs'!C8</x:f>
        <x:v>PC Sum</x:v>
      </x:c>
      <x:c r="D26" s="28" t="str">
        <x:f>'Commercial Inputs'!F8</x:f>
        <x:v>No</x:v>
      </x:c>
      <x:c r="E26" s="28" t="str">
        <x:f>'Commercial Inputs'!I8</x:f>
        <x:v>Use only for a distinct reconciled live-quote gap not already included in QS/PC items or Risk Truth.</x:v>
      </x:c>
    </x:row>
    <x:row r="27" ht="17.700000762939453" customHeight="1">
      <x:c r="A27" s="28" t="str">
        <x:f>'Commercial Inputs'!A9&amp;" - "&amp;'Commercial Inputs'!B9</x:f>
        <x:v>CA05 - Council / authority consent and inspection fees</x:v>
      </x:c>
      <x:c r="B27" s="826" t="n">
        <x:f>IF('Commercial Inputs'!$F$9&lt;&gt;"Yes",0,IF(OR('Commercial Inputs'!$C$9="Risk Engine",'Commercial Inputs'!$C$9="Weather Engine"),N('Commercial Inputs'!$L$9),IF('Commercial Inputs'!$C$9="PC Sum",N('Commercial Inputs'!$E$9),IF('Commercial Inputs'!$C$9="%",$B$20*N('Commercial Inputs'!$D$9),0))))</x:f>
        <x:v>0</x:v>
      </x:c>
      <x:c r="C27" s="28" t="str">
        <x:f>'Commercial Inputs'!C9</x:f>
        <x:v>PC Sum</x:v>
      </x:c>
      <x:c r="D27" s="28" t="str">
        <x:f>'Commercial Inputs'!F9</x:f>
        <x:v>No</x:v>
      </x:c>
      <x:c r="E27" s="28" t="str">
        <x:f>'Commercial Inputs'!I9</x:f>
        <x:v>Confirm contractual responsibility before inclusion.</x:v>
      </x:c>
    </x:row>
    <x:row r="28" ht="17.700000762939453" customHeight="1">
      <x:c r="A28" s="28" t="str">
        <x:f>'Commercial Inputs'!A10&amp;" - "&amp;'Commercial Inputs'!B10</x:f>
        <x:v>CA06 - Utility authority fees / relocations</x:v>
      </x:c>
      <x:c r="B28" s="826" t="n">
        <x:f>IF('Commercial Inputs'!$F$10&lt;&gt;"Yes",0,IF(OR('Commercial Inputs'!$C$10="Risk Engine",'Commercial Inputs'!$C$10="Weather Engine"),N('Commercial Inputs'!$L$10),IF('Commercial Inputs'!$C$10="PC Sum",N('Commercial Inputs'!$E$10),IF('Commercial Inputs'!$C$10="%",$B$20*N('Commercial Inputs'!$D$10),0))))</x:f>
        <x:v>0</x:v>
      </x:c>
      <x:c r="C28" s="28" t="str">
        <x:f>'Commercial Inputs'!C10</x:f>
        <x:v>PC Sum</x:v>
      </x:c>
      <x:c r="D28" s="28" t="str">
        <x:f>'Commercial Inputs'!F10</x:f>
        <x:v>No</x:v>
      </x:c>
      <x:c r="E28" s="28" t="str">
        <x:f>'Commercial Inputs'!I10</x:f>
        <x:v>Confirm contractual responsibility; physical construction scope should normally sit in QS.</x:v>
      </x:c>
    </x:row>
    <x:row r="29" ht="17.700000762939453" customHeight="1">
      <x:c r="A29" s="28" t="str">
        <x:f>'Commercial Inputs'!A11&amp;" - "&amp;'Commercial Inputs'!B11</x:f>
        <x:v>CA07 - Temporary works engineering / PS documentation</x:v>
      </x:c>
      <x:c r="B29" s="826" t="n">
        <x:f>IF('Commercial Inputs'!$F$11&lt;&gt;"Yes",0,IF(OR('Commercial Inputs'!$C$11="Risk Engine",'Commercial Inputs'!$C$11="Weather Engine"),N('Commercial Inputs'!$L$11),IF('Commercial Inputs'!$C$11="PC Sum",N('Commercial Inputs'!$E$11),IF('Commercial Inputs'!$C$11="%",$B$20*N('Commercial Inputs'!$D$11),0))))</x:f>
        <x:v>0</x:v>
      </x:c>
      <x:c r="C29" s="28" t="str">
        <x:f>'Commercial Inputs'!C11</x:f>
        <x:v>PC Sum</x:v>
      </x:c>
      <x:c r="D29" s="28" t="str">
        <x:f>'Commercial Inputs'!F11</x:f>
        <x:v>No</x:v>
      </x:c>
      <x:c r="E29" s="28" t="str">
        <x:f>'Commercial Inputs'!I11</x:f>
        <x:v>Use only for temporary-works engineering / documentation not already in direct scope.</x:v>
      </x:c>
    </x:row>
    <x:row r="30" ht="17.700000762939453" customHeight="1">
      <x:c r="A30" s="28" t="str">
        <x:v>CA08 - Abnormal ground / contamination / rock allowance</x:v>
      </x:c>
      <x:c r="B30" s="826" t="n">
        <x:f>IF('Commercial Inputs'!$F$12&lt;&gt;"Yes",0,IF(OR('Commercial Inputs'!$C$12="Risk Engine",'Commercial Inputs'!$C$12="Weather Engine"),N('Commercial Inputs'!$L$12),IF('Commercial Inputs'!$C$12="PC Sum",N('Commercial Inputs'!$E$12),IF('Commercial Inputs'!$C$12="%",$B$20*N('Commercial Inputs'!$D$12),0))))</x:f>
        <x:v>0</x:v>
      </x:c>
      <x:c r="C30" s="28" t="str">
        <x:f>'Commercial Inputs'!C12</x:f>
        <x:v>PC Sum</x:v>
      </x:c>
      <x:c r="D30" s="28" t="str">
        <x:f>'Commercial Inputs'!F12</x:f>
        <x:v>No</x:v>
      </x:c>
      <x:c r="E30" s="28" t="str">
        <x:v>No generic ground percentage. Use only an explicit evidence-based provision not more truthfully placed in QS or a specialist engine.</x:v>
      </x:c>
    </x:row>
    <x:row r="31" ht="17.700000762939453" customHeight="1">
      <x:c r="A31" s="28" t="str">
        <x:f>'Commercial Inputs'!A13&amp;" - "&amp;'Commercial Inputs'!B13</x:f>
        <x:v>CA09 - Construction dewatering / groundwater control</x:v>
      </x:c>
      <x:c r="B31" s="826" t="n">
        <x:f>IF('Commercial Inputs'!$F$13&lt;&gt;"Yes",0,IF(OR('Commercial Inputs'!$C$13="Risk Engine",'Commercial Inputs'!$C$13="Weather Engine"),N('Commercial Inputs'!$L$13),IF('Commercial Inputs'!$C$13="PC Sum",N('Commercial Inputs'!$E$13),IF('Commercial Inputs'!$C$13="%",$B$20*N('Commercial Inputs'!$D$13),0))))</x:f>
        <x:v>3000</x:v>
      </x:c>
      <x:c r="C31" s="28" t="str">
        <x:f>'Commercial Inputs'!C13</x:f>
        <x:v>PC Sum</x:v>
      </x:c>
      <x:c r="D31" s="28" t="str">
        <x:f>'Commercial Inputs'!F13</x:f>
        <x:v>Yes</x:v>
      </x:c>
      <x:c r="E31" s="28" t="str">
        <x:v>Project-specific construction water-control provision only; check overlap with Weather / Ground risk treatment.</x:v>
      </x:c>
    </x:row>
    <x:row r="32" ht="17.700000762939453" customHeight="1">
      <x:c r="A32" s="28" t="str">
        <x:f>'Commercial Inputs'!A14&amp;" - "&amp;'Commercial Inputs'!B14</x:f>
        <x:v>CA10 - Weather risk allowance - linked approved engine</x:v>
      </x:c>
      <x:c r="B32" s="826" t="n">
        <x:f>IF('Commercial Inputs'!$F$14&lt;&gt;"Yes",0,IF(OR('Commercial Inputs'!$C$14="Risk Engine",'Commercial Inputs'!$C$14="Weather Engine"),N('Commercial Inputs'!$L$14),IF('Commercial Inputs'!$C$14="PC Sum",N('Commercial Inputs'!$E$14),IF('Commercial Inputs'!$C$14="%",$B$20*N('Commercial Inputs'!$D$14),0))))</x:f>
        <x:v>18204.688900072088</x:v>
      </x:c>
      <x:c r="C32" s="28" t="str">
        <x:f>'Commercial Inputs'!C14</x:f>
        <x:v>Weather Engine</x:v>
      </x:c>
      <x:c r="D32" s="28" t="str">
        <x:f>'Commercial Inputs'!F14</x:f>
        <x:v>Yes</x:v>
      </x:c>
      <x:c r="E32" s="28" t="str">
        <x:v>CA10 defaults to Weather Engine. PC Sum or % may be selected explicitly; Include? can turn the weather allowance off while the engine output remains retained for audit.</x:v>
      </x:c>
    </x:row>
    <x:row r="33" ht="17.700000762939453" customHeight="1">
      <x:c r="A33" s="28" t="str">
        <x:f>'Commercial Inputs'!A15&amp;" - "&amp;'Commercial Inputs'!B15</x:f>
        <x:v>CA11 - Extended preliminaries beyond weather-adjusted tender baseline</x:v>
      </x:c>
      <x:c r="B33" s="826" t="n">
        <x:f>IF('Commercial Inputs'!$F$15&lt;&gt;"Yes",0,IF(OR('Commercial Inputs'!$C$15="Risk Engine",'Commercial Inputs'!$C$15="Weather Engine"),N('Commercial Inputs'!$L$15),IF('Commercial Inputs'!$C$15="PC Sum",N('Commercial Inputs'!$E$15),IF('Commercial Inputs'!$C$15="%",$B$20*N('Commercial Inputs'!$D$15),0))))</x:f>
        <x:v>0</x:v>
      </x:c>
      <x:c r="C33" s="28" t="str">
        <x:f>'Commercial Inputs'!C15</x:f>
        <x:v>PC Sum</x:v>
      </x:c>
      <x:c r="D33" s="28" t="str">
        <x:f>'Commercial Inputs'!F15</x:f>
        <x:v>No</x:v>
      </x:c>
      <x:c r="E33" s="28" t="str">
        <x:f>'Commercial Inputs'!I15</x:f>
        <x:v>Do not use for weather delay already treated through CA10. Base QS preliminaries are reconciled to the Rev21 55 dry working day tender programme.</x:v>
      </x:c>
    </x:row>
    <x:row r="34" ht="17.700000762939453" customHeight="1">
      <x:c r="A34" s="28" t="str">
        <x:f>'Commercial Inputs'!A16&amp;" - "&amp;'Commercial Inputs'!B16</x:f>
        <x:v>CA12 - Defects liability / maintenance beyond base</x:v>
      </x:c>
      <x:c r="B34" s="826" t="n">
        <x:f>IF('Commercial Inputs'!$F$16&lt;&gt;"Yes",0,IF(OR('Commercial Inputs'!$C$16="Risk Engine",'Commercial Inputs'!$C$16="Weather Engine"),N('Commercial Inputs'!$L$16),IF('Commercial Inputs'!$C$16="PC Sum",N('Commercial Inputs'!$E$16),IF('Commercial Inputs'!$C$16="%",$B$20*N('Commercial Inputs'!$D$16),0))))</x:f>
        <x:v>0</x:v>
      </x:c>
      <x:c r="C34" s="28" t="str">
        <x:f>'Commercial Inputs'!C16</x:f>
        <x:v>PC Sum</x:v>
      </x:c>
      <x:c r="D34" s="28" t="str">
        <x:f>'Commercial Inputs'!F16</x:f>
        <x:v>No</x:v>
      </x:c>
      <x:c r="E34" s="28" t="str">
        <x:v>Reasonable defects / closeout attendance is included under RH01.</x:v>
      </x:c>
    </x:row>
    <x:row r="35" ht="17.700000762939453" customHeight="1">
      <x:c r="A35" s="28" t="str">
        <x:f>'Commercial Inputs'!A17&amp;" - "&amp;'Commercial Inputs'!B17</x:f>
        <x:v>CA13 - Stakeholder liaison / access marshals beyond base</x:v>
      </x:c>
      <x:c r="B35" s="826" t="n">
        <x:f>IF('Commercial Inputs'!$F$17&lt;&gt;"Yes",0,IF(OR('Commercial Inputs'!$C$17="Risk Engine",'Commercial Inputs'!$C$17="Weather Engine"),N('Commercial Inputs'!$L$17),IF('Commercial Inputs'!$C$17="PC Sum",N('Commercial Inputs'!$E$17),IF('Commercial Inputs'!$C$17="%",$B$20*N('Commercial Inputs'!$D$17),0))))</x:f>
        <x:v>0</x:v>
      </x:c>
      <x:c r="C35" s="28" t="str">
        <x:f>'Commercial Inputs'!C17</x:f>
        <x:v>PC Sum</x:v>
      </x:c>
      <x:c r="D35" s="28" t="str">
        <x:f>'Commercial Inputs'!F17</x:f>
        <x:v>No</x:v>
      </x:c>
      <x:c r="E35" s="28" t="str">
        <x:v>Basic Siteworks traffic / pedestrian / access controls are included within the itemised PG01 preliminaries.</x:v>
      </x:c>
    </x:row>
    <x:row r="36" ht="17.700000762939453" customHeight="1">
      <x:c r="A36" s="28" t="str">
        <x:f>'Commercial Inputs'!A18&amp;" - "&amp;'Commercial Inputs'!B18</x:f>
        <x:v>CA14 - Out-of-hours / restricted access premium</x:v>
      </x:c>
      <x:c r="B36" s="826" t="n">
        <x:f>IF('Commercial Inputs'!$F$18&lt;&gt;"Yes",0,IF(OR('Commercial Inputs'!$C$18="Risk Engine",'Commercial Inputs'!$C$18="Weather Engine"),N('Commercial Inputs'!$L$18),IF('Commercial Inputs'!$C$18="PC Sum",N('Commercial Inputs'!$E$18),IF('Commercial Inputs'!$C$18="%",$B$20*N('Commercial Inputs'!$D$18),0))))</x:f>
        <x:v>0</x:v>
      </x:c>
      <x:c r="C36" s="28" t="str">
        <x:f>'Commercial Inputs'!C18</x:f>
        <x:v>PC Sum</x:v>
      </x:c>
      <x:c r="D36" s="28" t="str">
        <x:f>'Commercial Inputs'!F18</x:f>
        <x:v>No</x:v>
      </x:c>
      <x:c r="E36" s="28" t="str">
        <x:f>'Commercial Inputs'!I18</x:f>
        <x:v>Normal weekday access assumed.</x:v>
      </x:c>
    </x:row>
    <x:row r="37" ht="17.700000762939453" customHeight="1">
      <x:c r="A37" s="28" t="str">
        <x:f>'Commercial Inputs'!A19&amp;" - "&amp;'Commercial Inputs'!B19</x:f>
        <x:v>CA15 - Unforeseen post-tender client scope additions</x:v>
      </x:c>
      <x:c r="B37" s="826" t="n">
        <x:f>IF('Commercial Inputs'!$F$19&lt;&gt;"Yes",0,IF(OR('Commercial Inputs'!$C$19="Risk Engine",'Commercial Inputs'!$C$19="Weather Engine"),N('Commercial Inputs'!$L$19),IF('Commercial Inputs'!$C$19="PC Sum",N('Commercial Inputs'!$E$19),IF('Commercial Inputs'!$C$19="%",$B$20*N('Commercial Inputs'!$D$19),0))))</x:f>
        <x:v>0</x:v>
      </x:c>
      <x:c r="C37" s="28" t="str">
        <x:f>'Commercial Inputs'!C19</x:f>
        <x:v>PC Sum</x:v>
      </x:c>
      <x:c r="D37" s="28" t="str">
        <x:f>'Commercial Inputs'!F19</x:f>
        <x:v>No</x:v>
      </x:c>
      <x:c r="E37" s="28" t="str">
        <x:f>'Commercial Inputs'!I19</x:f>
        <x:v>No allowance for later scope changes.</x:v>
      </x:c>
    </x:row>
    <x:row r="38" ht="16.799999237060547" customHeight="1">
      <x:c r="A38" s="28" t="str">
        <x:f>'Commercial Inputs'!A20&amp;" - "&amp;'Commercial Inputs'!B20</x:f>
        <x:v>CA16 - Management Reserve - residual tender-stage uncertainty (adjudication)</x:v>
      </x:c>
      <x:c r="B38" s="826" t="n">
        <x:f>IF('Commercial Inputs'!$F$20&lt;&gt;"Yes",0,IF(OR('Commercial Inputs'!$C$20="Risk Engine",'Commercial Inputs'!$C$20="Weather Engine"),N('Commercial Inputs'!$L$20),IF(OR('Commercial Inputs'!$C$20="PC Sum",'Commercial Inputs'!$C$20="Fixed Amount"),N('Commercial Inputs'!$E$20),IF('Commercial Inputs'!$C$20="%",$B$20*N('Commercial Inputs'!$D$20),0))))</x:f>
        <x:v>18269.062591744714</x:v>
      </x:c>
      <x:c r="C38" s="28" t="str">
        <x:f>'Commercial Inputs'!C20</x:f>
        <x:v>Fixed Amount</x:v>
      </x:c>
      <x:c r="D38" s="28" t="str">
        <x:f>'Commercial Inputs'!F20</x:f>
        <x:v>Yes</x:v>
      </x:c>
      <x:c r="E38" s="28" t="str">
        <x:v>PROVIDED / AMBER management adjudication reserve</x:v>
      </x:c>
      <x:c r="F38" t="str">
        <x:v>4.0% of Rev33 pre-OH/profit subtotal, frozen as fixed amount. Protects aggregate residual tender-stage uncertainty only; does not close REDs or duplicate Risk Truth/Weather/PCs.</x:v>
      </x:c>
    </x:row>
    <x:row r="39" ht="16.799999237060547" customHeight="1">
      <x:c r="A39" s="28" t="s">
        <x:v>102</x:v>
      </x:c>
      <x:c r="B39" s="826" t="n">
        <x:f>SUM(B23:B38)</x:f>
        <x:v>39473.7514918168</x:v>
      </x:c>
      <x:c r="C39" s="28"/>
      <x:c r="D39" s="28"/>
      <x:c r="E39" s="28"/>
    </x:row>
    <x:row r="40" s="3" customFormat="1" ht="14.850000381469727" customHeight="1">
      <x:c r="A40" s="108" t="s">
        <x:v>103</x:v>
      </x:c>
      <x:c r="B40" s="822" t="n">
        <x:f>B20+B39</x:f>
        <x:v>474995.6273853625</x:v>
      </x:c>
      <x:c r="C40" s="109"/>
      <x:c r="D40" s="109"/>
      <x:c r="E40" s="109"/>
    </x:row>
    <x:row r="41" ht="16.350000381469727" customHeight="1">
      <x:c r="A41" s="7" t="s">
        <x:v>104</x:v>
      </x:c>
      <x:c r="B41" s="827" t="s">
        <x:v>98</x:v>
      </x:c>
      <x:c r="C41" s="10" t="s">
        <x:v>99</x:v>
      </x:c>
      <x:c r="D41" s="10" t="s">
        <x:v>100</x:v>
      </x:c>
      <x:c r="E41" s="10" t="s">
        <x:v>101</x:v>
      </x:c>
    </x:row>
    <x:row r="42" s="102" customFormat="1" ht="16.350000381469727" customHeight="1">
      <x:c r="A42" s="25" t="str">
        <x:f>'Commercial Inputs'!A21&amp;" - "&amp;'Commercial Inputs'!B21</x:f>
        <x:v>CA17 - Company overhead recovery</x:v>
      </x:c>
      <x:c r="B42" s="828" t="n">
        <x:f>IF('Commercial Inputs'!$F$21&lt;&gt;"Yes",0,IF('Commercial Inputs'!$C$21="Markup %",$B$40*N('Commercial Inputs'!$D$21),IF('Commercial Inputs'!$C$21="Fixed Amount",N('Commercial Inputs'!$E$21),0)))</x:f>
        <x:v>47499.56273853625</x:v>
      </x:c>
      <x:c r="C42" s="25" t="str">
        <x:f>'Commercial Inputs'!C21</x:f>
        <x:v>Markup %</x:v>
      </x:c>
      <x:c r="D42" s="25" t="str">
        <x:f>'Commercial Inputs'!F21</x:f>
        <x:v>Yes</x:v>
      </x:c>
      <x:c r="E42" s="25" t="str">
        <x:v>10% company overhead recovery, PROVIDED by Rick Jones 12-Sep-2026. Applied as markup to subtotal before profit.</x:v>
      </x:c>
    </x:row>
    <x:row r="43" ht="16.350000381469727" customHeight="1">
      <x:c r="A43" s="9" t="str">
        <x:f>'Commercial Inputs'!A22&amp;" - "&amp;'Commercial Inputs'!B22</x:f>
        <x:v>CA18 - Contractor profit</x:v>
      </x:c>
      <x:c r="B43" s="829" t="n">
        <x:f>IF('Commercial Inputs'!$F$22&lt;&gt;"Yes",0,IF('Commercial Inputs'!$C$22="Margin %",($B$40+$B$42+$B$44+$B$45)/(1-N('Commercial Inputs'!$D$22))-($B$40+$B$42+$B$44+$B$45),IF('Commercial Inputs'!$C$22="Markup %",($B$40+$B$42+$B$44+$B$45)*N('Commercial Inputs'!$D$22),IF('Commercial Inputs'!$C$22="Fixed Amount",N('Commercial Inputs'!$E$22),0))))</x:f>
        <x:v>92205.03355127631</x:v>
      </x:c>
      <x:c r="C43" s="9" t="str">
        <x:f>'Commercial Inputs'!C22</x:f>
        <x:v>Margin %</x:v>
      </x:c>
      <x:c r="D43" s="9" t="str">
        <x:f>'Commercial Inputs'!F22</x:f>
        <x:v>Yes</x:v>
      </x:c>
      <x:c r="E43" s="9" t="str">
        <x:v>15% contractor profit, PROVIDED by Rick Jones 12-Sep-2026. Calculated as TRUE MARGIN after overhead; not a 15% cost markup.</x:v>
      </x:c>
    </x:row>
    <x:row r="44" ht="16.350000381469727" customHeight="1">
      <x:c r="A44" s="28" t="str">
        <x:f>'Commercial Inputs'!A23&amp;" - "&amp;'Commercial Inputs'!B23</x:f>
        <x:v>CA19 - Bonds / contract securities allowance</x:v>
      </x:c>
      <x:c r="B44" s="826" t="n">
        <x:f>IF('Commercial Inputs'!$F$23&lt;&gt;"Yes",0,IF('Commercial Inputs'!$C$23="%",$B$40*N('Commercial Inputs'!$D$23),IF('Commercial Inputs'!$C$23="PC Sum",N('Commercial Inputs'!$E$23),0)))</x:f>
        <x:v>0</x:v>
      </x:c>
      <x:c r="C44" s="28" t="str">
        <x:f>'Commercial Inputs'!C23</x:f>
        <x:v>%</x:v>
      </x:c>
      <x:c r="D44" s="28" t="str">
        <x:f>'Commercial Inputs'!F23</x:f>
        <x:v>No</x:v>
      </x:c>
      <x:c r="E44" s="28" t="str">
        <x:f>'Commercial Inputs'!I23</x:f>
        <x:v>Include only where contract securities create a genuine contractor cost.</x:v>
      </x:c>
    </x:row>
    <x:row r="45" ht="16.350000381469727" customHeight="1">
      <x:c r="A45" s="28" t="str">
        <x:f>'Commercial Inputs'!A24&amp;" - "&amp;'Commercial Inputs'!B24</x:f>
        <x:v>CA20 - Retention finance / cashflow cost allowance</x:v>
      </x:c>
      <x:c r="B45" s="826" t="n">
        <x:f>IF('Commercial Inputs'!$F$24&lt;&gt;"Yes",0,IF('Commercial Inputs'!$C$24="%",$B$40*N('Commercial Inputs'!$D$24),IF('Commercial Inputs'!$C$24="PC Sum",N('Commercial Inputs'!$E$24),0)))</x:f>
        <x:v>0</x:v>
      </x:c>
      <x:c r="C45" s="28" t="str">
        <x:f>'Commercial Inputs'!C24</x:f>
        <x:v>%</x:v>
      </x:c>
      <x:c r="D45" s="28" t="str">
        <x:f>'Commercial Inputs'!F24</x:f>
        <x:v>No</x:v>
      </x:c>
      <x:c r="E45" s="28" t="str">
        <x:f>'Commercial Inputs'!I24</x:f>
        <x:v>Finance cost only; retention withholding itself is a cashflow item.</x:v>
      </x:c>
    </x:row>
    <x:row r="46" ht="16.350000381469727" customHeight="1">
      <x:c r="A46" s="28" t="s">
        <x:v>105</x:v>
      </x:c>
      <x:c r="B46" s="826" t="n">
        <x:f>SUM(B42:B45)</x:f>
        <x:v>139704.59628981256</x:v>
      </x:c>
      <x:c r="C46" s="28"/>
      <x:c r="D46" s="28"/>
      <x:c r="E46" s="28"/>
    </x:row>
    <x:row r="47" ht="16.350000381469727" customHeight="1">
      <x:c r="A47" s="7" t="s">
        <x:v>42</x:v>
      </x:c>
      <x:c r="B47" s="827" t="n">
        <x:f>B40+B46</x:f>
        <x:v>614700.2236751751</x:v>
      </x:c>
      <x:c r="C47" s="10"/>
      <x:c r="D47" s="10" t="s">
        <x:v>97</x:v>
      </x:c>
      <x:c r="E47" s="10" t="str">
        <x:v>Base direct estimate + selected pre-margin additions + commercial adjustments.</x:v>
      </x:c>
    </x:row>
    <x:row r="48" ht="16.350000381469727" customHeight="1">
      <x:c r="A48" s="7" t="s">
        <x:v>43</x:v>
      </x:c>
      <x:c r="B48" s="827" t="n">
        <x:f>IF('Commercial Inputs'!$F$25="Yes",$B$47*N('Commercial Inputs'!$D$25),0)</x:f>
        <x:v>0</x:v>
      </x:c>
      <x:c r="C48" s="10" t="s">
        <x:v>106</x:v>
      </x:c>
      <x:c r="D48" s="7" t="s">
        <x:v>107</x:v>
      </x:c>
      <x:c r="E48" s="7" t="s">
        <x:v>108</x:v>
      </x:c>
    </x:row>
    <x:row r="49" ht="16.350000381469727" customHeight="1">
      <x:c r="A49" s="7" t="s">
        <x:v>45</x:v>
      </x:c>
      <x:c r="B49" s="827" t="n">
        <x:f>B47+B48</x:f>
        <x:v>614700.2236751751</x:v>
      </x:c>
      <x:c r="C49" s="7"/>
      <x:c r="D49" s="7" t="s">
        <x:v>97</x:v>
      </x:c>
      <x:c r="E49" s="7" t="s">
        <x:v>109</x:v>
      </x:c>
    </x:row>
    <x:row r="50" ht="16.350000381469727" customHeight="1">
      <x:c r="A50" s="7"/>
      <x:c r="B50" s="827"/>
      <x:c r="C50" s="10"/>
      <x:c r="D50" s="7"/>
      <x:c r="E50" s="7"/>
    </x:row>
    <x:row r="51" ht="16.799999237060547" customHeight="1">
      <x:c r="A51" s="11" t="s">
        <x:v>110</x:v>
      </x:c>
      <x:c r="B51" s="830" t="s">
        <x:v>111</x:v>
      </x:c>
      <x:c r="C51" s="11" t="s">
        <x:v>99</x:v>
      </x:c>
      <x:c r="D51" s="11" t="s">
        <x:v>100</x:v>
      </x:c>
      <x:c r="E51" s="11" t="s">
        <x:v>16</x:v>
      </x:c>
    </x:row>
    <x:row r="52" ht="16.799999237060547" customHeight="1">
      <x:c r="A52" s="9" t="s">
        <x:v>112</x:v>
      </x:c>
      <x:c r="B52" s="829" t="n">
        <x:f>IF('Commercial Inputs'!$F$26&lt;&gt;"Yes",0,$B$47*'Commercial Inputs'!$D$26*(1-IF(AND('Commercial Inputs'!$F$28="Yes",'Commercial Inputs'!$F$29&lt;&gt;"Yes"),'Commercial Inputs'!$D$28,0)))</x:f>
        <x:v>0</x:v>
      </x:c>
      <x:c r="C52" s="9" t="s">
        <x:v>113</x:v>
      </x:c>
      <x:c r="D52" s="9" t="s">
        <x:v>114</x:v>
      </x:c>
      <x:c r="E52" s="9" t="str">
        <x:v>Retention withholding on retention-applicable contract value; deposit treatment controlled by CA25.</x:v>
      </x:c>
    </x:row>
    <x:row r="53" ht="16.799999237060547" customHeight="1">
      <x:c r="A53" s="7" t="s">
        <x:v>47</x:v>
      </x:c>
      <x:c r="B53" s="827" t="n">
        <x:f>$B$47-$B$52</x:f>
        <x:v>614700.2236751751</x:v>
      </x:c>
      <x:c r="C53" s="7" t="s">
        <x:v>115</x:v>
      </x:c>
      <x:c r="D53" s="7" t="s">
        <x:v>114</x:v>
      </x:c>
      <x:c r="E53" s="7" t="s">
        <x:v>116</x:v>
      </x:c>
    </x:row>
    <x:row r="54" ht="16.799999237060547" customHeight="1">
      <x:c r="A54" s="26" t="s">
        <x:v>117</x:v>
      </x:c>
      <x:c r="B54" s="831" t="n">
        <x:f>IF('Commercial Inputs'!$F$27="Yes",'Commercial Inputs'!$D$27,0)</x:f>
        <x:v>0</x:v>
      </x:c>
      <x:c r="C54" s="26" t="s">
        <x:v>118</x:v>
      </x:c>
      <x:c r="D54" s="26" t="s">
        <x:v>114</x:v>
      </x:c>
      <x:c r="E54" s="26" t="s">
        <x:v>119</x:v>
      </x:c>
    </x:row>
    <x:row r="55" ht="16.799999237060547" customHeight="1">
      <x:c r="A55" s="26" t="s">
        <x:v>120</x:v>
      </x:c>
      <x:c r="B55" s="831" t="n">
        <x:f>$B$52</x:f>
        <x:v>0</x:v>
      </x:c>
      <x:c r="C55" s="26" t="s">
        <x:v>115</x:v>
      </x:c>
      <x:c r="D55" s="26" t="s">
        <x:v>114</x:v>
      </x:c>
      <x:c r="E55" s="26" t="s">
        <x:v>121</x:v>
      </x:c>
    </x:row>
    <x:row r="56" ht="16.799999237060547" customHeight="1">
      <x:c r="A56" s="28" t="s">
        <x:v>122</x:v>
      </x:c>
      <x:c r="B56" s="831" t="n">
        <x:f>$B$53+$B$55</x:f>
        <x:v>614700.2236751751</x:v>
      </x:c>
      <x:c r="C56" s="26" t="s">
        <x:v>115</x:v>
      </x:c>
      <x:c r="D56" s="26" t="s">
        <x:v>114</x:v>
      </x:c>
      <x:c r="E56" s="26" t="s">
        <x:v>123</x:v>
      </x:c>
    </x:row>
    <x:row r="57" ht="16.799999237060547" customHeight="1">
      <x:c r="A57" s="28"/>
      <x:c r="B57" s="213"/>
      <x:c r="C57" s="211"/>
      <x:c r="D57" s="211"/>
      <x:c r="E57" s="211"/>
    </x:row>
    <x:row r="58" ht="21.450000762939453" customHeight="1">
      <x:c r="A58" s="9" t="s">
        <x:v>124</x:v>
      </x:c>
      <x:c r="B58" s="218"/>
      <x:c r="C58" s="211"/>
      <x:c r="D58" s="211"/>
      <x:c r="E58" s="211"/>
    </x:row>
    <x:row r="59" ht="21.450000762939453" customHeight="1">
      <x:c r="A59" s="28"/>
      <x:c r="B59" s="213"/>
      <x:c r="C59" s="211"/>
      <x:c r="D59" s="211"/>
      <x:c r="E59" s="211"/>
    </x:row>
    <x:row r="60" ht="21.450000762939453" customHeight="1">
      <x:c r="A60" s="28"/>
      <x:c r="B60" s="213"/>
      <x:c r="C60" s="211"/>
      <x:c r="D60" s="211"/>
      <x:c r="E60" s="211"/>
    </x:row>
    <x:row r="61" ht="28" customHeight="1">
      <x:c r="A61" s="873" t="str">
        <x:v>TPW TENDER RETURN MAPPING - WORKING / RECONCILED</x:v>
      </x:c>
      <x:c r="B61" s="874" t="str"/>
      <x:c r="C61" s="11" t="str"/>
      <x:c r="D61" s="11" t="str"/>
      <x:c r="E61" s="11" t="str"/>
      <x:c r="F61" s="11" t="str"/>
    </x:row>
    <x:row r="62" ht="40" customHeight="1">
      <x:c r="A62" s="905" t="str">
        <x:v>TPW Ref</x:v>
      </x:c>
      <x:c r="B62" s="906" t="str">
        <x:v>Tender return heading</x:v>
      </x:c>
      <x:c r="C62" s="907" t="str">
        <x:v>Mapped amount / source / treatment</x:v>
      </x:c>
      <x:c r="D62" s="907" t="str">
        <x:v>Source / linked basis</x:v>
      </x:c>
      <x:c r="E62" s="907" t="str">
        <x:v>Current treatment</x:v>
      </x:c>
      <x:c r="F62" s="907" t="str">
        <x:v>Notes / boundary</x:v>
      </x:c>
    </x:row>
    <x:row r="63" ht="26.399999618530273" hidden="0" customHeight="1">
      <x:c r="A63" s="28" t="str">
        <x:v>MB/001</x:v>
      </x:c>
      <x:c r="B63" s="213" t="str">
        <x:v>Excavation</x:v>
      </x:c>
      <x:c r="C63" s="884" t="n">
        <x:f>SUMIFS('QS Takeoff'!$G$3:$G$73,'QS Takeoff'!$B$3:$B$73,"EW05")+SUMIFS('QS Takeoff'!$G$3:$G$73,'QS Takeoff'!$B$3:$B$73,"EW06")+SUMIFS('QS Takeoff'!$G$3:$G$73,'QS Takeoff'!$B$3:$B$73,"EW07")</x:f>
        <x:v>15000</x:v>
      </x:c>
      <x:c r="D63" s="26" t="str">
        <x:v>EW05 + EW07; EW06 PILE2 by Coast</x:v>
      </x:c>
      <x:c r="E63" s="26" t="str">
        <x:v>Direct / PC; PILE2 subcontract transfer</x:v>
      </x:c>
      <x:c r="F63" s="26" t="str">
        <x:v>Siteworks retains pad/strip/thickening footing excavation only. Coast formal quote includes excavation of 15 P2 piles; Siteworks EW06 is $0.</x:v>
      </x:c>
    </x:row>
    <x:row r="64" ht="26.399999618530273" hidden="0" customHeight="1">
      <x:c r="A64" s="28" t="str">
        <x:v>MB/025</x:v>
      </x:c>
      <x:c r="B64" s="213" t="str">
        <x:v>Preliminaries &amp; General</x:v>
      </x:c>
      <x:c r="C64" s="884" t="n">
        <x:v>0</x:v>
      </x:c>
      <x:c r="D64" s="26" t="str">
        <x:v>Working allocation = nil</x:v>
      </x:c>
      <x:c r="E64" s="26" t="str">
        <x:v>Pending Siteworks allocation</x:v>
      </x:c>
      <x:c r="F64" s="26" t="str">
        <x:v>Shared Siteworks P&amp;G is currently carried under CW/012; redistribute only if TPW requires a building/civil split.</x:v>
      </x:c>
    </x:row>
    <x:row r="65" ht="26.399999618530273" hidden="0" customHeight="1">
      <x:c r="A65" s="26" t="str">
        <x:v>MB/026</x:v>
      </x:c>
      <x:c r="B65" s="26" t="str">
        <x:v>Margin</x:v>
      </x:c>
      <x:c r="C65" s="884" t="n">
        <x:v>0</x:v>
      </x:c>
      <x:c r="D65" s="26" t="str">
        <x:v>Working allocation = nil</x:v>
      </x:c>
      <x:c r="E65" s="26" t="str">
        <x:v>Pending Siteworks allocation</x:v>
      </x:c>
      <x:c r="F65" s="26" t="str">
        <x:v>Shared Siteworks overhead/profit is currently mapped to CW/013 when activated; redistribute only if required.</x:v>
      </x:c>
    </x:row>
    <x:row r="66" ht="26.399999618530273" hidden="0" customHeight="1">
      <x:c r="A66" s="26" t="str">
        <x:v>CW/001</x:v>
      </x:c>
      <x:c r="B66" s="26" t="str">
        <x:v>Site Preparation / Silt Fencing</x:v>
      </x:c>
      <x:c r="C66" s="884" t="n">
        <x:f>SUMIFS('QS Takeoff'!$G$3:$G$73,'QS Takeoff'!$B$3:$B$73,"ESC01")</x:f>
        <x:v>7750.143268186798</x:v>
      </x:c>
      <x:c r="D66" s="26" t="str">
        <x:v>ESC01 - measured first-principles</x:v>
      </x:c>
      <x:c r="E66" s="26" t="str">
        <x:v>Measured / calculated + AMBER procurement</x:v>
      </x:c>
      <x:c r="F66" s="26" t="str">
        <x:v>DWG231/DWG241 stamped RC: 226.3lm main fence +8.0lm return allowance, 49m2 entrance, normal maintenance/removal. Former $12k PC replaced at source.</x:v>
      </x:c>
    </x:row>
    <x:row r="67" ht="13.800000190734863" hidden="0" customHeight="1">
      <x:c r="A67" s="26" t="str">
        <x:v>CW/002</x:v>
      </x:c>
      <x:c r="B67" s="26" t="str">
        <x:v>Site Clearance / Demolition</x:v>
      </x:c>
      <x:c r="C67" s="884" t="n">
        <x:f>SUMIFS('QS Takeoff'!$G$3:$G$73,'QS Takeoff'!$B$3:$B$73,"EW01")</x:f>
        <x:v>4946.75</x:v>
      </x:c>
      <x:c r="D67" s="26" t="str">
        <x:v>EW01</x:v>
      </x:c>
      <x:c r="E67" s="26" t="str">
        <x:v>First-principles</x:v>
      </x:c>
      <x:c r="F67" s="26" t="str">
        <x:v>Surface strip current Arch Rev17 earthworks area 2,105m2.</x:v>
      </x:c>
    </x:row>
    <x:row r="68" ht="26.399999618530273" hidden="0" customHeight="1">
      <x:c r="A68" s="26" t="str">
        <x:v>CW/003</x:v>
      </x:c>
      <x:c r="B68" s="26" t="str">
        <x:v>Retaining Walls</x:v>
      </x:c>
      <x:c r="C68" s="884" t="n">
        <x:f>SUMIFS('QS Takeoff'!$G$3:$G$73,'QS Takeoff'!$B$3:$B$73,"RW01")+SUMIFS('QS Takeoff'!$G$3:$G$73,'QS Takeoff'!$B$3:$B$73,"RW02")+SUMIFS('QS Takeoff'!$G$3:$G$73,'QS Takeoff'!$B$3:$B$73,"RW03")+SUMIFS('QS Takeoff'!$G$3:$G$73,'QS Takeoff'!$B$3:$B$73,"RW04")+SUMIFS('QS Takeoff'!$G$3:$G$73,'QS Takeoff'!$B$3:$B$73,"RW05")</x:f>
        <x:v>71668.83595875</x:v>
      </x:c>
      <x:c r="D68" s="26" t="str">
        <x:v>RW01 + RW02 + RW03 + RW04 + RW05</x:v>
      </x:c>
      <x:c r="E68" s="26" t="str">
        <x:v>Measured control + PCs + in-house boring</x:v>
      </x:c>
      <x:c r="F68" s="26" t="str">
        <x:v>Keystone system, no-fines, drainage and bridging piles. Final supplier/system quote still pending.</x:v>
      </x:c>
    </x:row>
    <x:row r="69" ht="26.399999618530273" hidden="0" customHeight="1">
      <x:c r="A69" s="26" t="str">
        <x:v>CW/004</x:v>
      </x:c>
      <x:c r="B69" s="26" t="str">
        <x:v>Bulk Earthworks</x:v>
      </x:c>
      <x:c r="C69" s="884" t="n">
        <x:f>SUMIFS('QS Takeoff'!$G$3:$G$73,'QS Takeoff'!$B$3:$B$73,"EW02")+SUMIFS('QS Takeoff'!$G$3:$G$73,'QS Takeoff'!$B$3:$B$73,"EW03")+SUMIFS('QS Takeoff'!$G$3:$G$73,'QS Takeoff'!$B$3:$B$73,"EW04")+SUMIFS('QS Takeoff'!$G$3:$G$73,'QS Takeoff'!$B$3:$B$73,"EW08")+SUMIFS('QS Takeoff'!$G$3:$G$73,'QS Takeoff'!$B$3:$B$73,"EW09")+SUMIFS('QS Takeoff'!$G$3:$G$73,'QS Takeoff'!$B$3:$B$73,"EW10")</x:f>
        <x:v>96118.43333333333</x:v>
      </x:c>
      <x:c r="D69" s="26" t="str">
        <x:v>EW02 + EW03 + EW04 + EW08 + EW09 + EW10</x:v>
      </x:c>
      <x:c r="E69" s="26" t="str">
        <x:v>First-principles + PCs</x:v>
      </x:c>
      <x:c r="F69" s="26" t="str">
        <x:v>Bulk fill/final trim/OLFP/incidental disposal/import. Live volumes remain Yodha RevB pending RFI-15; Arch Rev17 1,310m3 fill /113m3 cut is a RED non-additive sensitivity.</x:v>
      </x:c>
    </x:row>
    <x:row r="70" ht="26.399999618530273" hidden="0" customHeight="1">
      <x:c r="A70" s="26" t="str">
        <x:v>CW/005</x:v>
      </x:c>
      <x:c r="B70" s="26" t="str">
        <x:v>Stormwater Drainage</x:v>
      </x:c>
      <x:c r="C70" s="884" t="n">
        <x:f>SUMIFS('QS Takeoff'!$G$3:$G$73,'QS Takeoff'!$B$3:$B$73,"ES02")+SUMIFS('QS Takeoff'!$G$3:$G$73,'QS Takeoff'!$B$3:$B$73,"ES03")</x:f>
        <x:v>47500</x:v>
      </x:c>
      <x:c r="D70" s="26" t="str">
        <x:v>ES02 + ES03</x:v>
      </x:c>
      <x:c r="E70" s="26" t="str">
        <x:v>Siteworks interfaces only</x:v>
      </x:c>
      <x:c r="F70" s="26" t="str">
        <x:v>Siteworks dish/surface channel and Allproof threshold drains only. General piped stormwater is by others.</x:v>
      </x:c>
    </x:row>
    <x:row r="71" ht="13.800000190734863" hidden="0" customHeight="1">
      <x:c r="A71" s="26" t="str">
        <x:v>CW/006</x:v>
      </x:c>
      <x:c r="B71" s="26" t="str">
        <x:v>Wastewater Drainage</x:v>
      </x:c>
      <x:c r="C71" s="884" t="n">
        <x:v>0</x:v>
      </x:c>
      <x:c r="D71" s="26" t="str">
        <x:v>By others</x:v>
      </x:c>
      <x:c r="E71" s="26" t="str">
        <x:v>Excluded from Siteworks estimate</x:v>
      </x:c>
      <x:c r="F71" s="26" t="str">
        <x:v>No Siteworks price currently carried.</x:v>
      </x:c>
    </x:row>
    <x:row r="72" ht="13.800000190734863" hidden="0" customHeight="1">
      <x:c r="A72" s="26" t="str">
        <x:v>CW/007</x:v>
      </x:c>
      <x:c r="B72" s="26" t="str">
        <x:v>Water Supply</x:v>
      </x:c>
      <x:c r="C72" s="884" t="n">
        <x:v>0</x:v>
      </x:c>
      <x:c r="D72" s="26" t="str">
        <x:v>By others</x:v>
      </x:c>
      <x:c r="E72" s="26" t="str">
        <x:v>Excluded from Siteworks estimate</x:v>
      </x:c>
      <x:c r="F72" s="26" t="str">
        <x:v>No Siteworks price currently carried.</x:v>
      </x:c>
    </x:row>
    <x:row r="73" ht="26.399999618530273" hidden="0" customHeight="1">
      <x:c r="A73" s="26" t="str">
        <x:v>CW/008</x:v>
      </x:c>
      <x:c r="B73" s="26" t="str">
        <x:v>Services Trenching</x:v>
      </x:c>
      <x:c r="C73" s="884" t="n">
        <x:f>SUMIFS('QS Takeoff'!$G$3:$G$73,'QS Takeoff'!$B$3:$B$73,"ES01")</x:f>
        <x:v>15000</x:v>
      </x:c>
      <x:c r="D73" s="26" t="str">
        <x:v>ES01</x:v>
      </x:c>
      <x:c r="E73" s="26" t="str">
        <x:v>PC / design hold</x:v>
      </x:c>
      <x:c r="F73" s="26" t="str">
        <x:v>Dry-service trenching PC only; Civil DWG311 states trench details by others.</x:v>
      </x:c>
    </x:row>
    <x:row r="74" ht="26.399999618530273" hidden="0" customHeight="1">
      <x:c r="A74" s="26" t="str">
        <x:v>CW/009</x:v>
      </x:c>
      <x:c r="B74" s="26" t="str">
        <x:v>Driveways / Car Parking / Vehicle Crossing / Pavements</x:v>
      </x:c>
      <x:c r="C74" s="884" t="n">
        <x:f>SUMIFS('QS Takeoff'!$G$3:$G$73,'QS Takeoff'!$B$3:$B$73,"PV01")+SUMIFS('QS Takeoff'!$G$3:$G$73,'QS Takeoff'!$B$3:$B$73,"PV02")+SUMIFS('QS Takeoff'!$G$3:$G$73,'QS Takeoff'!$B$3:$B$73,"PV03")+SUMIFS('QS Takeoff'!$G$3:$G$73,'QS Takeoff'!$B$3:$B$73,"PV04")+SUMIFS('QS Takeoff'!$G$3:$G$73,'QS Takeoff'!$B$3:$B$73,"PV05")+SUMIFS('QS Takeoff'!$G$3:$G$73,'QS Takeoff'!$B$3:$B$73,"PV06")</x:f>
        <x:v>119034.3133332756</x:v>
      </x:c>
      <x:c r="D74" s="26" t="str">
        <x:v>PV01 + PV02 + PV03 + PV04 + PV05 + PV06</x:v>
      </x:c>
      <x:c r="E74" s="26" t="str">
        <x:v>Measured + PC</x:v>
      </x:c>
      <x:c r="F74" s="26" t="str">
        <x:v>Internal pavement, public crossing, path/interface paving, line marking and speed controls.</x:v>
      </x:c>
    </x:row>
    <x:row r="75" ht="26.399999618530273" hidden="0" customHeight="1">
      <x:c r="A75" s="26" t="str">
        <x:v>CW/010</x:v>
      </x:c>
      <x:c r="B75" s="26" t="str">
        <x:v>Planting / Soft Landscaping</x:v>
      </x:c>
      <x:c r="C75" s="884" t="n">
        <x:v>0</x:v>
      </x:c>
      <x:c r="D75" s="26" t="str">
        <x:v>By others</x:v>
      </x:c>
      <x:c r="E75" s="26" t="str">
        <x:v>Excluded</x:v>
      </x:c>
      <x:c r="F75" s="26" t="str">
        <x:v>No general soft landscaping. OLFP shaping/grassing interface remains within CW/004 current baseline.</x:v>
      </x:c>
    </x:row>
    <x:row r="76" ht="39.599998474121094" hidden="0" customHeight="1">
      <x:c r="A76" s="26" t="str">
        <x:v>CW/011</x:v>
      </x:c>
      <x:c r="B76" s="26" t="str">
        <x:v>Fencing / Street Furniture</x:v>
      </x:c>
      <x:c r="C76" s="884" t="n">
        <x:f>SUMIFS('QS Takeoff'!$G$3:$G$73,'QS Takeoff'!$B$3:$B$73,"ES04")</x:f>
        <x:v>2500</x:v>
      </x:c>
      <x:c r="D76" s="26" t="str">
        <x:v>ES04</x:v>
      </x:c>
      <x:c r="E76" s="26" t="str">
        <x:v>PC / interface hold</x:v>
      </x:c>
      <x:c r="F76" s="26" t="str">
        <x:v>Current value is OLFP fence-opening/reinstatement only. Temporary construction fencing is RFI-13 and not added unless Siteworks-owned.</x:v>
      </x:c>
    </x:row>
    <x:row r="77" ht="39.599998474121094" hidden="0" customHeight="1">
      <x:c r="A77" s="26" t="str">
        <x:v>CW/012</x:v>
      </x:c>
      <x:c r="B77" s="26" t="str">
        <x:v>Preliminaries &amp; General</x:v>
      </x:c>
      <x:c r="C77" s="884" t="n">
        <x:f>SUMIFS('QS Takeoff'!$G$3:$G$73,'QS Takeoff'!$B$3:$B$73,"PG01")+SUMIFS('QS Takeoff'!$G$3:$G$73,'QS Takeoff'!$B$3:$B$73,"TC01")+SUMIFS('QS Takeoff'!$G$3:$G$73,'QS Takeoff'!$B$3:$B$73,"RH01")+$B$31+$B$32</x:f>
        <x:v>77208.08890007209</x:v>
      </x:c>
      <x:c r="D77" s="26" t="str">
        <x:v>PG01 + TC01 + RH01 + CA09 + CA10</x:v>
      </x:c>
      <x:c r="E77" s="26" t="str">
        <x:v>Working common-cost allocation</x:v>
      </x:c>
      <x:c r="F77" s="26" t="str">
        <x:v>Includes itemised Siteworks PG01, TC01 $4,600, RH01 $3,000, CA09 $3,000 and CA10 Weather $18,204.69. No OH/profit included.</x:v>
      </x:c>
    </x:row>
    <x:row r="78" ht="40" hidden="0" customHeight="1">
      <x:c r="A78" s="26" t="str">
        <x:v>CW/013 (SITEWORKS INTERMEDIATE)</x:v>
      </x:c>
      <x:c r="B78" s="26" t="str">
        <x:v>Siteworks OH + profit</x:v>
      </x:c>
      <x:c r="C78" s="884" t="n">
        <x:f>$B$42+$B$43</x:f>
        <x:v>139704.59628981256</x:v>
      </x:c>
      <x:c r="D78" s="26" t="str">
        <x:v>CA17 + CA18</x:v>
      </x:c>
      <x:c r="E78" s="26" t="str">
        <x:v>Formula-linked commercial allocation</x:v>
      </x:c>
      <x:c r="F78" s="26" t="str">
        <x:v>Standalone Siteworks commercial allocation only: CA17 10% company OH + CA18 15% true margin. Do not use this intermediate commercial amount as the final consolidated TPW CW/013; see the client TPW return.</x:v>
      </x:c>
    </x:row>
    <x:row r="79" ht="13.800000190734863" hidden="0" customHeight="1">
      <x:c r="A79" s="26"/>
      <x:c r="B79" s="26"/>
      <x:c r="C79" s="884"/>
      <x:c r="D79" s="26"/>
      <x:c r="E79" s="26"/>
      <x:c r="F79" s="26"/>
    </x:row>
    <x:row r="80" ht="26" hidden="0" customHeight="1">
      <x:c r="A80" s="888" t="str">
        <x:v>TPW mapping control</x:v>
      </x:c>
      <x:c r="B80" s="888" t="str"/>
      <x:c r="C80" s="895" t="str"/>
      <x:c r="D80" s="888"/>
      <x:c r="E80" s="888"/>
      <x:c r="F80" s="888"/>
    </x:row>
    <x:row r="81" ht="38" hidden="0" customHeight="1">
      <x:c r="A81" s="26" t="str">
        <x:v>Mapped TPW lines before CA16 Reserve</x:v>
      </x:c>
      <x:c r="B81" s="26"/>
      <x:c r="C81" s="884" t="n">
        <x:f>SUM(C63:C78)</x:f>
        <x:v>596431.1610834304</x:v>
      </x:c>
      <x:c r="D81" s="26" t="str">
        <x:v>Current Siteworks TPW lines before the separate management reserve</x:v>
      </x:c>
      <x:c r="E81" s="26"/>
      <x:c r="F81" s="26"/>
    </x:row>
    <x:row r="82" ht="38" hidden="0" customHeight="1">
      <x:c r="A82" s="26" t="str">
        <x:v>CA16 Management Reserve</x:v>
      </x:c>
      <x:c r="B82" s="26"/>
      <x:c r="C82" s="884" t="n">
        <x:f>$B$38</x:f>
        <x:v>18269.062591744714</x:v>
      </x:c>
      <x:c r="D82" s="26" t="str">
        <x:v>Explicit management adjudication provision</x:v>
      </x:c>
      <x:c r="E82" s="26" t="str">
        <x:v>PROVIDED / AMBER</x:v>
      </x:c>
      <x:c r="F82" s="26" t="str">
        <x:v>This $18,269.06 is the former mapping difference. TPW has no standalone Management Reserve line.</x:v>
      </x:c>
    </x:row>
    <x:row r="83" ht="38" customHeight="1">
      <x:c r="A83" s="27" t="str">
        <x:v>Mapped TPW lines incl. CA16 Reserve</x:v>
      </x:c>
      <x:c r="B83" s="27"/>
      <x:c r="C83" s="1337" t="n">
        <x:f>SUM(C81:C82)</x:f>
        <x:v>614700.2236751751</x:v>
      </x:c>
      <x:c r="D83" s="27" t="str">
        <x:v>Mapped Siteworks lines + CA16 reserve</x:v>
      </x:c>
      <x:c r="E83" s="27"/>
      <x:c r="F83" s="27"/>
    </x:row>
    <x:row r="84" ht="38" customHeight="1">
      <x:c r="A84" s="27" t="str">
        <x:v>Reconciliation difference</x:v>
      </x:c>
      <x:c r="B84" s="27"/>
      <x:c r="C84" s="27" t="n">
        <x:f>C83-$B$47</x:f>
        <x:v>0</x:v>
      </x:c>
      <x:c r="D84" s="27" t="str">
        <x:v>Difference after explicit CA16 disclosure</x:v>
      </x:c>
      <x:c r="E84" s="27" t="str">
        <x:f>IF(ABS(C84)&lt;0.01,"OK","CHECK")</x:f>
        <x:v>OK</x:v>
      </x:c>
      <x:c r="F84" s="27" t="str">
        <x:v>Must read $0.00 / OK. Final client TPW return allocates the reserve through MB/026 and CW/013.</x:v>
      </x:c>
    </x:row>
    <x:row r="85">
      <x:c r="A85" s="975" t="str">
        <x:v>SUBCONTRACT OVERLAY / COMBINED TPW WORKING MAP | REV34E</x:v>
      </x:c>
      <x:c r="B85" s="975"/>
      <x:c r="C85" s="975"/>
      <x:c r="D85" s="975"/>
      <x:c r="E85" s="975"/>
      <x:c r="F85" s="975"/>
    </x:row>
    <x:row r="86">
      <x:c r="A86" s="979" t="str">
        <x:v>TPW Ref / Control</x:v>
      </x:c>
      <x:c r="B86" s="979" t="str">
        <x:v>Heading</x:v>
      </x:c>
      <x:c r="C86" s="979" t="str">
        <x:v>Siteworks current</x:v>
      </x:c>
      <x:c r="D86" s="979" t="str">
        <x:v>Subcontract overlay</x:v>
      </x:c>
      <x:c r="E86" s="979" t="str">
        <x:v>Combined working</x:v>
      </x:c>
      <x:c r="F86" s="979" t="str">
        <x:v>Status / Notes</x:v>
      </x:c>
    </x:row>
    <x:row r="87" ht="34.5" customHeight="1">
      <x:c r="A87" s="27" t="str">
        <x:v>MB/001</x:v>
      </x:c>
      <x:c r="B87" s="27" t="str">
        <x:v>Excavation</x:v>
      </x:c>
      <x:c r="C87" s="950" t="n">
        <x:f>C63</x:f>
        <x:v>15000</x:v>
      </x:c>
      <x:c r="D87" s="950"/>
      <x:c r="E87" s="950"/>
      <x:c r="F87" s="27" t="str">
        <x:v>CLOSED - Siteworks MB001 now EW05+EW07 only; Coast P2 excavation retained inside Coast package.</x:v>
      </x:c>
    </x:row>
    <x:row r="88" ht="34.5" customHeight="1">
      <x:c r="A88" s="27" t="str">
        <x:v>MB/002</x:v>
      </x:c>
      <x:c r="B88" s="27" t="str">
        <x:v>Concrete</x:v>
      </x:c>
      <x:c r="C88" s="950" t="n">
        <x:v>0</x:v>
      </x:c>
      <x:c r="D88" s="950" t="n">
        <x:v>75202</x:v>
      </x:c>
      <x:c r="E88" s="950" t="n">
        <x:v>75202</x:v>
      </x:c>
      <x:c r="F88" s="27" t="str">
        <x:v>AMBER allocation - Coast rough breakdown: concrete supply/placement.</x:v>
      </x:c>
    </x:row>
    <x:row r="89" ht="34.5" customHeight="1">
      <x:c r="A89" s="27" t="str">
        <x:v>MB/003</x:v>
      </x:c>
      <x:c r="B89" s="27" t="str">
        <x:v>Reinforcing</x:v>
      </x:c>
      <x:c r="C89" s="950" t="n">
        <x:v>0</x:v>
      </x:c>
      <x:c r="D89" s="950" t="n">
        <x:v>28400</x:v>
      </x:c>
      <x:c r="E89" s="950" t="n">
        <x:v>28400</x:v>
      </x:c>
      <x:c r="F89" s="27" t="str">
        <x:v>AMBER allocation - Coast rough breakdown: reinforcing.</x:v>
      </x:c>
    </x:row>
    <x:row r="90" ht="34.5" customHeight="1">
      <x:c r="A90" s="27" t="str">
        <x:v>MB/Other</x:v>
      </x:c>
      <x:c r="B90" s="27" t="str">
        <x:v>Remaining Coast foundation/floor headings</x:v>
      </x:c>
      <x:c r="C90" s="950" t="n">
        <x:v>0</x:v>
      </x:c>
      <x:c r="D90" s="950" t="n">
        <x:v>107004</x:v>
      </x:c>
      <x:c r="E90" s="950" t="n">
        <x:v>107004</x:v>
      </x:c>
      <x:c r="F90" s="27" t="str">
        <x:v>AMBER grouped remainder: polystyrene/DPC, fines, blockwork/formwork, labour plus $1 rounding to quoted total.</x:v>
      </x:c>
    </x:row>
    <x:row r="91" ht="34.5" customHeight="1">
      <x:c r="A91" s="27" t="str">
        <x:v>COAST TOTAL</x:v>
      </x:c>
      <x:c r="B91" s="27" t="str">
        <x:v>Coast Concrete quote</x:v>
      </x:c>
      <x:c r="C91" s="950" t="n">
        <x:v>0</x:v>
      </x:c>
      <x:c r="D91" s="950" t="n">
        <x:v>210606</x:v>
      </x:c>
      <x:c r="E91" s="950" t="n">
        <x:f>D91</x:f>
        <x:v>210606</x:v>
      </x:c>
      <x:c r="F91" s="27" t="str">
        <x:v>CONTROL - $210,606 quote reconciled; rough components total $210,605, $1 rounding. Scope overlap closed; detailed MB heading presentation remains AMBER.</x:v>
      </x:c>
    </x:row>
    <x:row r="92" ht="34.5" customHeight="1">
      <x:c r="A92" s="27" t="str">
        <x:v>CW/001</x:v>
      </x:c>
      <x:c r="B92" s="27" t="str">
        <x:v>Site Preparation / Silt Fencing</x:v>
      </x:c>
      <x:c r="C92" s="950" t="n">
        <x:f>C66</x:f>
        <x:v>7750.143268186798</x:v>
      </x:c>
      <x:c r="D92" s="950" t="n">
        <x:v>0</x:v>
      </x:c>
      <x:c r="E92" s="950" t="n">
        <x:f>C92+D92</x:f>
        <x:v>7750.143268186798</x:v>
      </x:c>
      <x:c r="F92" s="27" t="str">
        <x:v>Siteworks only.</x:v>
      </x:c>
    </x:row>
    <x:row r="93" ht="34.5" customHeight="1">
      <x:c r="A93" s="27" t="str">
        <x:v>CW/002</x:v>
      </x:c>
      <x:c r="B93" s="27" t="str">
        <x:v>Site Clearance / Demolition</x:v>
      </x:c>
      <x:c r="C93" s="950" t="n">
        <x:f>C67</x:f>
        <x:v>4946.75</x:v>
      </x:c>
      <x:c r="D93" s="950" t="n">
        <x:v>0</x:v>
      </x:c>
      <x:c r="E93" s="950" t="n">
        <x:f>C93+D93</x:f>
        <x:v>4946.75</x:v>
      </x:c>
      <x:c r="F93" s="27" t="str">
        <x:v>Siteworks only.</x:v>
      </x:c>
    </x:row>
    <x:row r="94" ht="34.5" customHeight="1">
      <x:c r="A94" s="27" t="str">
        <x:v>CW/003</x:v>
      </x:c>
      <x:c r="B94" s="27" t="str">
        <x:v>Retaining Walls</x:v>
      </x:c>
      <x:c r="C94" s="950" t="n">
        <x:f>C68</x:f>
        <x:v>71668.83595875</x:v>
      </x:c>
      <x:c r="D94" s="950" t="n">
        <x:v>19211.04</x:v>
      </x:c>
      <x:c r="E94" s="950" t="n">
        <x:f>C94+D94</x:f>
        <x:v>90879.87595875</x:v>
      </x:c>
      <x:c r="F94" s="27" t="str">
        <x:v>Allied retaining drainage now allocated; retaining height remains RED.</x:v>
      </x:c>
    </x:row>
    <x:row r="95" ht="34.5" customHeight="1">
      <x:c r="A95" s="27" t="str">
        <x:v>CW/004</x:v>
      </x:c>
      <x:c r="B95" s="27" t="str">
        <x:v>Bulk Earthworks</x:v>
      </x:c>
      <x:c r="C95" s="950" t="n">
        <x:f>C69</x:f>
        <x:v>96118.43333333333</x:v>
      </x:c>
      <x:c r="D95" s="950" t="n">
        <x:v>0</x:v>
      </x:c>
      <x:c r="E95" s="950" t="n">
        <x:f>C95+D95</x:f>
        <x:v>96118.43333333333</x:v>
      </x:c>
      <x:c r="F95" s="27" t="str">
        <x:v>Siteworks only; Q-06/Q-10 open.</x:v>
      </x:c>
    </x:row>
    <x:row r="96" ht="34.5" customHeight="1">
      <x:c r="A96" s="27" t="str">
        <x:v>CW/005</x:v>
      </x:c>
      <x:c r="B96" s="27" t="str">
        <x:v>Stormwater Drainage</x:v>
      </x:c>
      <x:c r="C96" s="950" t="n">
        <x:f>C70</x:f>
        <x:v>47500</x:v>
      </x:c>
      <x:c r="D96" s="950" t="n">
        <x:v>216395.05</x:v>
      </x:c>
      <x:c r="E96" s="950" t="n">
        <x:f>C96+D96</x:f>
        <x:v>263895.05</x:v>
      </x:c>
      <x:c r="F96" s="27" t="str">
        <x:v>Allied public + private stormwater allocation. Public CCTV/shields remain TBC.</x:v>
      </x:c>
    </x:row>
    <x:row r="97" ht="34.5" customHeight="1">
      <x:c r="A97" s="27" t="str">
        <x:v>CW/006</x:v>
      </x:c>
      <x:c r="B97" s="27" t="str">
        <x:v>Wastewater Drainage</x:v>
      </x:c>
      <x:c r="C97" s="950" t="n">
        <x:f>C71</x:f>
        <x:v>0</x:v>
      </x:c>
      <x:c r="D97" s="950" t="n">
        <x:v>26864.36</x:v>
      </x:c>
      <x:c r="E97" s="950" t="n">
        <x:f>C97+D97</x:f>
        <x:v>26864.36</x:v>
      </x:c>
      <x:c r="F97" s="27" t="str">
        <x:v>Allied wastewater allocation incl 8 labour days.</x:v>
      </x:c>
    </x:row>
    <x:row r="98" ht="34.5" customHeight="1">
      <x:c r="A98" s="27" t="str">
        <x:v>CW/007</x:v>
      </x:c>
      <x:c r="B98" s="27" t="str">
        <x:v>Water Supply</x:v>
      </x:c>
      <x:c r="C98" s="950" t="n">
        <x:f>C72</x:f>
        <x:v>0</x:v>
      </x:c>
      <x:c r="D98" s="950" t="n">
        <x:v>0</x:v>
      </x:c>
      <x:c r="E98" s="950" t="n">
        <x:f>C98+D98</x:f>
        <x:v>0</x:v>
      </x:c>
      <x:c r="F98" s="27" t="str">
        <x:v>No Allied water package identified.</x:v>
      </x:c>
    </x:row>
    <x:row r="99" ht="34.5" customHeight="1">
      <x:c r="A99" s="27" t="str">
        <x:v>CW/008</x:v>
      </x:c>
      <x:c r="B99" s="27" t="str">
        <x:v>Services Trenching</x:v>
      </x:c>
      <x:c r="C99" s="950" t="n">
        <x:f>C73</x:f>
        <x:v>15000</x:v>
      </x:c>
      <x:c r="D99" s="950" t="n">
        <x:v>0</x:v>
      </x:c>
      <x:c r="E99" s="950" t="n">
        <x:f>C99+D99</x:f>
        <x:v>15000</x:v>
      </x:c>
      <x:c r="F99" s="27" t="str">
        <x:v>Siteworks dry-service PC.</x:v>
      </x:c>
    </x:row>
    <x:row r="100" ht="34.5" customHeight="1">
      <x:c r="A100" s="27" t="str">
        <x:v>CW/009</x:v>
      </x:c>
      <x:c r="B100" s="27" t="str">
        <x:v>Driveways / Car Parking / Vehicle Crossing / Pavements</x:v>
      </x:c>
      <x:c r="C100" s="950" t="n">
        <x:f>C74</x:f>
        <x:v>119034.3133332756</x:v>
      </x:c>
      <x:c r="D100" s="950" t="n">
        <x:v>0</x:v>
      </x:c>
      <x:c r="E100" s="950" t="n">
        <x:f>C100+D100</x:f>
        <x:v>119034.3133332756</x:v>
      </x:c>
      <x:c r="F100" s="27" t="str">
        <x:v>Siteworks; Q-05 concrete RED.</x:v>
      </x:c>
    </x:row>
    <x:row r="101" ht="34.5" customHeight="1">
      <x:c r="A101" s="27" t="str">
        <x:v>CW/010</x:v>
      </x:c>
      <x:c r="B101" s="27" t="str">
        <x:v>Planting / Soft Landscaping</x:v>
      </x:c>
      <x:c r="C101" s="950" t="n">
        <x:f>C75</x:f>
        <x:v>0</x:v>
      </x:c>
      <x:c r="D101" s="950" t="n">
        <x:v>0</x:v>
      </x:c>
      <x:c r="E101" s="950" t="n">
        <x:f>C101+D101</x:f>
        <x:v>0</x:v>
      </x:c>
      <x:c r="F101" s="27" t="str">
        <x:v>By others / excluded.</x:v>
      </x:c>
    </x:row>
    <x:row r="102" ht="34.5" customHeight="1">
      <x:c r="A102" s="27" t="str">
        <x:v>CW/011</x:v>
      </x:c>
      <x:c r="B102" s="27" t="str">
        <x:v>Fencing / Street Furniture</x:v>
      </x:c>
      <x:c r="C102" s="950" t="n">
        <x:f>C76</x:f>
        <x:v>2500</x:v>
      </x:c>
      <x:c r="D102" s="950" t="n">
        <x:v>0</x:v>
      </x:c>
      <x:c r="E102" s="950" t="n">
        <x:f>C102+D102</x:f>
        <x:v>2500</x:v>
      </x:c>
      <x:c r="F102" s="27" t="str">
        <x:v>Siteworks OLFP interface only.</x:v>
      </x:c>
    </x:row>
    <x:row r="103" ht="34.5" customHeight="1">
      <x:c r="A103" s="27" t="str">
        <x:v>CW/012</x:v>
      </x:c>
      <x:c r="B103" s="27" t="str">
        <x:v>Preliminaries &amp; General</x:v>
      </x:c>
      <x:c r="C103" s="950" t="n">
        <x:f>C77</x:f>
        <x:v>77208.08890007209</x:v>
      </x:c>
      <x:c r="D103" s="950" t="n">
        <x:v>0</x:v>
      </x:c>
      <x:c r="E103" s="950" t="n">
        <x:f>C103+D103</x:f>
        <x:v>77208.08890007209</x:v>
      </x:c>
      <x:c r="F103" s="27" t="str">
        <x:v>Siteworks common costs.</x:v>
      </x:c>
    </x:row>
    <x:row r="104" ht="34.5" customHeight="1">
      <x:c r="A104" s="27" t="str">
        <x:v>CW/013</x:v>
      </x:c>
      <x:c r="B104" s="27" t="str">
        <x:v>Margin</x:v>
      </x:c>
      <x:c r="C104" s="950" t="n">
        <x:f>C78</x:f>
        <x:v>139704.59628981256</x:v>
      </x:c>
      <x:c r="D104" s="950" t="n">
        <x:v>0</x:v>
      </x:c>
      <x:c r="E104" s="950" t="n">
        <x:f>C104+D104</x:f>
        <x:v>139704.59628981256</x:v>
      </x:c>
      <x:c r="F104" s="27" t="str">
        <x:v>O/H/profit still OFF.</x:v>
      </x:c>
    </x:row>
    <x:row r="105" ht="34.5" customHeight="1">
      <x:c r="A105" s="27" t="str">
        <x:v>CIVIL TOTAL</x:v>
      </x:c>
      <x:c r="B105" s="27" t="str">
        <x:v>Civil pre-commercial working total</x:v>
      </x:c>
      <x:c r="C105" s="950" t="n">
        <x:f>SUM(C92:C103)</x:f>
        <x:v>441726.5647936178</x:v>
      </x:c>
      <x:c r="D105" s="950" t="n">
        <x:v>262470.45</x:v>
      </x:c>
      <x:c r="E105" s="950" t="n">
        <x:f>C105+D105</x:f>
        <x:v>704197.0147936179</x:v>
      </x:c>
      <x:c r="F105" s="27" t="str">
        <x:v>Siteworks Civil + Allied. Before O/H/profit.</x:v>
      </x:c>
    </x:row>
    <x:row r="106" ht="34.5" customHeight="1">
      <x:c r="A106" s="27" t="str">
        <x:v>PACKAGE GROSS</x:v>
      </x:c>
      <x:c r="B106" s="27" t="str">
        <x:v>Siteworks + Coast + Allied known total</x:v>
      </x:c>
      <x:c r="C106" s="950" t="n">
        <x:f>'Summary'!B47</x:f>
        <x:v>614700.2236751751</x:v>
      </x:c>
      <x:c r="D106" s="950" t="n">
        <x:f>D91+D105</x:f>
        <x:v>473076.45</x:v>
      </x:c>
      <x:c r="E106" s="950" t="n">
        <x:f>C106+D106</x:f>
        <x:v>1087776.673675175</x:v>
      </x:c>
      <x:c r="F106" s="27" t="str">
        <x:v>HOLD - before Coast overlap / O/H / profit.</x:v>
      </x:c>
    </x:row>
  </x:sheetData>
  <x:mergeCells>
    <x:mergeCell ref="B64:E64"/>
    <x:mergeCell ref="B7:E7"/>
    <x:mergeCell ref="B59:E59"/>
    <x:mergeCell ref="A1:B1"/>
    <x:mergeCell ref="B3:E3"/>
    <x:mergeCell ref="B5:E5"/>
    <x:mergeCell ref="B60:E60"/>
    <x:mergeCell ref="B63:E63"/>
    <x:mergeCell ref="B61:E61"/>
    <x:mergeCell ref="B57:E57"/>
    <x:mergeCell ref="B4:E4"/>
    <x:mergeCell ref="B58:E58"/>
    <x:mergeCell ref="B6:E6"/>
    <x:mergeCell ref="B62:E62"/>
    <x:mergeCell ref="A61:F61"/>
    <x:mergeCell ref="A80:F80"/>
    <x:mergeCell ref="C62:E62"/>
    <x:mergeCell ref="A85:F85"/>
  </x:mergeCells>
  <x:conditionalFormatting sqref="C83:C83">
    <x:cfRule type="expression" dxfId="39" priority="1">
      <x:formula>ABS(C83)&gt;0.01</x:formula>
    </x:cfRule>
    <x:cfRule type="expression" dxfId="40" priority="2">
      <x:formula>ABS(C83)&lt;=0.01</x:formula>
    </x:cfRule>
  </x:conditionalFormatting>
  <x:dataValidations count="2">
    <x:dataValidation type="custom" allowBlank="1" showErrorMessage="1" errorTitle="Linked formula cell" error="This value is formula-controlled. Change the upstream source/input instead." sqref="A23:A31 A33:A38">
      <x:formula1>FALSE</x:formula1>
    </x:dataValidation>
    <x:dataValidation type="custom" allowBlank="1" showErrorMessage="1" errorTitle="Linked formula cell" error="This value is linked. Change the upstream input/source instead of overwriting this cell." sqref="A43:A45 A23:A38 C43:E45 C23:E38 B52:B56 B43:B49 B23:B40 B10:B20">
      <x:formula1>FALSE</x:formula1>
    </x:dataValidation>
  </x:dataValidations>
  <x:pageMargins left="0.7" right="0.7" top="0.75" bottom="0.75" header="0.3" footer="0.3"/>
</x:worksheet>
</file>

<file path=xl/worksheets/sheet4.xml><?xml version="1.0" encoding="utf-8"?>
<x:worksheet xmlns:x="http://schemas.openxmlformats.org/spreadsheetml/2006/main">
  <x:sheetFormatPr defaultRowHeight="13.800000190734863"/>
  <x:cols>
    <x:col min="1" max="1" width="12" style="3" customWidth="1"/>
    <x:col min="2" max="2" width="60.5" style="3" customWidth="1"/>
    <x:col min="3" max="3" width="14" style="3" customWidth="1"/>
    <x:col min="4" max="4" width="12" style="3" customWidth="1"/>
    <x:col min="5" max="5" width="16" style="3" customWidth="1"/>
    <x:col min="6" max="6" width="12" style="3" customWidth="1"/>
    <x:col min="7" max="7" width="20" style="3" customWidth="1"/>
    <x:col min="8" max="8" width="30" style="3" customWidth="1"/>
    <x:col min="9" max="9" width="88.59765625" style="3" customWidth="1"/>
    <x:col min="10" max="10" width="58.5" style="3" customWidth="1"/>
    <x:col min="11" max="11" width="30" style="3" customWidth="1"/>
    <x:col min="12" max="16384" width="8.796875" style="3" customWidth="0"/>
    <x:col min="12" max="12" width="20" hidden="0" customWidth="1"/>
    <x:col min="13" max="13" width="44" hidden="0" customWidth="1"/>
  </x:cols>
  <x:sheetData>
    <x:row r="1" ht="22.950000762939453" customHeight="1">
      <x:c r="A1" s="210" t="s">
        <x:v>125</x:v>
      </x:c>
      <x:c r="B1" s="208"/>
      <x:c r="C1" s="208"/>
      <x:c r="D1" s="135"/>
      <x:c r="E1" s="135"/>
      <x:c r="F1" s="135"/>
      <x:c r="G1" s="135"/>
      <x:c r="H1" s="135" t="str">
        <x:v>Profit method</x:v>
      </x:c>
      <x:c r="I1" s="135" t="str">
        <x:f>C22</x:f>
        <x:v>Margin %</x:v>
      </x:c>
      <x:c r="J1" s="135"/>
      <x:c r="K1" s="135"/>
    </x:row>
    <x:row r="2" ht="21.149999618530273" customHeight="1">
      <x:c r="A2" s="106"/>
      <x:c r="B2" s="106"/>
      <x:c r="C2" s="106"/>
      <x:c r="D2" s="106"/>
      <x:c r="E2" s="106"/>
      <x:c r="F2" s="106"/>
      <x:c r="G2" s="106"/>
      <x:c r="H2" s="106" t="str">
        <x:v>CA18 method (linked)</x:v>
      </x:c>
      <x:c r="I2" s="140" t="str">
        <x:f>IF(C22="Margin %","Margin",IF(C22="Markup %","Markup",IF(C22="Fixed Amount","Fixed Amount",C22)))</x:f>
        <x:v>Margin</x:v>
      </x:c>
      <x:c r="J2" s="30" t="str">
        <x:v>The calculation method is selected in column C. There is no second profit-method selector.</x:v>
      </x:c>
      <x:c r="K2" s="106"/>
    </x:row>
    <x:row r="3" ht="29.700000762939453" customHeight="1">
      <x:c r="A3" s="223" t="str">
        <x:v>CA01/CA02: Risk Engine, PC Sum or %. CA10: Weather Engine, PC Sum or %. Other pre-margin allowances: PC Sum or %. Column F Include? is the on/off switch. Engine outputs remain live in column L even when another method is selected, preserving the audit trail.</x:v>
      </x:c>
      <x:c r="B3" s="224"/>
      <x:c r="C3" s="224"/>
      <x:c r="D3" s="224"/>
      <x:c r="E3" s="224"/>
      <x:c r="F3" s="224"/>
      <x:c r="G3" s="224"/>
      <x:c r="H3" s="224"/>
      <x:c r="I3" s="106"/>
      <x:c r="J3" s="106"/>
      <x:c r="K3" s="106"/>
    </x:row>
    <x:row r="4" ht="21.450000762939453" customHeight="1">
      <x:c r="A4" s="32" t="s">
        <x:v>126</x:v>
      </x:c>
      <x:c r="B4" s="32" t="s">
        <x:v>127</x:v>
      </x:c>
      <x:c r="C4" s="32" t="s">
        <x:v>128</x:v>
      </x:c>
      <x:c r="D4" s="32" t="s">
        <x:v>129</x:v>
      </x:c>
      <x:c r="E4" s="32" t="s">
        <x:v>130</x:v>
      </x:c>
      <x:c r="F4" s="32" t="s">
        <x:v>100</x:v>
      </x:c>
      <x:c r="G4" s="32" t="s">
        <x:v>131</x:v>
      </x:c>
      <x:c r="H4" s="32" t="s">
        <x:v>132</x:v>
      </x:c>
      <x:c r="I4" s="32" t="s">
        <x:v>133</x:v>
      </x:c>
      <x:c r="J4" s="32" t="s">
        <x:v>134</x:v>
      </x:c>
      <x:c r="K4" s="32" t="s">
        <x:v>135</x:v>
      </x:c>
      <x:c r="L4" s="739" t="str">
        <x:v>Engine Amount excl. GST</x:v>
      </x:c>
      <x:c r="M4" s="739" t="str">
        <x:v>Engine Source / Status</x:v>
      </x:c>
    </x:row>
    <x:row r="5" ht="21.450000762939453" customHeight="1">
      <x:c r="A5" s="107" t="s">
        <x:v>136</x:v>
      </x:c>
      <x:c r="B5" s="107" t="str">
        <x:v>Design / scope residual risk - Risk Truth linked</x:v>
      </x:c>
      <x:c r="C5" s="735" t="str">
        <x:v>Risk Engine</x:v>
      </x:c>
      <x:c r="D5" s="688"/>
      <x:c r="E5" s="689"/>
      <x:c r="F5" s="110" t="str">
        <x:v>Yes</x:v>
      </x:c>
      <x:c r="G5" s="107" t="s">
        <x:v>137</x:v>
      </x:c>
      <x:c r="H5" s="107" t="str">
        <x:f>IF(C5="Risk Engine","Uses linked Risk Truth engine amount in L5",IF(C5="Weather Engine","Uses linked Weather Risk amount in L5",IF(C5="PC Sum","Uses manual PC Sum in E5",IF(C5="%","Uses Input % in D5 against base direct cost","CHECK METHOD"))))</x:f>
        <x:v>Uses linked Risk Truth engine amount in L5</x:v>
      </x:c>
      <x:c r="I5" s="110" t="str">
        <x:v>Residual design/scope risk only where the consequence cannot be more truthfully placed in Resource Build-Up/QS or a specialist engine.</x:v>
      </x:c>
      <x:c r="J5" s="110" t="str">
        <x:v>Close Risk Truth RED items and confirm residual is distinct / integration complete.</x:v>
      </x:c>
      <x:c r="K5" s="107" t="str">
        <x:f>IF(F5&lt;&gt;"Yes",C5&amp;" - OFF",C5)</x:f>
        <x:v>Risk Engine</x:v>
      </x:c>
      <x:c r="L5" s="742" t="n">
        <x:f>'Risk Truth'!$B$12</x:f>
        <x:v>0</x:v>
      </x:c>
      <x:c r="M5" s="27" t="str">
        <x:v>Risk Truth CA01 design/scope residual</x:v>
      </x:c>
    </x:row>
    <x:row r="6" ht="21.450000762939453" customHeight="1">
      <x:c r="A6" s="107" t="s">
        <x:v>138</x:v>
      </x:c>
      <x:c r="B6" s="107" t="str">
        <x:v>Construction / execution residual risk - Risk Truth linked</x:v>
      </x:c>
      <x:c r="C6" s="735" t="str">
        <x:v>Risk Engine</x:v>
      </x:c>
      <x:c r="D6" s="688"/>
      <x:c r="E6" s="689"/>
      <x:c r="F6" s="110" t="str">
        <x:v>Yes</x:v>
      </x:c>
      <x:c r="G6" s="107" t="s">
        <x:v>137</x:v>
      </x:c>
      <x:c r="H6" s="107" t="str">
        <x:f>IF(C6="Risk Engine","Uses linked Risk Truth engine amount in L6",IF(C6="Weather Engine","Uses linked Weather Risk amount in L6",IF(C6="PC Sum","Uses manual PC Sum in E6",IF(C6="%","Uses Input % in D6 against base direct cost","CHECK METHOD"))))</x:f>
        <x:v>Uses linked Risk Truth engine amount in L6</x:v>
      </x:c>
      <x:c r="I6" s="110" t="str">
        <x:v>Residual construction/execution risk only where the consequence cannot be more truthfully placed in Resource Build-Up/QS or a specialist engine.</x:v>
      </x:c>
      <x:c r="J6" s="110" t="str">
        <x:v>Close Risk Truth RED items and confirm residual is distinct / integration complete.</x:v>
      </x:c>
      <x:c r="K6" s="107" t="str">
        <x:f>IF(F6&lt;&gt;"Yes",C6&amp;" - OFF",C6)</x:f>
        <x:v>Risk Engine</x:v>
      </x:c>
      <x:c r="L6" s="742" t="n">
        <x:f>'Risk Truth'!$B$13</x:f>
        <x:v>0</x:v>
      </x:c>
      <x:c r="M6" s="27" t="str">
        <x:v>Risk Truth CA02 construction/execution residual</x:v>
      </x:c>
    </x:row>
    <x:row r="7" ht="21.450000762939453" customHeight="1">
      <x:c r="A7" s="107" t="s">
        <x:v>139</x:v>
      </x:c>
      <x:c r="B7" s="107" t="s">
        <x:v>140</x:v>
      </x:c>
      <x:c r="C7" s="735" t="str">
        <x:v>%</x:v>
      </x:c>
      <x:c r="D7" s="136" t="n">
        <x:v>0</x:v>
      </x:c>
      <x:c r="E7" s="137"/>
      <x:c r="F7" s="110" t="str">
        <x:v>No</x:v>
      </x:c>
      <x:c r="G7" s="107" t="s">
        <x:v>137</x:v>
      </x:c>
      <x:c r="H7" s="107" t="str">
        <x:f>IF(C7="Risk Engine","Uses linked Risk Truth engine amount in L7",IF(C7="Weather Engine","Uses linked Weather Risk amount in L7",IF(C7="PC Sum","Uses manual PC Sum in E7",IF(C7="%","Uses Input % in D7 against base direct cost","CHECK METHOD"))))</x:f>
        <x:v>Uses Input % in D7 against base direct cost</x:v>
      </x:c>
      <x:c r="I7" s="110" t="str">
        <x:v>Enter only where escalation is evidence-based; do not default to a generic percentage.</x:v>
      </x:c>
      <x:c r="J7" s="110" t="s">
        <x:v>141</x:v>
      </x:c>
      <x:c r="K7" s="107" t="str">
        <x:f>IF(F7&lt;&gt;"Yes",C7&amp;" - OFF",C7)</x:f>
        <x:v>% - OFF</x:v>
      </x:c>
      <x:c r="L7" s="742" t="n">
        <x:v>0</x:v>
      </x:c>
      <x:c r="M7" s="27" t="str">
        <x:v>No specialist engine linked - select PC Sum or %</x:v>
      </x:c>
    </x:row>
    <x:row r="8" ht="21.450000762939453" customHeight="1">
      <x:c r="A8" s="107" t="s">
        <x:v>142</x:v>
      </x:c>
      <x:c r="B8" s="107" t="s">
        <x:v>143</x:v>
      </x:c>
      <x:c r="C8" s="735" t="str">
        <x:v>PC Sum</x:v>
      </x:c>
      <x:c r="D8" s="136"/>
      <x:c r="E8" s="137"/>
      <x:c r="F8" s="110" t="str">
        <x:v>No</x:v>
      </x:c>
      <x:c r="G8" s="107" t="s">
        <x:v>137</x:v>
      </x:c>
      <x:c r="H8" s="107" t="str">
        <x:f>IF(C8="Risk Engine","Uses linked Risk Truth engine amount in L8",IF(C8="Weather Engine","Uses linked Weather Risk amount in L8",IF(C8="PC Sum","Uses manual PC Sum in E8",IF(C8="%","Uses Input % in D8 against base direct cost","CHECK METHOD"))))</x:f>
        <x:v>Uses manual PC Sum in E8</x:v>
      </x:c>
      <x:c r="I8" s="110" t="str">
        <x:v>Use only for a distinct reconciled live-quote gap not already included in QS/PC items or Risk Truth.</x:v>
      </x:c>
      <x:c r="J8" s="110" t="str">
        <x:v>Use only after Q-01 to Q-10 quote returns are reconciled and a distinct uncovered market gap remains.</x:v>
      </x:c>
      <x:c r="K8" s="107" t="str">
        <x:f>IF(F8&lt;&gt;"Yes",C8&amp;" - OFF",C8)</x:f>
        <x:v>PC Sum - OFF</x:v>
      </x:c>
      <x:c r="L8" s="742" t="n">
        <x:v>0</x:v>
      </x:c>
      <x:c r="M8" s="27" t="str">
        <x:v>No specialist engine linked - select PC Sum or %</x:v>
      </x:c>
    </x:row>
    <x:row r="9" ht="21.450000762939453" customHeight="1">
      <x:c r="A9" s="138" t="s">
        <x:v>144</x:v>
      </x:c>
      <x:c r="B9" s="138" t="s">
        <x:v>145</x:v>
      </x:c>
      <x:c r="C9" s="735" t="str">
        <x:v>PC Sum</x:v>
      </x:c>
      <x:c r="D9" s="136"/>
      <x:c r="E9" s="137"/>
      <x:c r="F9" s="110" t="str">
        <x:v>No</x:v>
      </x:c>
      <x:c r="G9" s="138" t="s">
        <x:v>137</x:v>
      </x:c>
      <x:c r="H9" s="138" t="str">
        <x:f>IF(C9="Risk Engine","Uses linked Risk Truth engine amount in L9",IF(C9="Weather Engine","Uses linked Weather Risk amount in L9",IF(C9="PC Sum","Uses manual PC Sum in E9",IF(C9="%","Uses Input % in D9 against base direct cost","CHECK METHOD"))))</x:f>
        <x:v>Uses manual PC Sum in E9</x:v>
      </x:c>
      <x:c r="I9" s="138" t="str">
        <x:v>Confirm contractual responsibility before inclusion.</x:v>
      </x:c>
      <x:c r="J9" s="110" t="s">
        <x:v>146</x:v>
      </x:c>
      <x:c r="K9" s="107" t="str">
        <x:f>IF(F9&lt;&gt;"Yes",C9&amp;" - OFF",C9)</x:f>
        <x:v>PC Sum - OFF</x:v>
      </x:c>
      <x:c r="L9" s="742" t="n">
        <x:v>0</x:v>
      </x:c>
      <x:c r="M9" s="27" t="str">
        <x:v>No specialist engine linked - select PC Sum or %</x:v>
      </x:c>
    </x:row>
    <x:row r="10" ht="21.450000762939453" customHeight="1">
      <x:c r="A10" s="138" t="s">
        <x:v>147</x:v>
      </x:c>
      <x:c r="B10" s="138" t="s">
        <x:v>148</x:v>
      </x:c>
      <x:c r="C10" s="735" t="str">
        <x:v>PC Sum</x:v>
      </x:c>
      <x:c r="D10" s="136"/>
      <x:c r="E10" s="137"/>
      <x:c r="F10" s="110" t="str">
        <x:v>No</x:v>
      </x:c>
      <x:c r="G10" s="138" t="s">
        <x:v>137</x:v>
      </x:c>
      <x:c r="H10" s="138" t="str">
        <x:f>IF(C10="Risk Engine","Uses linked Risk Truth engine amount in L10",IF(C10="Weather Engine","Uses linked Weather Risk amount in L10",IF(C10="PC Sum","Uses manual PC Sum in E10",IF(C10="%","Uses Input % in D10 against base direct cost","CHECK METHOD"))))</x:f>
        <x:v>Uses manual PC Sum in E10</x:v>
      </x:c>
      <x:c r="I10" s="138" t="str">
        <x:v>Confirm contractual responsibility; physical construction scope should normally sit in QS.</x:v>
      </x:c>
      <x:c r="J10" s="110" t="s">
        <x:v>149</x:v>
      </x:c>
      <x:c r="K10" s="107" t="str">
        <x:f>IF(F10&lt;&gt;"Yes",C10&amp;" - OFF",C10)</x:f>
        <x:v>PC Sum - OFF</x:v>
      </x:c>
      <x:c r="L10" s="742" t="n">
        <x:v>0</x:v>
      </x:c>
      <x:c r="M10" s="27" t="str">
        <x:v>No specialist engine linked - select PC Sum or %</x:v>
      </x:c>
    </x:row>
    <x:row r="11" ht="21.450000762939453" customHeight="1">
      <x:c r="A11" s="138" t="s">
        <x:v>150</x:v>
      </x:c>
      <x:c r="B11" s="138" t="s">
        <x:v>151</x:v>
      </x:c>
      <x:c r="C11" s="735" t="str">
        <x:v>PC Sum</x:v>
      </x:c>
      <x:c r="D11" s="136"/>
      <x:c r="E11" s="137"/>
      <x:c r="F11" s="110" t="str">
        <x:v>No</x:v>
      </x:c>
      <x:c r="G11" s="138" t="s">
        <x:v>137</x:v>
      </x:c>
      <x:c r="H11" s="138" t="str">
        <x:f>IF(C11="Risk Engine","Uses linked Risk Truth engine amount in L11",IF(C11="Weather Engine","Uses linked Weather Risk amount in L11",IF(C11="PC Sum","Uses manual PC Sum in E11",IF(C11="%","Uses Input % in D11 against base direct cost","CHECK METHOD"))))</x:f>
        <x:v>Uses manual PC Sum in E11</x:v>
      </x:c>
      <x:c r="I11" s="138" t="str">
        <x:v>Use only for temporary-works engineering / documentation not already in direct scope.</x:v>
      </x:c>
      <x:c r="J11" s="110" t="s">
        <x:v>152</x:v>
      </x:c>
      <x:c r="K11" s="107" t="str">
        <x:f>IF(F11&lt;&gt;"Yes",C11&amp;" - OFF",C11)</x:f>
        <x:v>PC Sum - OFF</x:v>
      </x:c>
      <x:c r="L11" s="742" t="n">
        <x:v>0</x:v>
      </x:c>
      <x:c r="M11" s="27" t="str">
        <x:v>No specialist engine linked - select PC Sum or %</x:v>
      </x:c>
    </x:row>
    <x:row r="12" ht="21.450000762939453" customHeight="1">
      <x:c r="A12" s="139" t="s">
        <x:v>153</x:v>
      </x:c>
      <x:c r="B12" s="139" t="s">
        <x:v>154</x:v>
      </x:c>
      <x:c r="C12" s="735" t="str">
        <x:v>PC Sum</x:v>
      </x:c>
      <x:c r="D12" s="136" t="n">
        <x:v>0</x:v>
      </x:c>
      <x:c r="E12" s="137"/>
      <x:c r="F12" s="110" t="str">
        <x:v>No</x:v>
      </x:c>
      <x:c r="G12" s="139" t="s">
        <x:v>137</x:v>
      </x:c>
      <x:c r="H12" s="139" t="str">
        <x:f>IF(C12="Risk Engine","Uses linked Risk Truth engine amount in L12",IF(C12="Weather Engine","Uses linked Weather Risk amount in L12",IF(C12="PC Sum","Uses manual PC Sum in E12",IF(C12="%","Uses Input % in D12 against base direct cost","CHECK METHOD"))))</x:f>
        <x:v>Uses manual PC Sum in E12</x:v>
      </x:c>
      <x:c r="I12" s="139" t="str">
        <x:v>Do not use as a generic ground-risk percentage. Quantifiable ground consequences belong in QS or an approved specialist risk treatment.</x:v>
      </x:c>
      <x:c r="J12" s="110" t="s">
        <x:v>155</x:v>
      </x:c>
      <x:c r="K12" s="107" t="str">
        <x:f>IF(F12&lt;&gt;"Yes",C12&amp;" - OFF",C12)</x:f>
        <x:v>PC Sum - OFF</x:v>
      </x:c>
      <x:c r="L12" s="742" t="n">
        <x:v>0</x:v>
      </x:c>
      <x:c r="M12" s="27" t="str">
        <x:v>No specialist engine linked - select PC Sum or %</x:v>
      </x:c>
    </x:row>
    <x:row r="13" ht="21.450000762939453" customHeight="1">
      <x:c r="A13" s="107" t="s">
        <x:v>156</x:v>
      </x:c>
      <x:c r="B13" s="107" t="s">
        <x:v>157</x:v>
      </x:c>
      <x:c r="C13" s="735" t="str">
        <x:v>PC Sum</x:v>
      </x:c>
      <x:c r="D13" s="136"/>
      <x:c r="E13" s="137" t="n">
        <x:v>3000</x:v>
      </x:c>
      <x:c r="F13" s="110" t="str">
        <x:v>Yes</x:v>
      </x:c>
      <x:c r="G13" s="107" t="s">
        <x:v>137</x:v>
      </x:c>
      <x:c r="H13" s="107" t="str">
        <x:f>IF(C13="Risk Engine","Uses linked Risk Truth engine amount in L13",IF(C13="Weather Engine","Uses linked Weather Risk amount in L13",IF(C13="PC Sum","Uses manual PC Sum in E13",IF(C13="%","Uses Input % in D13 against base direct cost","CHECK METHOD"))))</x:f>
        <x:v>Uses manual PC Sum in E13</x:v>
      </x:c>
      <x:c r="I13" s="110" t="str">
        <x:v>Construction water / dewatering PC pending final programme/groundwater conditions. Distinct from normal weather CA10.</x:v>
      </x:c>
      <x:c r="J13" s="110" t="str">
        <x:v>Firm methodology after earthworks programme and site conditions are confirmed.</x:v>
      </x:c>
      <x:c r="K13" s="107" t="str">
        <x:f>IF(F13&lt;&gt;"Yes",C13&amp;" - OFF",C13)</x:f>
        <x:v>PC Sum</x:v>
      </x:c>
      <x:c r="L13" s="742" t="n">
        <x:v>0</x:v>
      </x:c>
      <x:c r="M13" s="27" t="str">
        <x:v>No specialist engine linked - select PC Sum or %</x:v>
      </x:c>
    </x:row>
    <x:row r="14" ht="42" customHeight="1">
      <x:c r="A14" s="139" t="str">
        <x:v>CA10</x:v>
      </x:c>
      <x:c r="B14" s="139" t="str">
        <x:v>Weather risk allowance - linked approved engine</x:v>
      </x:c>
      <x:c r="C14" s="735" t="str">
        <x:v>Weather Engine</x:v>
      </x:c>
      <x:c r="D14" s="590"/>
      <x:c r="E14" s="586" t="n">
        <x:v>18000</x:v>
      </x:c>
      <x:c r="F14" s="110" t="str">
        <x:v>Yes</x:v>
      </x:c>
      <x:c r="G14" s="139" t="str">
        <x:v>Pre-margin addition</x:v>
      </x:c>
      <x:c r="H14" s="139" t="str">
        <x:f>IF(C14="Risk Engine","Uses linked Risk Truth engine amount in L14",IF(C14="Weather Engine","Uses linked Weather Risk amount in L14",IF(C14="PC Sum","Uses manual PC Sum in E14",IF(C14="%","Uses Input % in D14 against base direct cost","CHECK METHOD"))))</x:f>
        <x:v>Uses linked Weather Risk amount in L14</x:v>
      </x:c>
      <x:c r="I14" s="139" t="str">
        <x:v>Current Weather Risk basis: Rev17 earthworks area 2,105m2 and Coast PILE2 scope transfer integrated; 55WD critical path unchanged. CA10 receives $18,204.69.</x:v>
      </x:c>
      <x:c r="J14" s="110" t="str">
        <x:v>Rerun for RFI-15 bulk-earthworks quantity resolution, Q-05 productivity, actual start/calendar or other weather-exposed resource change.</x:v>
      </x:c>
      <x:c r="K14" s="107" t="str">
        <x:v>Weather Engine - AMBER / CURRENT TENDER SCENARIO</x:v>
      </x:c>
      <x:c r="L14" s="742" t="n">
        <x:v>18204.688900072088</x:v>
      </x:c>
      <x:c r="M14" s="27" t="str">
        <x:v>Current formula-equivalent Rev2 weather run: 01-Oct-2026 / 55WD / CA10 $18,204.69</x:v>
      </x:c>
    </x:row>
    <x:row r="15" ht="42" customHeight="1">
      <x:c r="A15" s="107" t="s">
        <x:v>158</x:v>
      </x:c>
      <x:c r="B15" s="107" t="str">
        <x:v>Extended preliminaries beyond weather-adjusted tender baseline</x:v>
      </x:c>
      <x:c r="C15" s="735" t="str">
        <x:v>PC Sum</x:v>
      </x:c>
      <x:c r="D15" s="136"/>
      <x:c r="E15" s="137"/>
      <x:c r="F15" s="110" t="s">
        <x:v>159</x:v>
      </x:c>
      <x:c r="G15" s="107" t="s">
        <x:v>137</x:v>
      </x:c>
      <x:c r="H15" s="107" t="str">
        <x:f>IF(C15="Risk Engine","Uses linked Risk Truth engine amount in L15",IF(C15="Weather Engine","Uses linked Weather Risk amount in L15",IF(C15="PC Sum","Uses manual PC Sum in E15",IF(C15="%","Uses Input % in D15 against base direct cost","CHECK METHOD"))))</x:f>
        <x:v>Uses manual PC Sum in E15</x:v>
      </x:c>
      <x:c r="I15" s="110" t="str">
        <x:v>Do not use for weather delay already treated through CA10. Base QS preliminaries are reconciled to the Rev21 55 dry working day tender programme.</x:v>
      </x:c>
      <x:c r="J15" s="110" t="str">
        <x:v>Add only for non-weather instructed extension or revised contract programme after checking CA10 overlap.</x:v>
      </x:c>
      <x:c r="K15" s="107" t="str">
        <x:f>IF(F15&lt;&gt;"Yes",C15&amp;" - OFF",C15)</x:f>
        <x:v>PC Sum - OFF</x:v>
      </x:c>
      <x:c r="L15" s="742" t="n">
        <x:v>0</x:v>
      </x:c>
      <x:c r="M15" s="27" t="str">
        <x:v>No specialist engine linked - select PC Sum or %</x:v>
      </x:c>
    </x:row>
    <x:row r="16" ht="21.450000762939453" customHeight="1">
      <x:c r="A16" s="139" t="s">
        <x:v>160</x:v>
      </x:c>
      <x:c r="B16" s="139" t="s">
        <x:v>161</x:v>
      </x:c>
      <x:c r="C16" s="735" t="str">
        <x:v>PC Sum</x:v>
      </x:c>
      <x:c r="D16" s="136"/>
      <x:c r="E16" s="137"/>
      <x:c r="F16" s="110" t="s">
        <x:v>159</x:v>
      </x:c>
      <x:c r="G16" s="139" t="s">
        <x:v>137</x:v>
      </x:c>
      <x:c r="H16" s="139" t="str">
        <x:f>IF(C16="Risk Engine","Uses linked Risk Truth engine amount in L16",IF(C16="Weather Engine","Uses linked Weather Risk amount in L16",IF(C16="PC Sum","Uses manual PC Sum in E16",IF(C16="%","Uses Input % in D16 against base direct cost","CHECK METHOD"))))</x:f>
        <x:v>Uses manual PC Sum in E16</x:v>
      </x:c>
      <x:c r="I16" s="139" t="str">
        <x:v>Reasonable defects / closeout attendance is carried in RH01.</x:v>
      </x:c>
      <x:c r="J16" s="110" t="s">
        <x:v>162</x:v>
      </x:c>
      <x:c r="K16" s="107" t="str">
        <x:f>IF(F16&lt;&gt;"Yes",C16&amp;" - OFF",C16)</x:f>
        <x:v>PC Sum - OFF</x:v>
      </x:c>
      <x:c r="L16" s="742" t="n">
        <x:v>0</x:v>
      </x:c>
      <x:c r="M16" s="27" t="str">
        <x:v>No specialist engine linked - select PC Sum or %</x:v>
      </x:c>
    </x:row>
    <x:row r="17" ht="21.450000762939453" customHeight="1">
      <x:c r="A17" s="107" t="s">
        <x:v>163</x:v>
      </x:c>
      <x:c r="B17" s="107" t="s">
        <x:v>164</x:v>
      </x:c>
      <x:c r="C17" s="735" t="str">
        <x:v>PC Sum</x:v>
      </x:c>
      <x:c r="D17" s="136"/>
      <x:c r="E17" s="137"/>
      <x:c r="F17" s="110" t="s">
        <x:v>159</x:v>
      </x:c>
      <x:c r="G17" s="107" t="s">
        <x:v>137</x:v>
      </x:c>
      <x:c r="H17" s="107" t="str">
        <x:f>IF(C17="Risk Engine","Uses linked Risk Truth engine amount in L17",IF(C17="Weather Engine","Uses linked Weather Risk amount in L17",IF(C17="PC Sum","Uses manual PC Sum in E17",IF(C17="%","Uses Input % in D17 against base direct cost","CHECK METHOD"))))</x:f>
        <x:v>Uses manual PC Sum in E17</x:v>
      </x:c>
      <x:c r="I17" s="110" t="str">
        <x:v>Basic Siteworks traffic / pedestrian / access controls are carried within the itemised PG01 preliminaries.</x:v>
      </x:c>
      <x:c r="J17" s="110" t="s">
        <x:v>165</x:v>
      </x:c>
      <x:c r="K17" s="107" t="str">
        <x:f>IF(F17&lt;&gt;"Yes",C17&amp;" - OFF",C17)</x:f>
        <x:v>PC Sum - OFF</x:v>
      </x:c>
      <x:c r="L17" s="742" t="n">
        <x:v>0</x:v>
      </x:c>
      <x:c r="M17" s="27" t="str">
        <x:v>No specialist engine linked - select PC Sum or %</x:v>
      </x:c>
    </x:row>
    <x:row r="18" ht="21.450000762939453" customHeight="1">
      <x:c r="A18" s="107" t="s">
        <x:v>166</x:v>
      </x:c>
      <x:c r="B18" s="107" t="s">
        <x:v>167</x:v>
      </x:c>
      <x:c r="C18" s="735" t="str">
        <x:v>PC Sum</x:v>
      </x:c>
      <x:c r="D18" s="136"/>
      <x:c r="E18" s="137"/>
      <x:c r="F18" s="110" t="s">
        <x:v>159</x:v>
      </x:c>
      <x:c r="G18" s="107" t="s">
        <x:v>137</x:v>
      </x:c>
      <x:c r="H18" s="107" t="str">
        <x:f>IF(C18="Risk Engine","Uses linked Risk Truth engine amount in L18",IF(C18="Weather Engine","Uses linked Weather Risk amount in L18",IF(C18="PC Sum","Uses manual PC Sum in E18",IF(C18="%","Uses Input % in D18 against base direct cost","CHECK METHOD"))))</x:f>
        <x:v>Uses manual PC Sum in E18</x:v>
      </x:c>
      <x:c r="I18" s="110" t="s">
        <x:v>168</x:v>
      </x:c>
      <x:c r="J18" s="110" t="s">
        <x:v>169</x:v>
      </x:c>
      <x:c r="K18" s="107" t="str">
        <x:f>IF(F18&lt;&gt;"Yes",C18&amp;" - OFF",C18)</x:f>
        <x:v>PC Sum - OFF</x:v>
      </x:c>
      <x:c r="L18" s="742" t="n">
        <x:v>0</x:v>
      </x:c>
      <x:c r="M18" s="27" t="str">
        <x:v>No specialist engine linked - select PC Sum or %</x:v>
      </x:c>
    </x:row>
    <x:row r="19" ht="21.450000762939453" customHeight="1">
      <x:c r="A19" s="107" t="s">
        <x:v>170</x:v>
      </x:c>
      <x:c r="B19" s="107" t="s">
        <x:v>171</x:v>
      </x:c>
      <x:c r="C19" s="735" t="str">
        <x:v>PC Sum</x:v>
      </x:c>
      <x:c r="D19" s="136"/>
      <x:c r="E19" s="137"/>
      <x:c r="F19" s="110" t="s">
        <x:v>159</x:v>
      </x:c>
      <x:c r="G19" s="107" t="s">
        <x:v>137</x:v>
      </x:c>
      <x:c r="H19" s="107" t="str">
        <x:f>IF(C19="Risk Engine","Uses linked Risk Truth engine amount in L19",IF(C19="Weather Engine","Uses linked Weather Risk amount in L19",IF(C19="PC Sum","Uses manual PC Sum in E19",IF(C19="%","Uses Input % in D19 against base direct cost","CHECK METHOD"))))</x:f>
        <x:v>Uses manual PC Sum in E19</x:v>
      </x:c>
      <x:c r="I19" s="110" t="s">
        <x:v>172</x:v>
      </x:c>
      <x:c r="J19" s="110" t="s">
        <x:v>173</x:v>
      </x:c>
      <x:c r="K19" s="107" t="str">
        <x:f>IF(F19&lt;&gt;"Yes",C19&amp;" - OFF",C19)</x:f>
        <x:v>PC Sum - OFF</x:v>
      </x:c>
      <x:c r="L19" s="742" t="n">
        <x:v>0</x:v>
      </x:c>
      <x:c r="M19" s="27" t="str">
        <x:v>No specialist engine linked - select PC Sum or %</x:v>
      </x:c>
    </x:row>
    <x:row r="20" ht="21.450000762939453" customHeight="1">
      <x:c r="A20" s="107" t="s">
        <x:v>174</x:v>
      </x:c>
      <x:c r="B20" s="107" t="str">
        <x:v>Management Reserve - residual tender-stage uncertainty (adjudication)</x:v>
      </x:c>
      <x:c r="C20" s="735" t="str">
        <x:v>Fixed Amount</x:v>
      </x:c>
      <x:c r="D20" s="141" t="n">
        <x:v>0.04</x:v>
      </x:c>
      <x:c r="E20" s="1006" t="n">
        <x:v>18269.062591744714</x:v>
      </x:c>
      <x:c r="F20" s="110" t="str">
        <x:v>Yes</x:v>
      </x:c>
      <x:c r="G20" s="107" t="str">
        <x:v>Pre-margin adjudication provision</x:v>
      </x:c>
      <x:c r="H20" s="107" t="str">
        <x:f>IF(C20="Fixed Amount","Uses fixed management reserve in E20",IF(C20="Risk Engine","Uses linked Risk Truth engine amount in L20",IF(C20="Weather Engine","Uses linked Weather Risk amount in L20",IF(C20="PC Sum","Uses manual PC Sum in E20",IF(C20="%","Uses Input % in D20 against base direct cost","CHECK METHOD")))))</x:f>
        <x:v>Uses fixed management reserve in E20</x:v>
      </x:c>
      <x:c r="I20" s="110" t="str">
        <x:v>PROVIDED management reserve selected at tender adjudication. Purpose: protect the tender against aggregate residual tender-stage uncertainty and unknown-unknowns that remain after known/measurable scope, PCs, quoted packages, Weather Risk and Risk Truth treatments have already been allowed. It is not a Risk Truth contingency and does not close or downgrade any RED item.</x:v>
      </x:c>
      <x:c r="J20" s="110" t="str">
        <x:v>Reassess whenever a RED is resolved, a material scope/quantity/rate changes, or before contract award. If an exposure becomes measurable, price the actual consequence in the correct cost line and reassess the reserve rather than automatically consuming it.</x:v>
      </x:c>
      <x:c r="K20" s="107" t="str">
        <x:v>Fixed Amount - PROVIDED / AMBER / 4.0% ADJUDICATION BASIS</x:v>
      </x:c>
      <x:c r="L20" s="742" t="n">
        <x:v>0</x:v>
      </x:c>
      <x:c r="M20" s="27" t="str">
        <x:v>Rick Jones approved 4.0% Management Reserve 11-Sep-2026. Fixed at 4.0% of Rev33 pre-OH/profit subtotal $456,726.56 = $18,269.06. Estimated sell/tender effect after current OH/margin = $22,421.12. Separate from CA01/CA02 Risk Truth.</x:v>
      </x:c>
    </x:row>
    <x:row r="21" ht="21.450000762939453" customHeight="1">
      <x:c r="A21" s="107" t="s">
        <x:v>175</x:v>
      </x:c>
      <x:c r="B21" s="107" t="s">
        <x:v>176</x:v>
      </x:c>
      <x:c r="C21" s="735" t="str">
        <x:v>Markup %</x:v>
      </x:c>
      <x:c r="D21" s="141" t="n">
        <x:v>0.1</x:v>
      </x:c>
      <x:c r="E21" s="137"/>
      <x:c r="F21" s="110" t="str">
        <x:v>Yes</x:v>
      </x:c>
      <x:c r="G21" s="107" t="s">
        <x:v>177</x:v>
      </x:c>
      <x:c r="H21" s="107" t="str">
        <x:v>10% markup applied to subtotal before profit</x:v>
      </x:c>
      <x:c r="I21" s="110" t="str">
        <x:v>Rick Jones provided revised working commercial basis 12-Sep-2026: 10% company overhead recovery.</x:v>
      </x:c>
      <x:c r="J21" s="110" t="str">
        <x:v>Review against Siteworks actual overhead recovery when company financial basis is available; no tender hold created by this user-provided input.</x:v>
      </x:c>
      <x:c r="K21" s="107" t="str">
        <x:v>Markup % - PROVIDED / WORKING BASIS</x:v>
      </x:c>
    </x:row>
    <x:row r="22" ht="21.450000762939453" customHeight="1">
      <x:c r="A22" s="107" t="s">
        <x:v>178</x:v>
      </x:c>
      <x:c r="B22" s="107" t="s">
        <x:v>179</x:v>
      </x:c>
      <x:c r="C22" s="735" t="str">
        <x:v>Margin %</x:v>
      </x:c>
      <x:c r="D22" s="141" t="n">
        <x:v>0.15</x:v>
      </x:c>
      <x:c r="E22" s="137"/>
      <x:c r="F22" s="110" t="str">
        <x:v>Yes</x:v>
      </x:c>
      <x:c r="G22" s="107" t="s">
        <x:v>177</x:v>
      </x:c>
      <x:c r="H22" s="107" t="str">
        <x:v>15% TRUE MARGIN after overhead and other selected commercial costs</x:v>
      </x:c>
      <x:c r="I22" s="110" t="str">
        <x:v>Rick Jones provided revised working commercial basis 12-Sep-2026: 15% contractor profit as true margin, not markup.</x:v>
      </x:c>
      <x:c r="J22" s="110" t="str">
        <x:v>Change only if Siteworks instructs a different profit method/rate.</x:v>
      </x:c>
      <x:c r="K22" s="107" t="str">
        <x:v>Margin % - PROVIDED / WORKING BASIS</x:v>
      </x:c>
    </x:row>
    <x:row r="23" ht="21.450000762939453" customHeight="1">
      <x:c r="A23" s="107" t="s">
        <x:v>180</x:v>
      </x:c>
      <x:c r="B23" s="107" t="s">
        <x:v>181</x:v>
      </x:c>
      <x:c r="C23" s="735" t="str">
        <x:v>%</x:v>
      </x:c>
      <x:c r="D23" s="194" t="n">
        <x:v>0</x:v>
      </x:c>
      <x:c r="E23" s="137"/>
      <x:c r="F23" s="110" t="str">
        <x:v>No</x:v>
      </x:c>
      <x:c r="G23" s="107" t="s">
        <x:v>177</x:v>
      </x:c>
      <x:c r="H23" s="107" t="s">
        <x:v>182</x:v>
      </x:c>
      <x:c r="I23" s="110" t="str">
        <x:v>Include only where contract securities create a genuine contractor cost.</x:v>
      </x:c>
      <x:c r="J23" s="110" t="s">
        <x:v>183</x:v>
      </x:c>
      <x:c r="K23" s="107" t="s">
        <x:v>184</x:v>
      </x:c>
    </x:row>
    <x:row r="24" ht="21.450000762939453" customHeight="1">
      <x:c r="A24" s="107" t="s">
        <x:v>185</x:v>
      </x:c>
      <x:c r="B24" s="107" t="s">
        <x:v>186</x:v>
      </x:c>
      <x:c r="C24" s="735" t="str">
        <x:v>%</x:v>
      </x:c>
      <x:c r="D24" s="195" t="n">
        <x:v>0</x:v>
      </x:c>
      <x:c r="E24" s="137"/>
      <x:c r="F24" s="110" t="str">
        <x:v>No</x:v>
      </x:c>
      <x:c r="G24" s="107" t="s">
        <x:v>177</x:v>
      </x:c>
      <x:c r="H24" s="107" t="s">
        <x:v>182</x:v>
      </x:c>
      <x:c r="I24" s="110" t="str">
        <x:v>Finance cost only; retention withholding itself is a cashflow item.</x:v>
      </x:c>
      <x:c r="J24" s="110" t="s">
        <x:v>187</x:v>
      </x:c>
      <x:c r="K24" s="107" t="s">
        <x:v>184</x:v>
      </x:c>
    </x:row>
    <x:row r="25" ht="21.450000762939453" customHeight="1">
      <x:c r="A25" s="107" t="s">
        <x:v>188</x:v>
      </x:c>
      <x:c r="B25" s="107" t="s">
        <x:v>30</x:v>
      </x:c>
      <x:c r="C25" s="735" t="str">
        <x:v>%</x:v>
      </x:c>
      <x:c r="D25" s="194" t="n">
        <x:v>0.15</x:v>
      </x:c>
      <x:c r="E25" s="137"/>
      <x:c r="F25" s="110" t="str">
        <x:v>No</x:v>
      </x:c>
      <x:c r="G25" s="107" t="s">
        <x:v>189</x:v>
      </x:c>
      <x:c r="H25" s="107" t="s">
        <x:v>190</x:v>
      </x:c>
      <x:c r="I25" s="110" t="str">
        <x:v>Optional tax display. Set 15% for NZ GST or 10% for Australian GST when applicable; estimate control total remains ex tax.</x:v>
      </x:c>
      <x:c r="J25" s="110" t="s">
        <x:v>191</x:v>
      </x:c>
      <x:c r="K25" s="107" t="s">
        <x:v>184</x:v>
      </x:c>
    </x:row>
    <x:row r="26" ht="21.450000762939453" customHeight="1">
      <x:c r="A26" s="106" t="s">
        <x:v>192</x:v>
      </x:c>
      <x:c r="B26" s="106" t="s">
        <x:v>112</x:v>
      </x:c>
      <x:c r="C26" s="736" t="str">
        <x:v>%</x:v>
      </x:c>
      <x:c r="D26" s="194" t="n">
        <x:v>0</x:v>
      </x:c>
      <x:c r="E26" s="140"/>
      <x:c r="F26" s="140" t="str">
        <x:v>No</x:v>
      </x:c>
      <x:c r="G26" s="106" t="s">
        <x:v>114</x:v>
      </x:c>
      <x:c r="H26" s="106" t="s">
        <x:v>193</x:v>
      </x:c>
      <x:c r="I26" s="106" t="s">
        <x:v>194</x:v>
      </x:c>
      <x:c r="J26" s="106" t="s">
        <x:v>195</x:v>
      </x:c>
      <x:c r="K26" s="106" t="s">
        <x:v>196</x:v>
      </x:c>
    </x:row>
    <x:row r="27" ht="21.450000762939453" customHeight="1">
      <x:c r="A27" s="107" t="s">
        <x:v>197</x:v>
      </x:c>
      <x:c r="B27" s="106" t="s">
        <x:v>117</x:v>
      </x:c>
      <x:c r="C27" s="736" t="str">
        <x:v>Months</x:v>
      </x:c>
      <x:c r="D27" s="196" t="n">
        <x:v>0</x:v>
      </x:c>
      <x:c r="E27" s="140"/>
      <x:c r="F27" s="140" t="str">
        <x:v>No</x:v>
      </x:c>
      <x:c r="G27" s="106" t="s">
        <x:v>114</x:v>
      </x:c>
      <x:c r="H27" s="106" t="s">
        <x:v>198</x:v>
      </x:c>
      <x:c r="I27" s="106" t="str">
        <x:v>No retention holding period assumed; CA23 remains 0 until contract terms are supplied.</x:v>
      </x:c>
      <x:c r="J27" s="106" t="s">
        <x:v>199</x:v>
      </x:c>
      <x:c r="K27" s="106" t="s">
        <x:v>184</x:v>
      </x:c>
    </x:row>
    <x:row r="28" ht="21.450000762939453" customHeight="1">
      <x:c r="A28" s="107" t="s">
        <x:v>200</x:v>
      </x:c>
      <x:c r="B28" s="220" t="s">
        <x:v>49</x:v>
      </x:c>
      <x:c r="C28" s="736" t="str">
        <x:v>%</x:v>
      </x:c>
      <x:c r="D28" s="221" t="n">
        <x:v>0</x:v>
      </x:c>
      <x:c r="E28" s="222"/>
      <x:c r="F28" s="222" t="str">
        <x:v>No</x:v>
      </x:c>
      <x:c r="G28" s="208" t="s">
        <x:v>114</x:v>
      </x:c>
      <x:c r="H28" s="208" t="s">
        <x:v>201</x:v>
      </x:c>
      <x:c r="I28" s="106" t="s">
        <x:v>202</x:v>
      </x:c>
      <x:c r="J28" s="106" t="s">
        <x:v>203</x:v>
      </x:c>
      <x:c r="K28" s="106" t="s">
        <x:v>204</x:v>
      </x:c>
    </x:row>
    <x:row r="29" ht="21.450000762939453" customHeight="1">
      <x:c r="A29" s="107" t="s">
        <x:v>205</x:v>
      </x:c>
      <x:c r="B29" s="220" t="s">
        <x:v>206</x:v>
      </x:c>
      <x:c r="C29" s="736" t="str">
        <x:v>Selection</x:v>
      </x:c>
      <x:c r="D29" s="208"/>
      <x:c r="E29" s="208"/>
      <x:c r="F29" s="208" t="str">
        <x:v>No</x:v>
      </x:c>
      <x:c r="G29" s="208" t="s">
        <x:v>114</x:v>
      </x:c>
      <x:c r="H29" s="208" t="s">
        <x:v>207</x:v>
      </x:c>
      <x:c r="I29" s="106" t="s">
        <x:v>208</x:v>
      </x:c>
      <x:c r="J29" s="106" t="s">
        <x:v>199</x:v>
      </x:c>
      <x:c r="K29" s="106"/>
    </x:row>
    <x:row r="30" ht="21.450000762939453" customHeight="1">
      <x:c r="A30" s="13" t="s">
        <x:v>16</x:v>
      </x:c>
      <x:c r="B30" s="219"/>
      <x:c r="C30" s="208"/>
      <x:c r="D30" s="208"/>
      <x:c r="E30" s="208"/>
      <x:c r="F30" s="208"/>
      <x:c r="G30" s="208"/>
      <x:c r="H30" s="208"/>
      <x:c r="I30" s="12"/>
      <x:c r="J30" s="12"/>
      <x:c r="K30" s="12"/>
    </x:row>
    <x:row r="31" ht="21.450000762939453" customHeight="1">
      <x:c r="A31" s="106" t="s">
        <x:v>209</x:v>
      </x:c>
      <x:c r="B31" s="30" t="s">
        <x:v>210</x:v>
      </x:c>
      <x:c r="C31" s="106"/>
      <x:c r="D31" s="106"/>
      <x:c r="E31" s="106"/>
      <x:c r="F31" s="106"/>
      <x:c r="G31" s="106"/>
      <x:c r="H31" s="106"/>
      <x:c r="I31" s="106"/>
      <x:c r="J31" s="106"/>
      <x:c r="K31" s="106"/>
    </x:row>
    <x:row r="32" ht="21.450000762939453" customHeight="1">
      <x:c r="A32" s="21" t="str">
        <x:v>MANAGEMENT RESERVE - ADJUDICATION BASIS / REV34</x:v>
      </x:c>
      <x:c r="B32" s="21"/>
      <x:c r="C32" s="21"/>
      <x:c r="D32" s="21"/>
      <x:c r="E32" s="21"/>
      <x:c r="F32" s="21"/>
      <x:c r="G32" s="21"/>
      <x:c r="H32" s="21"/>
      <x:c r="I32" s="21"/>
      <x:c r="J32" s="21"/>
      <x:c r="K32" s="21"/>
      <x:c r="L32" s="757"/>
      <x:c r="M32" s="757"/>
    </x:row>
    <x:row r="33" ht="21.450000762939453" customHeight="1">
      <x:c r="A33" s="21" t="str">
        <x:v>Control</x:v>
      </x:c>
      <x:c r="B33" s="21" t="str">
        <x:v>Value</x:v>
      </x:c>
      <x:c r="C33" s="21" t="str">
        <x:v>Classification</x:v>
      </x:c>
      <x:c r="D33" s="21" t="str">
        <x:v>Basis / meaning</x:v>
      </x:c>
      <x:c r="E33" s="21" t="str">
        <x:v>Earthworks RED</x:v>
      </x:c>
      <x:c r="F33" s="21" t="str">
        <x:v>Ramp/stairs RED</x:v>
      </x:c>
      <x:c r="G33" s="21" t="str">
        <x:v>Retaining RED</x:v>
      </x:c>
      <x:c r="H33" s="21" t="str">
        <x:v>PV01 productivity RED</x:v>
      </x:c>
      <x:c r="I33" s="21" t="str">
        <x:v>Duplication rule</x:v>
      </x:c>
      <x:c r="J33" s="21" t="str">
        <x:v>Release effect</x:v>
      </x:c>
      <x:c r="K33" s="21" t="str">
        <x:v>Rerun trigger</x:v>
      </x:c>
      <x:c r="L33" s="757" t="str">
        <x:v>Owner</x:v>
      </x:c>
      <x:c r="M33" s="757" t="str">
        <x:v>Status</x:v>
      </x:c>
    </x:row>
    <x:row r="34" ht="21.450000762939453" customHeight="1">
      <x:c r="A34" s="27" t="str">
        <x:v>Reserve base</x:v>
      </x:c>
      <x:c r="B34" s="596" t="n">
        <x:v>456726.5647936178</x:v>
      </x:c>
      <x:c r="C34" s="27" t="str">
        <x:v>CALCULATED / REV33 CONTROL</x:v>
      </x:c>
      <x:c r="D34" s="27" t="str">
        <x:v>Rev33 subtotal before OH/profit, before Management Reserve.</x:v>
      </x:c>
      <x:c r="E34" s="27" t="str">
        <x:v>+$28.6k sell adverse sensitivity if Rev17 earthworks quantity basis governs</x:v>
      </x:c>
      <x:c r="F34" s="27" t="str">
        <x:v>~$9.5k sell proxy/floor using prior 33m2 reference and PV04 rate; not verified final build-up</x:v>
      </x:c>
      <x:c r="G34" s="27" t="str">
        <x:v>$0 known incremental currently because block/no-fines quantities already include up-to-1.8m bands; design coordination still RED</x:v>
      </x:c>
      <x:c r="H34" s="27" t="str">
        <x:v>$0 known labour delta currently; method/ancillary tail remains unquantified</x:v>
      </x:c>
      <x:c r="I34" s="27" t="str">
        <x:v>Reserve is not added to any specific risk and must not duplicate a measured/quoted/PC/Weather/Risk Truth cost.</x:v>
      </x:c>
      <x:c r="J34" s="27" t="str">
        <x:v>Does not close or downgrade REDs.</x:v>
      </x:c>
      <x:c r="K34" s="27" t="str">
        <x:v>Any RED resolution, material estimate revision, or pre-award adjudication.</x:v>
      </x:c>
      <x:c r="L34" s="27" t="str">
        <x:v>Rick / commercial adjudication</x:v>
      </x:c>
      <x:c r="M34" s="27" t="str">
        <x:v>AMBER - PROVIDED MANAGEMENT JUDGEMENT</x:v>
      </x:c>
    </x:row>
    <x:row r="35">
      <x:c r="A35" s="27" t="str">
        <x:v>Selected reserve rate</x:v>
      </x:c>
      <x:c r="B35" s="43" t="n">
        <x:v>0.04</x:v>
      </x:c>
      <x:c r="C35" s="27" t="str">
        <x:v>PROVIDED</x:v>
      </x:c>
      <x:c r="D35" s="27" t="str">
        <x:v>4.0% selected after reviewing the aggregate downside envelope and unquantified tails. This percentage is a management decision, not a verified Risk Truth probability.</x:v>
      </x:c>
      <x:c r="E35" s="27"/>
      <x:c r="F35" s="27"/>
      <x:c r="G35" s="27"/>
      <x:c r="H35" s="27"/>
      <x:c r="I35" s="27" t="str">
        <x:v>CA01/CA02 remain $0 unless a distinct evidence-supported Risk Truth residual is approved.</x:v>
      </x:c>
      <x:c r="J35" s="27" t="str">
        <x:v>Working tender only; release gate remains HOLD.</x:v>
      </x:c>
      <x:c r="K35" s="27" t="str">
        <x:v>Reassess on material change.</x:v>
      </x:c>
      <x:c r="L35" s="27" t="str">
        <x:v>Rick</x:v>
      </x:c>
      <x:c r="M35" s="27" t="str">
        <x:v>AMBER</x:v>
      </x:c>
    </x:row>
    <x:row r="36">
      <x:c r="A36" s="27" t="str">
        <x:v>Pre-OH/profit Management Reserve</x:v>
      </x:c>
      <x:c r="B36" s="596" t="n">
        <x:v>18269.062591744714</x:v>
      </x:c>
      <x:c r="C36" s="27" t="str">
        <x:v>CALCULATED</x:v>
      </x:c>
      <x:c r="D36" s="27" t="str">
        <x:v>4.0% x $456,726.56 = $18,269.06. Frozen as a fixed adjudication amount for Rev34; it does not automatically grow if other lines later change.</x:v>
      </x:c>
      <x:c r="E36" s="27"/>
      <x:c r="F36" s="27"/>
      <x:c r="G36" s="27"/>
      <x:c r="H36" s="27"/>
      <x:c r="I36" s="27" t="str">
        <x:v>Separate commercial adjudication provision.</x:v>
      </x:c>
      <x:c r="J36" s="27" t="str">
        <x:v>Included once in Tender Build-Up pre-margin additions.</x:v>
      </x:c>
      <x:c r="K36" s="27" t="str">
        <x:v>Recalculate only under formal Rev35+ change control.</x:v>
      </x:c>
      <x:c r="L36" s="27" t="str">
        <x:v>Estimator / Commercial</x:v>
      </x:c>
      <x:c r="M36" s="27" t="str">
        <x:v>AMBER / INCLUDED</x:v>
      </x:c>
    </x:row>
    <x:row r="37">
      <x:c r="A37" s="27" t="str">
        <x:v>Tender effect of reserve</x:v>
      </x:c>
      <x:c r="B37" s="596" t="n">
        <x:v>22421.122271686792</x:v>
      </x:c>
      <x:c r="C37" s="27" t="str">
        <x:v>CALCULATED</x:v>
      </x:c>
      <x:c r="D37" s="27" t="str">
        <x:v>Incremental tender effect after current 10% company OH recovery and 15% true margin.</x:v>
      </x:c>
      <x:c r="E37" s="27"/>
      <x:c r="F37" s="27"/>
      <x:c r="G37" s="27"/>
      <x:c r="H37" s="27"/>
      <x:c r="I37" s="27" t="str">
        <x:v>No task/programme cost is created by the reserve.</x:v>
      </x:c>
      <x:c r="J37" s="27" t="str">
        <x:v>Rev33 $560,528.06 -&gt; Rev34 $582,949.18 excl GST.</x:v>
      </x:c>
      <x:c r="K37" s="27" t="str">
        <x:v>Commercial inputs change.</x:v>
      </x:c>
      <x:c r="L37" s="27" t="str">
        <x:v>Estimator</x:v>
      </x:c>
      <x:c r="M37" s="27" t="str">
        <x:v>INFO</x:v>
      </x:c>
    </x:row>
    <x:row r="38">
      <x:c r="A38" s="27" t="str">
        <x:v>Probability note</x:v>
      </x:c>
      <x:c r="B38" s="27" t="str">
        <x:v>N/A</x:v>
      </x:c>
      <x:c r="C38" s="27" t="str">
        <x:v>CONTROL</x:v>
      </x:c>
      <x:c r="D38" s="27" t="str">
        <x:v>The earlier 50/50 discussion was an adjudication heuristic only. Probabilities are not independently evidenced, so no Probability x Impact amount is entered into Risk Truth.</x:v>
      </x:c>
      <x:c r="E38" s="27"/>
      <x:c r="F38" s="27"/>
      <x:c r="G38" s="27"/>
      <x:c r="H38" s="27"/>
      <x:c r="I38" s="27" t="str">
        <x:v>Prevents unsupported probability weighting from being presented as verified.</x:v>
      </x:c>
      <x:c r="J38" s="27" t="str">
        <x:v>Risk Truth release status unchanged.</x:v>
      </x:c>
      <x:c r="K38" s="27" t="str">
        <x:v>N/A</x:v>
      </x:c>
      <x:c r="L38" s="27" t="str">
        <x:v>Estimator</x:v>
      </x:c>
      <x:c r="M38" s="27" t="str">
        <x:v>CONTROL</x:v>
      </x:c>
    </x:row>
    <x:row r="39">
      <x:c r="A39" s="27" t="str">
        <x:v>Consumption rule</x:v>
      </x:c>
      <x:c r="B39" s="27" t="str">
        <x:v>N/A</x:v>
      </x:c>
      <x:c r="C39" s="27" t="str">
        <x:v>CONTROL</x:v>
      </x:c>
      <x:c r="D39" s="27" t="str">
        <x:v>Do not automatically consume the reserve when a RED resolves adversely. Reprice the actual measurable consequence in its proper cost location, then reassess the remaining reserve under change control.</x:v>
      </x:c>
      <x:c r="E39" s="27"/>
      <x:c r="F39" s="27"/>
      <x:c r="G39" s="27"/>
      <x:c r="H39" s="27"/>
      <x:c r="I39" s="27" t="str">
        <x:v>Prevents double counting and preserves estimate-v-actual traceability.</x:v>
      </x:c>
      <x:c r="J39" s="27" t="str">
        <x:v>Reserve may reduce, remain or be removed after re-adjudication.</x:v>
      </x:c>
      <x:c r="K39" s="27" t="str">
        <x:v>Any risk resolution.</x:v>
      </x:c>
      <x:c r="L39" s="27" t="str">
        <x:v>Commercial</x:v>
      </x:c>
      <x:c r="M39" s="27" t="str">
        <x:v>CONTROL</x:v>
      </x:c>
    </x:row>
  </x:sheetData>
  <x:mergeCells>
    <x:mergeCell ref="A1:C1"/>
    <x:mergeCell ref="B30:H30"/>
    <x:mergeCell ref="B29:H29"/>
    <x:mergeCell ref="B28:H28"/>
    <x:mergeCell ref="A3:H3"/>
    <x:mergeCell ref="A32:M32"/>
  </x:mergeCells>
  <x:dataValidations count="12">
    <x:dataValidation type="list" sqref="C5:C6">
      <x:formula1>"Risk Engine,PC Sum,%"</x:formula1>
    </x:dataValidation>
    <x:dataValidation type="list" sqref="C7:C13">
      <x:formula1>"PC Sum,%"</x:formula1>
    </x:dataValidation>
    <x:dataValidation type="list" sqref="C14">
      <x:formula1>"Weather Engine,PC Sum,%"</x:formula1>
    </x:dataValidation>
    <x:dataValidation type="list" sqref="C15:C20">
      <x:formula1>"PC Sum,%"</x:formula1>
    </x:dataValidation>
    <x:dataValidation type="list" sqref="C21">
      <x:formula1>"Markup %,Fixed Amount"</x:formula1>
    </x:dataValidation>
    <x:dataValidation type="list" sqref="C22">
      <x:formula1>"Margin %,Markup %,Fixed Amount"</x:formula1>
    </x:dataValidation>
    <x:dataValidation type="list" sqref="C23:C24">
      <x:formula1>"%,PC Sum"</x:formula1>
    </x:dataValidation>
    <x:dataValidation type="list" sqref="C25:C26">
      <x:formula1>"%"</x:formula1>
    </x:dataValidation>
    <x:dataValidation type="list" sqref="C27">
      <x:formula1>"Months"</x:formula1>
    </x:dataValidation>
    <x:dataValidation type="list" sqref="C28">
      <x:formula1>"%"</x:formula1>
    </x:dataValidation>
    <x:dataValidation type="list" sqref="C29">
      <x:formula1>"Selection"</x:formula1>
    </x:dataValidation>
    <x:dataValidation type="list" sqref="F5:F29">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3.800000190734863"/>
  <x:cols>
    <x:col min="1" max="1" width="43.8984375" style="3" customWidth="1"/>
    <x:col min="2" max="2" width="10" style="3" customWidth="1"/>
    <x:col min="3" max="3" width="53.19921875" style="3" customWidth="1"/>
    <x:col min="4" max="4" width="10" style="3" customWidth="1"/>
    <x:col min="5" max="5" width="12" style="3" customWidth="1"/>
    <x:col min="6" max="6" width="14" style="3" customWidth="1"/>
    <x:col min="7" max="7" width="16" style="3" customWidth="1"/>
    <x:col min="8" max="8" width="48.19921875" style="3" customWidth="1"/>
    <x:col min="9" max="9" width="28" style="3" customWidth="1"/>
    <x:col min="10" max="10" width="12" style="3" customWidth="1"/>
    <x:col min="11" max="11" width="78.69921875" style="3" customWidth="1"/>
    <x:col min="12" max="12" width="26.8984375" style="3" customWidth="1"/>
    <x:col min="13" max="13" width="28" style="3" customWidth="1"/>
    <x:col min="14" max="14" width="22" style="3" customWidth="1"/>
    <x:col min="15" max="15" width="45.8984375" style="3" customWidth="1"/>
    <x:col min="16" max="16" width="23.59765625" style="3" customWidth="1"/>
    <x:col min="17" max="17" width="38" style="3" customWidth="1"/>
    <x:col min="18" max="18" width="12" style="3" customWidth="1"/>
    <x:col min="19" max="19" width="22" style="3" customWidth="1"/>
    <x:col min="20" max="20" width="28" style="3" customWidth="1"/>
    <x:col min="21" max="16384" width="8.796875" style="3" customWidth="0"/>
  </x:cols>
  <x:sheetData>
    <x:row r="1" ht="93.1500015258789" customHeight="1">
      <x:c r="A1" s="225" t="str">
        <x:v>QS TAKEOFF - MASTER ESTIMATE WORKBOOK REV4 - RESOURCE-LINKED</x:v>
      </x:c>
      <x:c r="B1" s="226"/>
      <x:c r="C1" s="226"/>
      <x:c r="D1" s="142"/>
      <x:c r="E1" s="143"/>
      <x:c r="F1" s="144"/>
      <x:c r="G1" s="144"/>
      <x:c r="H1" s="142"/>
      <x:c r="I1" s="142"/>
      <x:c r="J1" s="142"/>
      <x:c r="K1" s="142"/>
      <x:c r="L1" s="145" t="str">
        <x:v>Rate and Amount are linked from Resource Build-Up. PG01 row 3 is the controlling preliminaries total; rows 4-11 are formula-linked display detail only and are not separately added to Tender Build-Up.</x:v>
      </x:c>
      <x:c r="M1" s="142"/>
      <x:c r="N1" s="142"/>
      <x:c r="O1" s="142"/>
      <x:c r="P1" s="142"/>
      <x:c r="Q1" s="227"/>
      <x:c r="R1" s="227"/>
      <x:c r="S1" s="227"/>
      <x:c r="T1" s="227"/>
    </x:row>
    <x:row r="2" ht="24" customHeight="1">
      <x:c r="A2" s="13" t="s">
        <x:v>211</x:v>
      </x:c>
      <x:c r="B2" s="13" t="s">
        <x:v>212</x:v>
      </x:c>
      <x:c r="C2" s="13" t="s">
        <x:v>213</x:v>
      </x:c>
      <x:c r="D2" s="13" t="s">
        <x:v>214</x:v>
      </x:c>
      <x:c r="E2" s="14" t="s">
        <x:v>215</x:v>
      </x:c>
      <x:c r="F2" s="15" t="s">
        <x:v>216</x:v>
      </x:c>
      <x:c r="G2" s="15" t="s">
        <x:v>82</x:v>
      </x:c>
      <x:c r="H2" s="13" t="s">
        <x:v>217</x:v>
      </x:c>
      <x:c r="I2" s="13" t="s">
        <x:v>218</x:v>
      </x:c>
      <x:c r="J2" s="13" t="s">
        <x:v>11</x:v>
      </x:c>
      <x:c r="K2" s="13" t="s">
        <x:v>219</x:v>
      </x:c>
      <x:c r="L2" s="13" t="s">
        <x:v>220</x:v>
      </x:c>
      <x:c r="M2" s="13" t="s">
        <x:v>221</x:v>
      </x:c>
      <x:c r="N2" s="13" t="s">
        <x:v>222</x:v>
      </x:c>
      <x:c r="O2" s="13" t="s">
        <x:v>223</x:v>
      </x:c>
      <x:c r="P2" s="13" t="s">
        <x:v>224</x:v>
      </x:c>
      <x:c r="Q2" s="13" t="s">
        <x:v>225</x:v>
      </x:c>
      <x:c r="R2" s="19" t="s">
        <x:v>10</x:v>
      </x:c>
      <x:c r="S2" s="19" t="s">
        <x:v>226</x:v>
      </x:c>
      <x:c r="T2" s="19" t="s">
        <x:v>227</x:v>
      </x:c>
    </x:row>
    <x:row r="3" ht="21" customHeight="1">
      <x:c r="A3" s="35" t="str">
        <x:v>Preliminaries &amp; General</x:v>
      </x:c>
      <x:c r="B3" s="36" t="str">
        <x:v>PG01</x:v>
      </x:c>
      <x:c r="C3" s="36" t="str">
        <x:v>Project preliminaries / site management - programme dependent</x:v>
      </x:c>
      <x:c r="D3" s="36" t="str">
        <x:v>LS</x:v>
      </x:c>
      <x:c r="E3" s="17" t="n">
        <x:v>1</x:v>
      </x:c>
      <x:c r="F3" s="817" t="n">
        <x:f t="shared" ref="F3:F32" si="0">IF(B3="","",IF(E3=0,0,G3/E3))</x:f>
        <x:v>48403.4</x:v>
      </x:c>
      <x:c r="G3" s="817" t="n">
        <x:f>IF(B3="","",SUMIF('Resource Build-Up'!$B$7:$B$306,B3,'Resource Build-Up'!$Z$7:$Z$306))</x:f>
        <x:v>48403.4</x:v>
      </x:c>
      <x:c r="H3" s="36" t="str">
        <x:v>CALCULATED / PROGRAMME-LINKED - controlling PG01 section total; itemised Resource Build-Up detail is displayed immediately below and excluded from the Tender Build-Up summation to prevent double counting.</x:v>
      </x:c>
      <x:c r="I3" s="36" t="str">
        <x:v>Rev21 Board-adjudicated 55WD programme + Resource Build-Up PG01</x:v>
      </x:c>
      <x:c r="J3" s="36" t="str">
        <x:v>AMBER - ITEMISED / Q-07 QUOTED CORE</x:v>
      </x:c>
      <x:c r="K3" s="36" t="str">
        <x:v>PG01 section total. The eight lines below show the live quantity, unit, rate and amount of each prelim component. They are display-only formula links to Resource Build-Up and are already included in this total.</x:v>
      </x:c>
      <x:c r="L3" s="71" t="str">
        <x:f t="shared" ref="L3:L32" si="1">IF(B3="","",IF(J3="Excluded","Excluded","Resource-linked"))</x:f>
        <x:v>Resource-linked</x:v>
      </x:c>
      <x:c r="M3" s="71" t="str">
        <x:f t="shared" ref="M3:M32" si="2">IF(B3="","",IF(G3=0,"No resource cost / review","Resource Build-Up -&gt; "&amp;B3))</x:f>
        <x:v>Resource Build-Up -&gt; PG01</x:v>
      </x:c>
      <x:c r="N3" s="71" t="str">
        <x:f t="shared" ref="N3:N32" si="3">IF(B3="","","Resource Build-Up")</x:f>
        <x:v>Resource Build-Up</x:v>
      </x:c>
      <x:c r="O3" s="71" t="str">
        <x:f t="shared" ref="O3:O32" si="4">IF(B3="","","See Resource Build-Up / Resource Rate Library")</x:f>
        <x:v>See Resource Build-Up / Resource Rate Library</x:v>
      </x:c>
      <x:c r="P3" s="71" t="str">
        <x:v>AMBER</x:v>
      </x:c>
      <x:c r="Q3" s="36" t="str">
        <x:v>P&amp;G itemised and Board-programme linked. Traffic Safe Q-07 quoted core is now integrated; additional authority/FAF/extra-shift exposure remains AMBER. Weather-extension P&amp;G remains CA10.</x:v>
      </x:c>
      <x:c r="R3" s="106" t="str">
        <x:f t="shared" ref="R3:R32" si="5">IF(OR(ISNUMBER(SEARCH("PC",P3)),ISNUMBER(SEARCH("quote",Q3))),"Jason","Rick")</x:f>
        <x:v>Jason</x:v>
      </x:c>
      <x:c r="S3" s="146" t="str">
        <x:v>AMBER - BOARD ADJUDICATED / Q-07 CORE QUOTED</x:v>
      </x:c>
      <x:c r="T3" s="140" t="str">
        <x:v>Q-07 core received 10-Sep-2026; exclusions remain visible.</x:v>
      </x:c>
    </x:row>
    <x:row r="4" ht="21" customHeight="1">
      <x:c r="A4" s="147"/>
      <x:c r="B4" s="147"/>
      <x:c r="C4" s="926" t="str">
        <x:f>'Resource Build-Up'!H22</x:f>
        <x:v>Site supervisor / project management - 55WD Board-adjudicated dry tender programme</x:v>
      </x:c>
      <x:c r="D4" s="147" t="str">
        <x:f>'Resource Build-Up'!T22</x:f>
        <x:v>hr</x:v>
      </x:c>
      <x:c r="E4" s="924" t="n">
        <x:f>'Resource Build-Up'!M22</x:f>
        <x:v>440</x:v>
      </x:c>
      <x:c r="F4" s="925" t="n">
        <x:f t="shared" si="0">'Resource Build-Up'!Y22</x:f>
        <x:v>73</x:v>
      </x:c>
      <x:c r="G4" s="925" t="n">
        <x:f>'Resource Build-Up'!Z22</x:f>
        <x:v>32120</x:v>
      </x:c>
      <x:c r="H4" s="147" t="str">
        <x:v>DISPLAY DETAIL - formula-linked to Resource Build-Up; included once in PG01 section total</x:v>
      </x:c>
      <x:c r="I4" s="147" t="str">
        <x:v>Rev21 Board-adjudicated 55WD programme / current Resource Rate Library</x:v>
      </x:c>
      <x:c r="J4" s="147" t="str">
        <x:v>INCLUDED IN PG01 SUMMARY</x:v>
      </x:c>
      <x:c r="K4" s="147" t="str">
        <x:f>'Resource Build-Up'!AG22</x:f>
        <x:v>440h = 55 dry working days x 8h/day. Direct project supervision only. Weather-extension supervision remains in CA10; excludes corporate OH, profit, vehicle and overtime.</x:v>
      </x:c>
      <x:c r="L4" s="150" t="str">
        <x:f t="shared" si="1"/>
        <x:v>Display-only resource breakdown</x:v>
      </x:c>
      <x:c r="M4" s="150" t="str">
        <x:f t="shared" si="2">'Resource Build-Up'!Q22</x:f>
        <x:v>Site supervisor / project manager</x:v>
      </x:c>
      <x:c r="N4" s="150" t="str">
        <x:f t="shared" si="3"/>
        <x:v>Resource Build-Up</x:v>
      </x:c>
      <x:c r="O4" s="150" t="str">
        <x:f t="shared" si="4">'Resource Build-Up'!AA22</x:f>
        <x:v>https://nz.seek.com/civil-drainage-jobs/in-All-Auckland | https://nz.seek.com/drainage-foreman-jobs/in-All-Auckland/full-time</x:v>
      </x:c>
      <x:c r="P4" s="150" t="str">
        <x:v>AMBER</x:v>
      </x:c>
      <x:c r="Q4" s="147" t="str">
        <x:f>'Resource Build-Up'!AG22</x:f>
        <x:v>440h = 55 dry working days x 8h/day. Direct project supervision only. Weather-extension supervision remains in CA10; excludes corporate OH, profit, vehicle and overtime.</x:v>
      </x:c>
      <x:c r="R4" s="106" t="str">
        <x:f t="shared" si="5"/>
        <x:v>Rick</x:v>
      </x:c>
      <x:c r="S4" s="146" t="str">
        <x:f>'Resource Build-Up'!AI22</x:f>
        <x:v>OK</x:v>
      </x:c>
      <x:c r="T4" s="140" t="str">
        <x:f>'Resource Build-Up'!AJ22</x:f>
        <x:v>Rev21 current basis: 55WD dry programme; 440h base supervision. Weather-extension supervision remains CA10.</x:v>
      </x:c>
    </x:row>
    <x:row r="5" ht="21" customHeight="1">
      <x:c r="A5" s="151"/>
      <x:c r="B5" s="151"/>
      <x:c r="C5" s="927" t="str">
        <x:f>'Resource Build-Up'!H48</x:f>
        <x:v>Portable toilet hire / servicing - 11 billed weeks</x:v>
      </x:c>
      <x:c r="D5" s="151" t="str">
        <x:f>'Resource Build-Up'!T48</x:f>
        <x:v>week</x:v>
      </x:c>
      <x:c r="E5" s="924" t="n">
        <x:f>'Resource Build-Up'!S48</x:f>
        <x:v>11</x:v>
      </x:c>
      <x:c r="F5" s="925" t="n">
        <x:f t="shared" si="0">'Resource Build-Up'!Y48</x:f>
        <x:v>120</x:v>
      </x:c>
      <x:c r="G5" s="925" t="n">
        <x:f>'Resource Build-Up'!Z48</x:f>
        <x:v>1320</x:v>
      </x:c>
      <x:c r="H5" s="151" t="str">
        <x:v>DISPLAY DETAIL - formula-linked to Resource Build-Up; included once in PG01 section total</x:v>
      </x:c>
      <x:c r="I5" s="151" t="str">
        <x:v>Resource Build-Up PG01 portable-toilet benchmark</x:v>
      </x:c>
      <x:c r="J5" s="151" t="str">
        <x:v>INCLUDED IN PG01 SUMMARY</x:v>
      </x:c>
      <x:c r="K5" s="151" t="str">
        <x:f>'Resource Build-Up'!AG48</x:f>
        <x:v>11 weeks = 55WD / 5. Principal/common facilities not otherwise charged to Siteworks. Weather-extension hire remains handled separately in Weather Risk.</x:v>
      </x:c>
      <x:c r="L5" s="150" t="str">
        <x:f t="shared" si="1"/>
        <x:v>Display-only resource breakdown</x:v>
      </x:c>
      <x:c r="M5" s="150" t="str">
        <x:f t="shared" si="2">'Resource Build-Up'!Q48</x:f>
        <x:v>Portable toilet hire and servicing - tender benchmark</x:v>
      </x:c>
      <x:c r="N5" s="150" t="str">
        <x:f t="shared" si="3"/>
        <x:v>Resource Build-Up</x:v>
      </x:c>
      <x:c r="O5" s="150" t="str">
        <x:f t="shared" si="4">'Resource Build-Up'!AA48</x:f>
        <x:v>Orion_Point_Stage5_Client_Estimate_Report_Draft.pdf</x:v>
      </x:c>
      <x:c r="P5" s="150" t="str">
        <x:v>AMBER</x:v>
      </x:c>
      <x:c r="Q5" s="151" t="str">
        <x:f>'Resource Build-Up'!AG48</x:f>
        <x:v>11 weeks = 55WD / 5. Principal/common facilities not otherwise charged to Siteworks. Weather-extension hire remains handled separately in Weather Risk.</x:v>
      </x:c>
      <x:c r="R5" s="106" t="str">
        <x:f t="shared" si="5"/>
        <x:v>Rick</x:v>
      </x:c>
      <x:c r="S5" s="146" t="str">
        <x:f>'Resource Build-Up'!AI48</x:f>
        <x:v>OK</x:v>
      </x:c>
      <x:c r="T5" s="140" t="str">
        <x:f>'Resource Build-Up'!AJ48</x:f>
        <x:v>Rev21 current basis: 11 base billed weeks; weather-extension hire remains CA10.</x:v>
      </x:c>
    </x:row>
    <x:row r="6" ht="21" customHeight="1">
      <x:c r="A6" s="147"/>
      <x:c r="B6" s="147"/>
      <x:c r="C6" s="926" t="str">
        <x:f>'Resource Build-Up'!H49</x:f>
        <x:v>20ft lockable container / Siteworks lockup - 11 billed weeks</x:v>
      </x:c>
      <x:c r="D6" s="147" t="str">
        <x:f>'Resource Build-Up'!T49</x:f>
        <x:v>week</x:v>
      </x:c>
      <x:c r="E6" s="924" t="n">
        <x:f>'Resource Build-Up'!S49</x:f>
        <x:v>11</x:v>
      </x:c>
      <x:c r="F6" s="925" t="n">
        <x:f t="shared" si="0">'Resource Build-Up'!Y49</x:f>
        <x:v>175</x:v>
      </x:c>
      <x:c r="G6" s="925" t="n">
        <x:f>'Resource Build-Up'!Z49</x:f>
        <x:v>1925</x:v>
      </x:c>
      <x:c r="H6" s="147" t="str">
        <x:v>DISPLAY DETAIL - formula-linked to Resource Build-Up; included once in PG01 section total</x:v>
      </x:c>
      <x:c r="I6" s="147" t="str">
        <x:v>Resource Build-Up PG01 site-lockup benchmark</x:v>
      </x:c>
      <x:c r="J6" s="147" t="str">
        <x:v>INCLUDED IN PG01 SUMMARY</x:v>
      </x:c>
      <x:c r="K6" s="147" t="str">
        <x:f>'Resource Build-Up'!AG49</x:f>
        <x:v>11 weeks = 55WD / 5. No separate office cabin or temporary power included. Weather-extension hire remains handled separately in Weather Risk.</x:v>
      </x:c>
      <x:c r="L6" s="150" t="str">
        <x:f t="shared" si="1"/>
        <x:v>Display-only resource breakdown</x:v>
      </x:c>
      <x:c r="M6" s="150" t="str">
        <x:f t="shared" si="2">'Resource Build-Up'!Q49</x:f>
        <x:v>20ft lockable container / site lockup - tender benchmark</x:v>
      </x:c>
      <x:c r="N6" s="150" t="str">
        <x:f t="shared" si="3"/>
        <x:v>Resource Build-Up</x:v>
      </x:c>
      <x:c r="O6" s="150" t="str">
        <x:f t="shared" si="4">'Resource Build-Up'!AA49</x:f>
        <x:v>Orion_Point_Stage5_Client_Estimate_Report_Draft.pdf</x:v>
      </x:c>
      <x:c r="P6" s="150" t="str">
        <x:v>AMBER</x:v>
      </x:c>
      <x:c r="Q6" s="147" t="str">
        <x:f>'Resource Build-Up'!AG49</x:f>
        <x:v>11 weeks = 55WD / 5. No separate office cabin or temporary power included. Weather-extension hire remains handled separately in Weather Risk.</x:v>
      </x:c>
      <x:c r="R6" s="106" t="str">
        <x:f t="shared" si="5"/>
        <x:v>Rick</x:v>
      </x:c>
      <x:c r="S6" s="146" t="str">
        <x:f>'Resource Build-Up'!AI49</x:f>
        <x:v>OK</x:v>
      </x:c>
      <x:c r="T6" s="140" t="str">
        <x:f>'Resource Build-Up'!AJ49</x:f>
        <x:v>Rev21 current basis: 11 base billed weeks; weather-extension hire remains CA10.</x:v>
      </x:c>
    </x:row>
    <x:row r="7" ht="21" customHeight="1">
      <x:c r="A7" s="151"/>
      <x:c r="B7" s="151"/>
      <x:c r="C7" s="927" t="str">
        <x:f>'Resource Build-Up'!H50</x:f>
        <x:v>Setout / survey control / services search / Siteworks as-built support</x:v>
      </x:c>
      <x:c r="D7" s="151" t="str">
        <x:f>'Resource Build-Up'!T50</x:f>
        <x:v>LS</x:v>
      </x:c>
      <x:c r="E7" s="924" t="n">
        <x:f>'Resource Build-Up'!S50</x:f>
        <x:v>1</x:v>
      </x:c>
      <x:c r="F7" s="925" t="n">
        <x:f t="shared" si="0">'Resource Build-Up'!Y50</x:f>
        <x:v>4000</x:v>
      </x:c>
      <x:c r="G7" s="925" t="n">
        <x:f>'Resource Build-Up'!Z50</x:f>
        <x:v>4000</x:v>
      </x:c>
      <x:c r="H7" s="151" t="str">
        <x:v>DISPLAY DETAIL - formula-linked to Resource Build-Up; included once in PG01 section total</x:v>
      </x:c>
      <x:c r="I7" s="151" t="str">
        <x:v>Resource Build-Up PG01 survey/services allowance</x:v>
      </x:c>
      <x:c r="J7" s="151" t="str">
        <x:v>INCLUDED IN PG01 SUMMARY</x:v>
      </x:c>
      <x:c r="K7" s="151" t="str">
        <x:f>'Resource Build-Up'!AG50</x:f>
        <x:v>Project allowance for normal Siteworks setout, service search and as-built support. Principal survey control remains an interface.</x:v>
      </x:c>
      <x:c r="L7" s="150" t="str">
        <x:f t="shared" si="1"/>
        <x:v>Display-only resource breakdown</x:v>
      </x:c>
      <x:c r="M7" s="150" t="str">
        <x:f t="shared" si="2">'Resource Build-Up'!Q50</x:f>
        <x:v>Project-specific transparent allowance</x:v>
      </x:c>
      <x:c r="N7" s="150" t="str">
        <x:f t="shared" si="3"/>
        <x:v>Resource Build-Up</x:v>
      </x:c>
      <x:c r="O7" s="150" t="str">
        <x:f t="shared" si="4">'Resource Build-Up'!AA50</x:f>
        <x:v>Basis shown in Resource Build-Up</x:v>
      </x:c>
      <x:c r="P7" s="150" t="str">
        <x:v>AMBER</x:v>
      </x:c>
      <x:c r="Q7" s="151" t="str">
        <x:f>'Resource Build-Up'!AG50</x:f>
        <x:v>Project allowance for normal Siteworks setout, service search and as-built support. Principal survey control remains an interface.</x:v>
      </x:c>
      <x:c r="R7" s="106" t="str">
        <x:f t="shared" si="5"/>
        <x:v>Rick</x:v>
      </x:c>
      <x:c r="S7" s="146" t="str">
        <x:f>'Resource Build-Up'!AI50</x:f>
        <x:v>OK</x:v>
      </x:c>
      <x:c r="T7" s="140" t="str">
        <x:f>'Resource Build-Up'!AJ50</x:f>
        <x:v>Project-specific allowance; no OH/profit.</x:v>
      </x:c>
    </x:row>
    <x:row r="8" ht="21" customHeight="1">
      <x:c r="A8" s="147"/>
      <x:c r="B8" s="147"/>
      <x:c r="C8" s="926" t="str">
        <x:f>'Resource Build-Up'!H51</x:f>
        <x:v>Traffic Safe CAR/TMP quoted core - planning + one Stop/Go shift + one shoulder/pedestrian shift</x:v>
      </x:c>
      <x:c r="D8" s="147" t="str">
        <x:f>'Resource Build-Up'!T51</x:f>
        <x:v>LS</x:v>
      </x:c>
      <x:c r="E8" s="924" t="n">
        <x:f>'Resource Build-Up'!S51</x:f>
        <x:v>1</x:v>
      </x:c>
      <x:c r="F8" s="925" t="n">
        <x:f t="shared" si="0">'Resource Build-Up'!Y51</x:f>
        <x:v>3938.4</x:v>
      </x:c>
      <x:c r="G8" s="925" t="n">
        <x:f>'Resource Build-Up'!Z51</x:f>
        <x:v>3938.4</x:v>
      </x:c>
      <x:c r="H8" s="147" t="str">
        <x:v>QUOTED CORE - Traffic Safe 10-Sep-2026</x:v>
      </x:c>
      <x:c r="I8" s="147" t="str">
        <x:v>Traffic Safe Estimate_3BearsProject.pdf / Gmail 1a089762e581ff66</x:v>
      </x:c>
      <x:c r="J8" s="147" t="str">
        <x:v>INCLUDED IN PG01 SUMMARY</x:v>
      </x:c>
      <x:c r="K8" s="147" t="str">
        <x:v>Traffic Safe core: $500 planning/submission + $2,275.60 Stop/Go + $1,162.80 shoulder/pedestrian = $3,938.40 excl GST. Expected road work window approx 10:00-16:00. Temporary FAF and additional RCA/CAR/cable-locate/restricted-parking fees are excluded/on-charge. VMS, barriers, plating and light towers excluded unless required.</x:v>
      </x:c>
      <x:c r="L8" s="150" t="str">
        <x:f t="shared" si="1"/>
        <x:v>Display-only quoted breakdown</x:v>
      </x:c>
      <x:c r="M8" s="150" t="str">
        <x:f t="shared" si="2"/>
        <x:v>Traffic Safe project quote</x:v>
      </x:c>
      <x:c r="N8" s="150" t="str">
        <x:f t="shared" si="3"/>
        <x:v>Traffic Safe NZ</x:v>
      </x:c>
      <x:c r="O8" s="150" t="str">
        <x:f t="shared" si="4"/>
        <x:v>https://mail.google.com/mail/#all/1a089762e581ff66</x:v>
      </x:c>
      <x:c r="P8" s="150" t="str">
        <x:v>AMBER</x:v>
      </x:c>
      <x:c r="Q8" s="147" t="str">
        <x:v>Quoted core integrated. Confirm whether the two quoted traffic-management shifts are sufficient for the final crossing method. Any additional authority fees/FAF/extra shifts remain unpriced until evidenced.</x:v>
      </x:c>
      <x:c r="R8" s="106" t="str">
        <x:f t="shared" si="5"/>
        <x:v>Rick</x:v>
      </x:c>
      <x:c r="S8" s="146" t="str">
        <x:v>AMBER - Q-07 QUOTE RECEIVED / EXCLUSIONS OPEN</x:v>
      </x:c>
      <x:c r="T8" s="140" t="str">
        <x:v>Traffic Safe Estimate 10-Sep-2026</x:v>
      </x:c>
    </x:row>
    <x:row r="9" ht="21" customHeight="1">
      <x:c r="A9" s="151"/>
      <x:c r="B9" s="151"/>
      <x:c r="C9" s="927" t="str">
        <x:f>'Resource Build-Up'!H52</x:f>
        <x:v>Site H&amp;S board, signage, visitor controls and local workfront barriers</x:v>
      </x:c>
      <x:c r="D9" s="151" t="str">
        <x:f>'Resource Build-Up'!T52</x:f>
        <x:v>LS</x:v>
      </x:c>
      <x:c r="E9" s="924" t="n">
        <x:f>'Resource Build-Up'!S52</x:f>
        <x:v>1</x:v>
      </x:c>
      <x:c r="F9" s="925" t="n">
        <x:f t="shared" si="0">'Resource Build-Up'!Y52</x:f>
        <x:v>1500</x:v>
      </x:c>
      <x:c r="G9" s="925" t="n">
        <x:f>'Resource Build-Up'!Z52</x:f>
        <x:v>1500</x:v>
      </x:c>
      <x:c r="H9" s="151" t="str">
        <x:v>DISPLAY DETAIL - formula-linked to Resource Build-Up; included once in PG01 section total</x:v>
      </x:c>
      <x:c r="I9" s="151" t="str">
        <x:v>Resource Build-Up PG01 H&amp;S / local barriers allowance</x:v>
      </x:c>
      <x:c r="J9" s="151" t="str">
        <x:v>INCLUDED IN PG01 SUMMARY</x:v>
      </x:c>
      <x:c r="K9" s="151" t="str">
        <x:f>'Resource Build-Up'!AG52</x:f>
        <x:v>Siteworks local H&amp;S signage/barriers only. Whole-site temporary perimeter fence/hoarding is by principal contractor unless instructed.</x:v>
      </x:c>
      <x:c r="L9" s="150" t="str">
        <x:f t="shared" si="1"/>
        <x:v>Display-only resource breakdown</x:v>
      </x:c>
      <x:c r="M9" s="150" t="str">
        <x:f t="shared" si="2">'Resource Build-Up'!Q52</x:f>
        <x:v>Project-specific transparent allowance</x:v>
      </x:c>
      <x:c r="N9" s="150" t="str">
        <x:f t="shared" si="3"/>
        <x:v>Resource Build-Up</x:v>
      </x:c>
      <x:c r="O9" s="150" t="str">
        <x:f t="shared" si="4">'Resource Build-Up'!AA52</x:f>
        <x:v>Basis shown in Resource Build-Up</x:v>
      </x:c>
      <x:c r="P9" s="150" t="str">
        <x:v>AMBER</x:v>
      </x:c>
      <x:c r="Q9" s="151" t="str">
        <x:f>'Resource Build-Up'!AG52</x:f>
        <x:v>Siteworks local H&amp;S signage/barriers only. Whole-site temporary perimeter fence/hoarding is by principal contractor unless instructed.</x:v>
      </x:c>
      <x:c r="R9" s="106" t="str">
        <x:f t="shared" si="5"/>
        <x:v>Rick</x:v>
      </x:c>
      <x:c r="S9" s="146" t="str">
        <x:f>'Resource Build-Up'!AI52</x:f>
        <x:v>OK</x:v>
      </x:c>
      <x:c r="T9" s="140" t="str">
        <x:f>'Resource Build-Up'!AJ52</x:f>
        <x:v>Direct project prelim; no corporate OH.</x:v>
      </x:c>
    </x:row>
    <x:row r="10" ht="21" customHeight="1">
      <x:c r="A10" s="147"/>
      <x:c r="B10" s="147"/>
      <x:c r="C10" s="926" t="str">
        <x:f>'Resource Build-Up'!H53</x:f>
        <x:v>General Siteworks rubbish / small waste handling allowance</x:v>
      </x:c>
      <x:c r="D10" s="147" t="str">
        <x:f>'Resource Build-Up'!T53</x:f>
        <x:v>LS</x:v>
      </x:c>
      <x:c r="E10" s="924" t="n">
        <x:f>'Resource Build-Up'!S53</x:f>
        <x:v>1</x:v>
      </x:c>
      <x:c r="F10" s="925" t="n">
        <x:f t="shared" si="0">'Resource Build-Up'!Y53</x:f>
        <x:v>800</x:v>
      </x:c>
      <x:c r="G10" s="925" t="n">
        <x:f>'Resource Build-Up'!Z53</x:f>
        <x:v>800</x:v>
      </x:c>
      <x:c r="H10" s="147" t="str">
        <x:v>DISPLAY DETAIL - formula-linked to Resource Build-Up; included once in PG01 section total</x:v>
      </x:c>
      <x:c r="I10" s="147" t="str">
        <x:v>Resource Build-Up PG01 minor rubbish allowance</x:v>
      </x:c>
      <x:c r="J10" s="147" t="str">
        <x:v>INCLUDED IN PG01 SUMMARY</x:v>
      </x:c>
      <x:c r="K10" s="147" t="str">
        <x:f>'Resource Build-Up'!AG53</x:f>
        <x:v>Minor Siteworks waste/clean-up during works. Final handover clean remains RH01.</x:v>
      </x:c>
      <x:c r="L10" s="150" t="str">
        <x:f t="shared" si="1"/>
        <x:v>Display-only resource breakdown</x:v>
      </x:c>
      <x:c r="M10" s="150" t="str">
        <x:f t="shared" si="2">'Resource Build-Up'!Q53</x:f>
        <x:v>Project-specific transparent allowance</x:v>
      </x:c>
      <x:c r="N10" s="150" t="str">
        <x:f t="shared" si="3"/>
        <x:v>Resource Build-Up</x:v>
      </x:c>
      <x:c r="O10" s="150" t="str">
        <x:f t="shared" si="4">'Resource Build-Up'!AA53</x:f>
        <x:v>Basis shown in Resource Build-Up</x:v>
      </x:c>
      <x:c r="P10" s="150" t="str">
        <x:v>AMBER</x:v>
      </x:c>
      <x:c r="Q10" s="147" t="str">
        <x:f>'Resource Build-Up'!AG53</x:f>
        <x:v>Minor Siteworks waste/clean-up during works. Final handover clean remains RH01.</x:v>
      </x:c>
      <x:c r="R10" s="106" t="str">
        <x:f t="shared" si="5"/>
        <x:v>Rick</x:v>
      </x:c>
      <x:c r="S10" s="146" t="str">
        <x:f>'Resource Build-Up'!AI53</x:f>
        <x:v>OK</x:v>
      </x:c>
      <x:c r="T10" s="140" t="str">
        <x:f>'Resource Build-Up'!AJ53</x:f>
        <x:v>Does not duplicate RH01 final clean.</x:v>
      </x:c>
    </x:row>
    <x:row r="11" ht="21" customHeight="1">
      <x:c r="A11" s="151"/>
      <x:c r="B11" s="151"/>
      <x:c r="C11" s="927" t="str">
        <x:f>'Resource Build-Up'!H54</x:f>
        <x:v>Plant mobilisation / demobilisation - 4 plant classes, in/out transport control</x:v>
      </x:c>
      <x:c r="D11" s="151" t="str">
        <x:f>'Resource Build-Up'!T54</x:f>
        <x:v>hr</x:v>
      </x:c>
      <x:c r="E11" s="924" t="n">
        <x:f>'Resource Build-Up'!S54</x:f>
        <x:v>16</x:v>
      </x:c>
      <x:c r="F11" s="925" t="n">
        <x:f t="shared" si="0">'Resource Build-Up'!Y54</x:f>
        <x:v>175</x:v>
      </x:c>
      <x:c r="G11" s="925" t="n">
        <x:f>'Resource Build-Up'!Z54</x:f>
        <x:v>2800</x:v>
      </x:c>
      <x:c r="H11" s="151" t="str">
        <x:v>DISPLAY DETAIL - formula-linked to Resource Build-Up; included once in PG01 section total</x:v>
      </x:c>
      <x:c r="I11" s="151" t="str">
        <x:v>Resource Build-Up PG01 mobilisation / transport control</x:v>
      </x:c>
      <x:c r="J11" s="151" t="str">
        <x:v>INCLUDED IN PG01 SUMMARY</x:v>
      </x:c>
      <x:c r="K11" s="151" t="str">
        <x:f>'Resource Build-Up'!AG54</x:f>
        <x:v>16 transporter/truck-trailer hours = 4 plant classes x in/out x approx. 2h movement. Actual heavy transporter rates remain to verify.</x:v>
      </x:c>
      <x:c r="L11" s="150" t="str">
        <x:f t="shared" si="1"/>
        <x:v>Display-only resource breakdown</x:v>
      </x:c>
      <x:c r="M11" s="150" t="str">
        <x:f t="shared" si="2">'Resource Build-Up'!Q54</x:f>
        <x:v>Plant mobilisation / transporter wet-hire proxy</x:v>
      </x:c>
      <x:c r="N11" s="150" t="str">
        <x:f t="shared" si="3"/>
        <x:v>Resource Build-Up</x:v>
      </x:c>
      <x:c r="O11" s="150" t="str">
        <x:f t="shared" si="4">'Resource Build-Up'!AA54</x:f>
        <x:v>https://www.asapmachinehire.co.nz/price-list</x:v>
      </x:c>
      <x:c r="P11" s="150" t="str">
        <x:v>AMBER</x:v>
      </x:c>
      <x:c r="Q11" s="151" t="str">
        <x:f>'Resource Build-Up'!AG54</x:f>
        <x:v>16 transporter/truck-trailer hours = 4 plant classes x in/out x approx. 2h movement. Actual heavy transporter rates remain to verify.</x:v>
      </x:c>
      <x:c r="R11" s="106" t="str">
        <x:f t="shared" si="5"/>
        <x:v>Rick</x:v>
      </x:c>
      <x:c r="S11" s="146" t="str">
        <x:f>'Resource Build-Up'!AI54</x:f>
        <x:v>OK</x:v>
      </x:c>
      <x:c r="T11" s="140" t="str">
        <x:f>'Resource Build-Up'!AJ54</x:f>
        <x:v>Includes only one 3t+auger mobilisation if not already onsite; do not duplicate PILE1/PILE2 mobilisation.</x:v>
      </x:c>
    </x:row>
    <x:row r="12" ht="21" customHeight="1">
      <x:c r="A12" s="147" t="str">
        <x:v>Erosion &amp; Sediment Control</x:v>
      </x:c>
      <x:c r="B12" s="147" t="str">
        <x:v>ESC01</x:v>
      </x:c>
      <x:c r="C12" s="147" t="str">
        <x:v>Erosion &amp; sediment control - site-specific layout and extents</x:v>
      </x:c>
      <x:c r="D12" s="147" t="str">
        <x:v>LS</x:v>
      </x:c>
      <x:c r="E12" s="148" t="n">
        <x:v>1</x:v>
      </x:c>
      <x:c r="F12" s="818" t="n">
        <x:f t="shared" si="0">IF(B12="","",IF(E12=0,0,G12/E12))</x:f>
        <x:v>7750.143268186798</x:v>
      </x:c>
      <x:c r="G12" s="818" t="n">
        <x:f>IF(B12="","",SUMIF('Resource Build-Up'!$B$7:$B$306,B12,'Resource Build-Up'!$Z$7:$Z$306))</x:f>
        <x:v>7750.143268186798</x:v>
      </x:c>
      <x:c r="H12" s="147" t="str">
        <x:v>MEASURED / CALCULATED - main fence 226.3lm + 8.0lm returns; 49.0m2 stabilised entrance</x:v>
      </x:c>
      <x:c r="I12" s="147" t="str">
        <x:v>Stamped LUC60463161 Yodha DWG231 Rev A + DWG241 Rev A; RC decision confirms GD05 controls</x:v>
      </x:c>
      <x:c r="J12" s="147" t="str">
        <x:v>AMBER - MEASURED / FIRST PRINCIPLES</x:v>
      </x:c>
      <x:c r="K12" s="147" t="str">
        <x:v>Main fence 226.3lm MEASURED. Working fence 234.3lm incl. 4 x2m CALCULATED/AMBER returns. Entrance 49m2; 150mm aggregate =7.35m3. Physical installation, normal maintenance and removal are resource-linked. Progressive stabilisation is assumed through sequencing/final surfaces unless a separate temporary stabilisation system is instructed.</x:v>
      </x:c>
      <x:c r="L12" s="150" t="str">
        <x:f t="shared" si="1"/>
        <x:v>Resource-linked / first principles</x:v>
      </x:c>
      <x:c r="M12" s="150" t="str">
        <x:f t="shared" si="2"/>
        <x:v>Resource Build-Up -&gt; ESC01</x:v>
      </x:c>
      <x:c r="N12" s="150" t="str">
        <x:f t="shared" si="3"/>
        <x:v>Stamped resource-consent plans + current supplier/market evidence</x:v>
      </x:c>
      <x:c r="O12" s="150" t="str">
        <x:f t="shared" si="4"/>
        <x:v>https://drive.google.com/file/d/1yfih6XUsDdNzviHUlgo-bkF_Bns8Dzzw/view</x:v>
      </x:c>
      <x:c r="P12" s="150" t="str">
        <x:v>AMBER</x:v>
      </x:c>
      <x:c r="Q12" s="147" t="str">
        <x:v>RFI-05 source gap closed. Confirm return setout, 50-150mm washed aggregate/delivery and site-engineer acceptance before earthworks.</x:v>
      </x:c>
      <x:c r="R12" s="106" t="str">
        <x:f t="shared" si="5"/>
        <x:v>Rick</x:v>
      </x:c>
      <x:c r="S12" s="146" t="str">
        <x:v>AMBER - RFI CLOSED / PROCUREMENT &amp; SETOUT FIRM-UP</x:v>
      </x:c>
      <x:c r="T12" s="140" t="str">
        <x:v>MK-ESC-001 | https://drive.google.com/file/d/13PFL6hD-KmWdnTyspBPusGxFgXuUJ7_v/view</x:v>
      </x:c>
    </x:row>
    <x:row r="13" ht="21" customHeight="1">
      <x:c r="A13" s="151" t="str">
        <x:v>Earthworks</x:v>
      </x:c>
      <x:c r="B13" s="151" t="str">
        <x:v>EW01</x:v>
      </x:c>
      <x:c r="C13" s="151" t="str">
        <x:v>Site clearance / surface strip within earthworks area</x:v>
      </x:c>
      <x:c r="D13" s="151" t="str">
        <x:v>m2</x:v>
      </x:c>
      <x:c r="E13" s="148" t="n">
        <x:v>2105</x:v>
      </x:c>
      <x:c r="F13" s="818" t="n">
        <x:f t="shared" si="0">IF(B13="","",IF(E13=0,0,G13/E13))</x:f>
        <x:v>2.35</x:v>
      </x:c>
      <x:c r="G13" s="818" t="n">
        <x:f>IF(B13="","",SUMIF('Resource Build-Up'!$B$7:$B$306,B13,'Resource Build-Up'!$Z$7:$Z$306))</x:f>
        <x:v>4946.75</x:v>
      </x:c>
      <x:c r="H13" s="151" t="str">
        <x:v>PROVIDED - Architectural Rev17 current earthworks area</x:v>
      </x:c>
      <x:c r="I13" s="151" t="str">
        <x:v>Architectural A1 Rev17 11-Sep-2026: Actual earthworks area 2,105m2</x:v>
      </x:c>
      <x:c r="J13" s="151" t="str">
        <x:v>AMBER - CURRENT AREA / EARTHWORKS VOLUME CONFLICT RED</x:v>
      </x:c>
      <x:c r="K13" s="151" t="str">
        <x:v>Surface strip across current Rev17 earthworks area. Earthworks fill/cut volumes remain on Yodha RevB tender control pending RFI-15 reconciliation.</x:v>
      </x:c>
      <x:c r="L13" s="150" t="str">
        <x:f t="shared" si="1"/>
        <x:v>Topsoil quantity is not added separately; this is the surface work step only.</x:v>
      </x:c>
      <x:c r="M13" s="150" t="str">
        <x:f t="shared" si="2"/>
        <x:v>First principles</x:v>
      </x:c>
      <x:c r="N13" s="150" t="str">
        <x:f t="shared" si="3"/>
        <x:v>14t wet excavator + labour support @ 80 m2/hr</x:v>
      </x:c>
      <x:c r="O13" s="150" t="str">
        <x:f t="shared" si="4"/>
        <x:v>https://mail.google.com/mail/#all/1a08e15948fdc5bb</x:v>
      </x:c>
      <x:c r="P13" s="150" t="str">
        <x:v>AMBER</x:v>
      </x:c>
      <x:c r="Q13" s="151" t="str">
        <x:v>Area updated to Rev17. Reconcile Rev17 1,310m3 fill /113m3 cut against Yodha RevB before changing bulk-fill/import quantities.</x:v>
      </x:c>
      <x:c r="R13" s="106" t="str">
        <x:f t="shared" si="5"/>
        <x:v>Rick</x:v>
      </x:c>
      <x:c r="S13" s="146" t="str">
        <x:v>RESOURCE QA</x:v>
      </x:c>
      <x:c r="T13" s="140" t="str">
        <x:v>Rev17 current plan source; quantity area updated 11-Sep-2026.</x:v>
      </x:c>
    </x:row>
    <x:row r="14" ht="21" customHeight="1">
      <x:c r="A14" s="33" t="str">
        <x:v>Earthworks</x:v>
      </x:c>
      <x:c r="B14" s="33" t="str">
        <x:v>EW02</x:v>
      </x:c>
      <x:c r="C14" s="33" t="str">
        <x:v>Bulk fill placement / compaction - current Yodha RevB fill demand</x:v>
      </x:c>
      <x:c r="D14" s="33" t="str">
        <x:v>m3</x:v>
      </x:c>
      <x:c r="E14" s="152" t="n">
        <x:v>1033</x:v>
      </x:c>
      <x:c r="F14" s="819" t="n">
        <x:f t="shared" si="0">IF(B14="","",IF(E14=0,0,G14/E14))</x:f>
        <x:v>19.866666666666667</x:v>
      </x:c>
      <x:c r="G14" s="819" t="n">
        <x:f>IF(B14="","",SUMIF('Resource Build-Up'!$B$7:$B$306,B14,'Resource Build-Up'!$Z$7:$Z$306))</x:f>
        <x:v>20522.266666666666</x:v>
      </x:c>
      <x:c r="H14" s="33" t="str">
        <x:v>PROVIDED - Yodha Infrastructure Assessment RevB: 1,033m3 fill</x:v>
      </x:c>
      <x:c r="I14" s="33" t="str">
        <x:v>Yodha Infrastructure Assessment RevB - Earthworks</x:v>
      </x:c>
      <x:c r="J14" s="33" t="str">
        <x:v>AMBER - priced production control</x:v>
      </x:c>
      <x:c r="K14" s="33" t="str">
        <x:v>Includes placement/compaction workfront. Current mass balance: 110m3 cut + 923m3 net imported fill = 1,033m3 fill. Imported material supply is EW09.</x:v>
      </x:c>
      <x:c r="L14" s="70" t="str">
        <x:f t="shared" si="1"/>
        <x:v>Resource-linked</x:v>
      </x:c>
      <x:c r="M14" s="70" t="str">
        <x:f t="shared" si="2"/>
        <x:v>Resource Build-Up -&gt; EW02</x:v>
      </x:c>
      <x:c r="N14" s="70" t="str">
        <x:f t="shared" si="3"/>
        <x:v>Resource Build-Up</x:v>
      </x:c>
      <x:c r="O14" s="70" t="str">
        <x:f t="shared" si="4"/>
        <x:v>See Resource Build-Up / Resource Rate Library</x:v>
      </x:c>
      <x:c r="P14" s="70" t="str">
        <x:v>RESOURCE LINKED</x:v>
      </x:c>
      <x:c r="Q14" s="33" t="str">
        <x:v>Verify production against access/moisture and imported-fill delivery logistics.</x:v>
      </x:c>
      <x:c r="R14" s="106" t="str">
        <x:f t="shared" si="5"/>
        <x:v>Rick</x:v>
      </x:c>
      <x:c r="S14" s="146" t="str">
        <x:v>RESOURCE QA</x:v>
      </x:c>
      <x:c r="T14" s="140" t="str">
        <x:v>Q-06 SENT 07-Sep-2026 for imported fill/material delivery; placement productivity remains internal control</x:v>
      </x:c>
    </x:row>
    <x:row r="15" ht="21" customHeight="1">
      <x:c r="A15" s="35" t="str">
        <x:v>Earthworks</x:v>
      </x:c>
      <x:c r="B15" s="36" t="str">
        <x:v>EW03</x:v>
      </x:c>
      <x:c r="C15" s="36" t="str">
        <x:v>Final trim / formation across earthworks area</x:v>
      </x:c>
      <x:c r="D15" s="36" t="str">
        <x:v>m2</x:v>
      </x:c>
      <x:c r="E15" s="17" t="n">
        <x:v>2105</x:v>
      </x:c>
      <x:c r="F15" s="817" t="n">
        <x:f t="shared" si="0">IF(B15="","",IF(E15=0,0,G15/E15))</x:f>
        <x:v>1.2333333333333334</x:v>
      </x:c>
      <x:c r="G15" s="819" t="n">
        <x:f>IF(B15="","",SUMIF('Resource Build-Up'!$B$7:$B$306,B15,'Resource Build-Up'!$Z$7:$Z$306))</x:f>
        <x:v>2596.166666666667</x:v>
      </x:c>
      <x:c r="H15" s="36" t="str">
        <x:v>PROVIDED - Architectural Rev17 current earthworks area</x:v>
      </x:c>
      <x:c r="I15" s="36" t="str">
        <x:v>Architectural A1 Rev17 11-Sep-2026: Actual earthworks area 2,105m2</x:v>
      </x:c>
      <x:c r="J15" s="36" t="str">
        <x:v>AMBER - CURRENT AREA / EARTHWORKS VOLUME CONFLICT RED</x:v>
      </x:c>
      <x:c r="K15" s="36" t="str">
        <x:v>Final trim/formation across the current Rev17 earthworks area. Bulk fill/cut remains held to Yodha RevB pending reconciliation.</x:v>
      </x:c>
      <x:c r="L15" s="70" t="str">
        <x:f t="shared" si="1"/>
        <x:v>Resource-linked</x:v>
      </x:c>
      <x:c r="M15" s="71" t="str">
        <x:f t="shared" si="2"/>
        <x:v>Resource Build-Up -&gt; EW03</x:v>
      </x:c>
      <x:c r="N15" s="71" t="str">
        <x:f t="shared" si="3"/>
        <x:v>Resource Build-Up</x:v>
      </x:c>
      <x:c r="O15" s="71" t="str">
        <x:f t="shared" si="4"/>
        <x:v>https://mail.google.com/mail/#all/1a08e15948fdc5bb</x:v>
      </x:c>
      <x:c r="P15" s="70" t="str">
        <x:v>AMBER</x:v>
      </x:c>
      <x:c r="Q15" s="36" t="str">
        <x:v>Area updated to Rev17. Reconcile Rev17 bulk quantities before changing EW02/EW09.</x:v>
      </x:c>
      <x:c r="R15" s="106" t="str">
        <x:f t="shared" si="5"/>
        <x:v>Rick</x:v>
      </x:c>
      <x:c r="S15" s="146" t="str">
        <x:v>RESOURCE QA</x:v>
      </x:c>
      <x:c r="T15" s="140" t="str">
        <x:v>Rev17 current plan source; quantity area updated 11-Sep-2026.</x:v>
      </x:c>
    </x:row>
    <x:row r="16" ht="21" customHeight="1">
      <x:c r="A16" s="153" t="str">
        <x:v>Earthworks</x:v>
      </x:c>
      <x:c r="B16" s="153" t="str">
        <x:v>EW04</x:v>
      </x:c>
      <x:c r="C16" s="153" t="str">
        <x:v>Grassed OLFP diversion channel - 300 deep, 500 base, 1V:3H sides</x:v>
      </x:c>
      <x:c r="D16" s="153" t="str">
        <x:v>lm</x:v>
      </x:c>
      <x:c r="E16" s="154" t="n">
        <x:v>94.08</x:v>
      </x:c>
      <x:c r="F16" s="820" t="n">
        <x:f t="shared" si="0">IF(B16="","",IF(E16=0,0,G16/E16))</x:f>
        <x:v>31.887755102040817</x:v>
      </x:c>
      <x:c r="G16" s="820" t="n">
        <x:f>IF(B16="","",SUMIF('Resource Build-Up'!$B$7:$B$306,B16,'Resource Build-Up'!$Z$7:$Z$306))</x:f>
        <x:v>3000</x:v>
      </x:c>
      <x:c r="H16" s="153" t="str">
        <x:v>MEASURED / CALCULATED - 0.42m2 section x 94.08lm</x:v>
      </x:c>
      <x:c r="I16" s="153" t="str">
        <x:v>Yodha Flood Assessment + measured alignment</x:v>
      </x:c>
      <x:c r="J16" s="153" t="str">
        <x:v>AMBER - PC SUM</x:v>
      </x:c>
      <x:c r="K16" s="153" t="str">
        <x:v>Approx 39.51m3 physical channel cut. Do not add again to bulk cut/fill if already embedded in civil earthworks quantities.</x:v>
      </x:c>
      <x:c r="L16" s="146" t="str">
        <x:f t="shared" si="1"/>
        <x:v>Resource-linked</x:v>
      </x:c>
      <x:c r="M16" s="146" t="str">
        <x:f t="shared" si="2"/>
        <x:v>Resource Build-Up -&gt; EW04</x:v>
      </x:c>
      <x:c r="N16" s="146" t="str">
        <x:f t="shared" si="3"/>
        <x:v>Resource Build-Up</x:v>
      </x:c>
      <x:c r="O16" s="146" t="str">
        <x:f t="shared" si="4"/>
        <x:v>See Resource Build-Up / Resource Rate Library</x:v>
      </x:c>
      <x:c r="P16" s="146" t="str">
        <x:v>RESOURCE LINKED</x:v>
      </x:c>
      <x:c r="Q16" s="153" t="str">
        <x:v>Confirm duplication with bulk model and final landscape/fence interface.</x:v>
      </x:c>
      <x:c r="R16" s="106" t="str">
        <x:f t="shared" si="5"/>
        <x:v>Rick</x:v>
      </x:c>
      <x:c r="S16" s="146" t="str">
        <x:v>RESOURCE QA</x:v>
      </x:c>
      <x:c r="T16" s="140" t="str">
        <x:v>PC only - confirm OLFP work is not duplicated in Yodha bulk earthworks</x:v>
      </x:c>
    </x:row>
    <x:row r="17" ht="21" customHeight="1">
      <x:c r="A17" s="35" t="str">
        <x:v>Earthworks</x:v>
      </x:c>
      <x:c r="B17" s="36" t="str">
        <x:v>EW05</x:v>
      </x:c>
      <x:c r="C17" s="36" t="str">
        <x:v>Foundation pad excavation P1-P4</x:v>
      </x:c>
      <x:c r="D17" s="36" t="str">
        <x:v>m3</x:v>
      </x:c>
      <x:c r="E17" s="17" t="n">
        <x:v>2.191</x:v>
      </x:c>
      <x:c r="F17" s="817" t="n">
        <x:f t="shared" si="0">IF(B17="","",IF(E17=0,0,G17/E17))</x:f>
        <x:v>1141.0314924691922</x:v>
      </x:c>
      <x:c r="G17" s="817" t="n">
        <x:f>IF(B17="","",SUMIF('Resource Build-Up'!$B$7:$B$306,B17,'Resource Build-Up'!$Z$7:$Z$306))</x:f>
        <x:v>2500</x:v>
      </x:c>
      <x:c r="H17" s="36" t="str">
        <x:v>COUNTED / CALCULATED</x:v>
      </x:c>
      <x:c r="I17" s="36" t="str">
        <x:v>17 pads from DHC S101: P1 x5, P2 x5, P3 x6, P4 x1</x:v>
      </x:c>
      <x:c r="J17" s="36" t="str">
        <x:v>AMBER - PC SUM</x:v>
      </x:c>
      <x:c r="K17" s="36" t="str">
        <x:v>17 pads measured from DHC S101. PC covers excavation/trim/spoil handling only; concrete/reinforcement by foundation trade.</x:v>
      </x:c>
      <x:c r="L17" s="71" t="str">
        <x:f t="shared" si="1"/>
        <x:v>Resource-linked</x:v>
      </x:c>
      <x:c r="M17" s="71" t="str">
        <x:f t="shared" si="2"/>
        <x:v>Resource Build-Up -&gt; EW05</x:v>
      </x:c>
      <x:c r="N17" s="71" t="str">
        <x:f t="shared" si="3"/>
        <x:v>Resource Build-Up</x:v>
      </x:c>
      <x:c r="O17" s="71" t="str">
        <x:f t="shared" si="4"/>
        <x:v>See Resource Build-Up / Resource Rate Library</x:v>
      </x:c>
      <x:c r="P17" s="71" t="str">
        <x:v>RESOURCE LINKED</x:v>
      </x:c>
      <x:c r="Q17" s="36" t="str">
        <x:v>Confirm working-space/spoil boundary and replace with measured production once foundation contractor scope is received.</x:v>
      </x:c>
      <x:c r="R17" s="106" t="str">
        <x:f t="shared" si="5"/>
        <x:v>Rick</x:v>
      </x:c>
      <x:c r="S17" s="146" t="str">
        <x:v>RESOURCE QA</x:v>
      </x:c>
      <x:c r="T17" s="140" t="str">
        <x:v>PC pending final F1-F7/foundation scope reconciliation</x:v>
      </x:c>
    </x:row>
    <x:row r="18" ht="21" customHeight="1">
      <x:c r="A18" s="147" t="str">
        <x:v>Earthworks</x:v>
      </x:c>
      <x:c r="B18" s="147" t="str">
        <x:v>EW06</x:v>
      </x:c>
      <x:c r="C18" s="147" t="str">
        <x:v>PILE2 bored foundation holes 450 dia x 1.2m</x:v>
      </x:c>
      <x:c r="D18" s="147" t="str">
        <x:v>ea</x:v>
      </x:c>
      <x:c r="E18" s="148" t="n">
        <x:v>15</x:v>
      </x:c>
      <x:c r="F18" s="818" t="n">
        <x:f t="shared" si="0">IF(B18="","",IF(E18=0,0,G18/E18))</x:f>
        <x:v>0</x:v>
      </x:c>
      <x:c r="G18" s="818" t="n">
        <x:f>IF(B18="","",SUMIF('Resource Build-Up'!$B$7:$B$306,B18,'Resource Build-Up'!$Z$7:$Z$306))</x:f>
        <x:v>0</x:v>
      </x:c>
      <x:c r="H18" s="147" t="str">
        <x:v>PROVIDED / QUOTED INTERFACE - 15 PILE2 confirmed by Coast</x:v>
      </x:c>
      <x:c r="I18" s="147" t="str">
        <x:v>Karl/Coast 11-Sep-2026 confirms 15 PILE2 on Structural Rev B; Coast formal quote expressly includes excavation of 15 P2 piles.</x:v>
      </x:c>
      <x:c r="J18" s="147" t="str">
        <x:v>BY SUBCONTRACT - COAST / $0 SITEWORKS DIRECT</x:v>
      </x:c>
      <x:c r="K18" s="147" t="str">
        <x:v>PILE2 bored-hole excavation is carried once in the Coast foundation/floor subcontract. Siteworks EW06 direct resources are retained as historical reference only and zeroed to prevent duplicate cost.</x:v>
      </x:c>
      <x:c r="L18" s="150" t="str">
        <x:f t="shared" si="1"/>
        <x:v>By subcontract / transfer control</x:v>
      </x:c>
      <x:c r="M18" s="150" t="str">
        <x:f t="shared" si="2"/>
        <x:v>Resource Build-Up -&gt; EW06 $0 transfer control</x:v>
      </x:c>
      <x:c r="N18" s="150" t="str">
        <x:f t="shared" si="3"/>
        <x:v>Coast Concrete quote + Karl clarification</x:v>
      </x:c>
      <x:c r="O18" s="150" t="str">
        <x:f t="shared" si="4"/>
        <x:v>https://mail.google.com/mail/#all/1a08e2fa347771be</x:v>
      </x:c>
      <x:c r="P18" s="150" t="str">
        <x:v>GREEN - QUANTITY / OWNERSHIP CLARIFIED</x:v>
      </x:c>
      <x:c r="Q18" s="147" t="str">
        <x:v>No Siteworks PILE2 boring cost. Retain EW05/EW07 footing excavation because Karl separately confirms footing excavation is excluded from Coast.</x:v>
      </x:c>
      <x:c r="R18" s="106" t="str">
        <x:f t="shared" si="5"/>
        <x:v>Rick</x:v>
      </x:c>
      <x:c r="S18" s="146" t="str">
        <x:v>CLOSED - BY COAST</x:v>
      </x:c>
      <x:c r="T18" s="140" t="str">
        <x:v>Coast formal quote includes excavation of 15 P2 piles; Karl later confirms 15 count and excludes footing/bulk excavation.</x:v>
      </x:c>
    </x:row>
    <x:row r="19" ht="21" customHeight="1">
      <x:c r="A19" s="151" t="str">
        <x:v>Earthworks</x:v>
      </x:c>
      <x:c r="B19" s="151" t="str">
        <x:v>EW07</x:v>
      </x:c>
      <x:c r="C19" s="151" t="str">
        <x:v>F1-F7 strip / thickening / wing footing excavation</x:v>
      </x:c>
      <x:c r="D19" s="151" t="str">
        <x:v>LS</x:v>
      </x:c>
      <x:c r="E19" s="148" t="n">
        <x:v>1</x:v>
      </x:c>
      <x:c r="F19" s="818" t="n">
        <x:f t="shared" si="0">IF(B19="","",IF(E19=0,0,G19/E19))</x:f>
        <x:v>12500</x:v>
      </x:c>
      <x:c r="G19" s="818" t="n">
        <x:f>IF(B19="","",SUMIF('Resource Build-Up'!$B$7:$B$306,B19,'Resource Build-Up'!$Z$7:$Z$306))</x:f>
        <x:v>12500</x:v>
      </x:c>
      <x:c r="H19" s="151" t="str">
        <x:v>PC SUM - F1-F7 sections defined but total lineal metres not sufficiently verified for issue</x:v>
      </x:c>
      <x:c r="I19" s="151" t="str">
        <x:v>Sections defined; lineal lengths not reliably recoverable from current extraction</x:v>
      </x:c>
      <x:c r="J19" s="151" t="str">
        <x:v>AMBER - PC SUM</x:v>
      </x:c>
      <x:c r="K19" s="151" t="str">
        <x:v>PC replaces unpriced gap for tender review only. Sections remain traceable to DHC S101/S301 and Arch A5.1.</x:v>
      </x:c>
      <x:c r="L19" s="150" t="str">
        <x:f t="shared" si="1"/>
        <x:v>Resource-linked</x:v>
      </x:c>
      <x:c r="M19" s="150" t="str">
        <x:f t="shared" si="2"/>
        <x:v>Resource Build-Up -&gt; EW07</x:v>
      </x:c>
      <x:c r="N19" s="150" t="str">
        <x:f t="shared" si="3"/>
        <x:v>Resource Build-Up</x:v>
      </x:c>
      <x:c r="O19" s="150" t="str">
        <x:f t="shared" si="4"/>
        <x:v>See Resource Build-Up / Resource Rate Library</x:v>
      </x:c>
      <x:c r="P19" s="150" t="str">
        <x:v>RESOURCE LINKED</x:v>
      </x:c>
      <x:c r="Q19" s="151" t="str">
        <x:v>Complete final visual takeoff or reconcile against slab/foundation contractor schedule.</x:v>
      </x:c>
      <x:c r="R19" s="106" t="str">
        <x:f t="shared" si="5"/>
        <x:v>Rick</x:v>
      </x:c>
      <x:c r="S19" s="146" t="str">
        <x:v>RESOURCE QA</x:v>
      </x:c>
      <x:c r="T19" s="140" t="str">
        <x:v>PC pending final F1-F7 visual takeoff / slab contractor information</x:v>
      </x:c>
    </x:row>
    <x:row r="20" ht="21" customHeight="1">
      <x:c r="A20" s="147" t="str">
        <x:v>Earthworks</x:v>
      </x:c>
      <x:c r="B20" s="147" t="str">
        <x:v>EW08</x:v>
      </x:c>
      <x:c r="C20" s="147" t="str">
        <x:v>Earthworks export / cartage / tipping</x:v>
      </x:c>
      <x:c r="D20" s="147" t="str">
        <x:v>LS</x:v>
      </x:c>
      <x:c r="E20" s="148" t="n">
        <x:v>1</x:v>
      </x:c>
      <x:c r="F20" s="818" t="n">
        <x:f t="shared" si="0">IF(B20="","",IF(E20=0,0,G20/E20))</x:f>
        <x:v>10000</x:v>
      </x:c>
      <x:c r="G20" s="818" t="n">
        <x:f>IF(B20="","",SUMIF('Resource Build-Up'!$B$7:$B$306,B20,'Resource Build-Up'!$Z$7:$Z$306))</x:f>
        <x:v>10000</x:v>
      </x:c>
      <x:c r="H20" s="147" t="str">
        <x:v>PC SUM - incidental surplus spoil / cartage / tipping</x:v>
      </x:c>
      <x:c r="I20" s="147" t="str">
        <x:v>Yodha RevB mass balance + geotech</x:v>
      </x:c>
      <x:c r="J20" s="147" t="str">
        <x:v>AMBER - PC SUM</x:v>
      </x:c>
      <x:c r="K20" s="147" t="str">
        <x:v>Net project is fill-import. PC is for incidental surplus/topsoil/unsuitable disposal only; no assumption that bulk earthworks are export.</x:v>
      </x:c>
      <x:c r="L20" s="150" t="str">
        <x:f t="shared" si="1"/>
        <x:v>Resource-linked</x:v>
      </x:c>
      <x:c r="M20" s="150" t="str">
        <x:f t="shared" si="2"/>
        <x:v>Resource Build-Up -&gt; EW08</x:v>
      </x:c>
      <x:c r="N20" s="150" t="str">
        <x:f t="shared" si="3"/>
        <x:v>Resource Build-Up</x:v>
      </x:c>
      <x:c r="O20" s="150" t="str">
        <x:f t="shared" si="4"/>
        <x:v>See Resource Build-Up / Resource Rate Library</x:v>
      </x:c>
      <x:c r="P20" s="150" t="str">
        <x:v>RESOURCE LINKED</x:v>
      </x:c>
      <x:c r="Q20" s="147" t="str">
        <x:v>Confirm topsoil reuse, unsuitable material and actual disposal route/classification.</x:v>
      </x:c>
      <x:c r="R20" s="106" t="str">
        <x:f t="shared" si="5"/>
        <x:v>Rick</x:v>
      </x:c>
      <x:c r="S20" s="146" t="str">
        <x:v>RESOURCE QA</x:v>
      </x:c>
      <x:c r="T20" s="140" t="str">
        <x:v>Q-10 SENT 07-Sep-2026 - cartage/tipping rates</x:v>
      </x:c>
    </x:row>
    <x:row r="21" ht="21" customHeight="1">
      <x:c r="A21" s="151" t="str">
        <x:v>Earthworks</x:v>
      </x:c>
      <x:c r="B21" s="151" t="str">
        <x:v>EW09</x:v>
      </x:c>
      <x:c r="C21" s="151" t="str">
        <x:v>Imported / replacement engineered fill</x:v>
      </x:c>
      <x:c r="D21" s="151" t="str">
        <x:v>m3</x:v>
      </x:c>
      <x:c r="E21" s="148" t="n">
        <x:v>923</x:v>
      </x:c>
      <x:c r="F21" s="818" t="n">
        <x:f t="shared" si="0">IF(B21="","",IF(E21=0,0,G21/E21))</x:f>
        <x:v>65.00541711809318</x:v>
      </x:c>
      <x:c r="G21" s="818" t="n">
        <x:f>IF(B21="","",SUMIF('Resource Build-Up'!$B$7:$B$306,B21,'Resource Build-Up'!$Z$7:$Z$306))</x:f>
        <x:v>60000</x:v>
      </x:c>
      <x:c r="H21" s="151" t="str">
        <x:v>PROVIDED - Yodha RevB net imported fill</x:v>
      </x:c>
      <x:c r="I21" s="151" t="str">
        <x:v>Yodha Infrastructure Assessment RevB</x:v>
      </x:c>
      <x:c r="J21" s="151" t="str">
        <x:v>AMBER - PC SUM</x:v>
      </x:c>
      <x:c r="K21" s="151" t="str">
        <x:v>923m3 net imported engineered fill. PC represents delivered material budget pending source/haul/quality quote; placement/compaction is EW02.</x:v>
      </x:c>
      <x:c r="L21" s="150" t="str">
        <x:f t="shared" si="1"/>
        <x:v>PC Sum</x:v>
      </x:c>
      <x:c r="M21" s="150" t="str">
        <x:f t="shared" si="2"/>
        <x:v>$60,000 PC (~$65/m3 library benchmark)</x:v>
      </x:c>
      <x:c r="N21" s="150" t="str">
        <x:f t="shared" si="3"/>
        <x:v>Consultant quantity / company library benchmark</x:v>
      </x:c>
      <x:c r="O21" s="150" t="str">
        <x:f t="shared" si="4"/>
        <x:v>https://drive.google.com/file/d/1E2pA5xAjqtzS12X8mscEUzcIZ39RrFtM/view</x:v>
      </x:c>
      <x:c r="P21" s="150" t="str">
        <x:v>AMBER</x:v>
      </x:c>
      <x:c r="Q21" s="151" t="str">
        <x:v>Obtain delivered engineered-fill quote including testing/source certification and load basis.</x:v>
      </x:c>
      <x:c r="R21" s="106" t="str">
        <x:f t="shared" si="5"/>
        <x:v>Rick</x:v>
      </x:c>
      <x:c r="S21" s="146" t="str">
        <x:v>AMBER - QUOTE REQUEST SENT</x:v>
      </x:c>
      <x:c r="T21" s="140" t="str">
        <x:v>Q-06 SENT 07-Sep-2026 - 923m3 engineered fill + AP20/AP40 delivery</x:v>
      </x:c>
    </x:row>
    <x:row r="22" ht="21" customHeight="1">
      <x:c r="A22" s="147" t="str">
        <x:v>Earthworks</x:v>
      </x:c>
      <x:c r="B22" s="147" t="str">
        <x:v>EW10</x:v>
      </x:c>
      <x:c r="C22" s="147" t="str">
        <x:v>Topsoil handling / reuse / export duplication control</x:v>
      </x:c>
      <x:c r="D22" s="147" t="str">
        <x:v>m3</x:v>
      </x:c>
      <x:c r="E22" s="148" t="n">
        <x:v>0</x:v>
      </x:c>
      <x:c r="F22" s="818" t="n">
        <x:f t="shared" si="0">IF(B22="","",IF(E22=0,0,G22/E22))</x:f>
        <x:v>0</x:v>
      </x:c>
      <x:c r="G22" s="818" t="n">
        <x:f>IF(B22="","",SUMIF('Resource Build-Up'!$B$7:$B$306,B22,'Resource Build-Up'!$Z$7:$Z$306))</x:f>
        <x:v>0</x:v>
      </x:c>
      <x:c r="H22" s="147" t="str">
        <x:v>DUPLICATION CONTROL - geotech typical 0.3-0.4m topsoil</x:v>
      </x:c>
      <x:c r="I22" s="147" t="str">
        <x:v>Typical 0.3-0.4m topsoil across 2,119m2 implies 636-848m3; not added separately</x:v>
      </x:c>
      <x:c r="J22" s="147" t="str">
        <x:v>AMBER - INCLUDED / RECONCILE</x:v>
      </x:c>
      <x:c r="K22" s="147" t="str">
        <x:v>Surface stripping is included in EW01; no second bulk topsoil excavation is added. EW08 PC covers incidental surplus disposal only.</x:v>
      </x:c>
      <x:c r="L22" s="150" t="str">
        <x:f t="shared" si="1"/>
        <x:v>Included in EW01 / EW08 PC</x:v>
      </x:c>
      <x:c r="M22" s="150" t="str">
        <x:f t="shared" si="2"/>
        <x:v>No separate add</x:v>
      </x:c>
      <x:c r="N22" s="150" t="str">
        <x:f t="shared" si="3"/>
        <x:v>Topsoil treatment to be reconciled to mass balance</x:v>
      </x:c>
      <x:c r="O22" s="150" t="str">
        <x:f t="shared" si="4"/>
        <x:v>Geotechnical</x:v>
      </x:c>
      <x:c r="P22" s="150" t="str">
        <x:v>AMBER</x:v>
      </x:c>
      <x:c r="Q22" s="147" t="str">
        <x:v>Confirm onsite stockpile/reuse and any surplus topsoil disposal before award.</x:v>
      </x:c>
      <x:c r="R22" s="106" t="str">
        <x:f t="shared" si="5"/>
        <x:v>Rick</x:v>
      </x:c>
      <x:c r="S22" s="146" t="str">
        <x:v>AMBER - INCLUDED / DUPLICATION CONTROL</x:v>
      </x:c>
      <x:c r="T22" s="140" t="str">
        <x:v>Included in EW01/EW08; confirm topsoil reuse/export before award</x:v>
      </x:c>
    </x:row>
    <x:row r="23" ht="21" customHeight="1">
      <x:c r="A23" s="35" t="str">
        <x:v>Pavements &amp; Concrete</x:v>
      </x:c>
      <x:c r="B23" s="35" t="str">
        <x:v>PV01</x:v>
      </x:c>
      <x:c r="C23" s="35" t="str">
        <x:v>Internal carpark / driveway concrete pavement</x:v>
      </x:c>
      <x:c r="D23" s="35" t="str">
        <x:v>m2</x:v>
      </x:c>
      <x:c r="E23" s="152" t="n">
        <x:v>478.35</x:v>
      </x:c>
      <x:c r="F23" s="819" t="n">
        <x:f t="shared" si="0">IF(B23="","",IF(E23=0,0,G23/E23))</x:f>
        <x:v>161.50864614037837</x:v>
      </x:c>
      <x:c r="G23" s="819" t="n">
        <x:f>IF(B23="","",SUMIF('Resource Build-Up'!$B$7:$B$306,B23,'Resource Build-Up'!$Z$7:$Z$306))</x:f>
        <x:v>77257.66088125</x:v>
      </x:c>
      <x:c r="H23" s="35" t="str">
        <x:v>CALCULATED / PROVISIONAL SPLIT - STAMPED RC TOTAL</x:v>
      </x:c>
      <x:c r="I23" s="35" t="str">
        <x:v>Civil DWG301/311 + Architectural A1 Rev17 + TPW 11-Sep-2026</x:v>
      </x:c>
      <x:c r="J23" s="35" t="str">
        <x:v>Civil DWG301/311 + LUC60463161 Stamped Plans A1 Rev11e + TPW clarification 11-Sep-2026</x:v>
      </x:c>
      <x:c r="K23" s="35" t="str">
        <x:v>Stamped RC tender basis confirmed by TPW: 568m2 carparks &amp; footpath total. Rev29 carries PV01 478.35m2 and PV04 89.65m2 as a transparent provisional build-up split pending fresh marked-up remeasurement. PV01 retains DWG311 150mm concrete + 665 mesh + 50mm AP20 + 150mm AP40. Separate 33m2 ramp/entry/steps remains OWNER TBC.</x:v>
      </x:c>
      <x:c r="L23" s="70" t="str">
        <x:f t="shared" si="1"/>
        <x:v>DWG311: 150mm concrete + 665 mesh + 50mm AP20 + 150mm AP40. 150mm AP40 retained pending RFI-11.</x:v>
      </x:c>
      <x:c r="M23" s="70" t="str">
        <x:f t="shared" si="2"/>
        <x:v>First principles</x:v>
      </x:c>
      <x:c r="N23" s="70" t="str">
        <x:f t="shared" si="3"/>
        <x:v>Material + placement control; specialist place/finish quote required</x:v>
      </x:c>
      <x:c r="O23" s="70" t="str">
        <x:f t="shared" si="4"/>
        <x:v>Civil drawings</x:v>
      </x:c>
      <x:c r="P23" s="70" t="str">
        <x:v>AMBER</x:v>
      </x:c>
      <x:c r="Q23" s="35" t="str">
        <x:v>Fresh markup/remeasure the 568m2 stamped-RC geometry by pavement/path build-up; Q-05 still required for placing productivity.</x:v>
      </x:c>
      <x:c r="R23" s="106" t="str">
        <x:f t="shared" si="5"/>
        <x:v>Rick</x:v>
      </x:c>
      <x:c r="S23" s="146" t="str">
        <x:v>RESOURCE QA / TPW BASIS CONFIRMED</x:v>
      </x:c>
      <x:c r="T23" s="140" t="str">
        <x:v>Rev17 confirms 568m2 concrete carpark including all paths. PV01/PV04 split remains provisional pending marked-up remeasurement.</x:v>
      </x:c>
    </x:row>
    <x:row r="24" ht="21" customHeight="1">
      <x:c r="A24" s="33" t="str">
        <x:v>Pavements &amp; Concrete</x:v>
      </x:c>
      <x:c r="B24" s="33" t="str">
        <x:v>PV02</x:v>
      </x:c>
      <x:c r="C24" s="33" t="str">
        <x:v>Hobsonville Road public VX203 vehicle crossing</x:v>
      </x:c>
      <x:c r="D24" s="33" t="str">
        <x:v>m2</x:v>
      </x:c>
      <x:c r="E24" s="152" t="n">
        <x:v>37.7665</x:v>
      </x:c>
      <x:c r="F24" s="819" t="n">
        <x:f t="shared" si="0">IF(B24="","",IF(E24=0,0,G24/E24))</x:f>
        <x:v>483.23249440641837</x:v>
      </x:c>
      <x:c r="G24" s="819" t="n">
        <x:f>IF(B24="","",SUMIF('Resource Build-Up'!$B$7:$B$306,B24,'Resource Build-Up'!$Z$7:$Z$306))</x:f>
        <x:v>18250</x:v>
      </x:c>
      <x:c r="H24" s="33" t="str">
        <x:v>MEASURED - public Hobsonville Road VX203 crossing footprint</x:v>
      </x:c>
      <x:c r="I24" s="33" t="str">
        <x:v>Civil DWG301/331 + vector measurement + Traffic Assessment</x:v>
      </x:c>
      <x:c r="J24" s="33" t="str">
        <x:v>AMBER - PC SUM</x:v>
      </x:c>
      <x:c r="K24" s="33" t="str">
        <x:v>Public crossing only. Private ROW/JOAL connection is contained in PV01 internal pavement quantity. PC excludes separate corporate OH/profit.</x:v>
      </x:c>
      <x:c r="L24" s="70" t="str">
        <x:f t="shared" si="1"/>
        <x:v>PC Sum</x:v>
      </x:c>
      <x:c r="M24" s="70" t="str">
        <x:f t="shared" si="2"/>
        <x:v>$18,250 PC for full crossing construction; basic CAR/TMP allowance is within PG01.</x:v>
      </x:c>
      <x:c r="N24" s="70" t="str">
        <x:f t="shared" si="3"/>
        <x:v>Measured / PC</x:v>
      </x:c>
      <x:c r="O24" s="70" t="str">
        <x:f t="shared" si="4"/>
        <x:v>https://drive.google.com/file/d/1_GC1pZRkY0VVjGWh17zFWbHAmaAdaPXj/view</x:v>
      </x:c>
      <x:c r="P24" s="70" t="str">
        <x:v>AMBER</x:v>
      </x:c>
      <x:c r="Q24" s="33" t="str">
        <x:v>Obtain crossing/TTM quote and confirm council/AT inspection/fee responsibility.</x:v>
      </x:c>
      <x:c r="R24" s="106" t="str">
        <x:f t="shared" si="5"/>
        <x:v>Rick</x:v>
      </x:c>
      <x:c r="S24" s="146" t="str">
        <x:v>AMBER - QUOTE REQUEST SENT</x:v>
      </x:c>
      <x:c r="T24" s="140" t="str">
        <x:v>Q-05 + Q-07 SENT 07-Sep-2026 - crossing construction and CAR/TMP</x:v>
      </x:c>
    </x:row>
    <x:row r="25" ht="21" customHeight="1">
      <x:c r="A25" s="151" t="str">
        <x:v>Pavements &amp; Concrete</x:v>
      </x:c>
      <x:c r="B25" s="151" t="str">
        <x:v>PV03</x:v>
      </x:c>
      <x:c r="C25" s="151" t="str">
        <x:v>Private ROW / JOAL access connection</x:v>
      </x:c>
      <x:c r="D25" s="151" t="str">
        <x:v>m2</x:v>
      </x:c>
      <x:c r="E25" s="148" t="n">
        <x:v>0</x:v>
      </x:c>
      <x:c r="F25" s="818" t="n">
        <x:f t="shared" si="0">IF(B25="","",IF(E25=0,0,G25/E25))</x:f>
        <x:v>0</x:v>
      </x:c>
      <x:c r="G25" s="818" t="n">
        <x:f>IF(B25="","",SUMIF('Resource Build-Up'!$B$7:$B$306,B25,'Resource Build-Up'!$Z$7:$Z$306))</x:f>
        <x:v>0</x:v>
      </x:c>
      <x:c r="H25" s="151" t="str">
        <x:v>INCLUDED IN PV01</x:v>
      </x:c>
      <x:c r="I25" s="151" t="str">
        <x:v>Combined two-access footprint is 37.8m2; public/private split unresolved</x:v>
      </x:c>
      <x:c r="J25" s="151" t="str">
        <x:v>AMBER - INCLUDED</x:v>
      </x:c>
      <x:c r="K25" s="151" t="str">
        <x:v>Private ROW/JOAL site connection forms part of internal pavement footprint already measured in PV01; no second pavement add.</x:v>
      </x:c>
      <x:c r="L25" s="150" t="str">
        <x:f t="shared" si="1"/>
        <x:v>Included</x:v>
      </x:c>
      <x:c r="M25" s="150" t="str">
        <x:f t="shared" si="2"/>
        <x:v>No separate add</x:v>
      </x:c>
      <x:c r="N25" s="150" t="str">
        <x:f t="shared" si="3"/>
        <x:v>Private/internal pavement build-up pending exact split</x:v>
      </x:c>
      <x:c r="O25" s="150" t="str">
        <x:f t="shared" si="4"/>
        <x:v>Civil / traffic</x:v>
      </x:c>
      <x:c r="P25" s="150" t="str">
        <x:v>AMBER</x:v>
      </x:c>
      <x:c r="Q25" s="151" t="str">
        <x:v>Confirm no separate ROW owner reinstatement obligation.</x:v>
      </x:c>
      <x:c r="R25" s="106" t="str">
        <x:f t="shared" si="5"/>
        <x:v>Rick</x:v>
      </x:c>
      <x:c r="S25" s="146" t="str">
        <x:v>AMBER - INCLUDED</x:v>
      </x:c>
      <x:c r="T25" s="140" t="str">
        <x:v>Included in PV01 internal pavement; confirm ROW owner reinstatement obligation</x:v>
      </x:c>
    </x:row>
    <x:row r="26" ht="21" customHeight="1">
      <x:c r="A26" s="147" t="str">
        <x:v>Pavements &amp; Concrete</x:v>
      </x:c>
      <x:c r="B26" s="147" t="str">
        <x:v>PV04</x:v>
      </x:c>
      <x:c r="C26" s="147" t="str">
        <x:v>External concrete paths / interface paving</x:v>
      </x:c>
      <x:c r="D26" s="147" t="str">
        <x:v>m2</x:v>
      </x:c>
      <x:c r="E26" s="148" t="n">
        <x:v>89.65</x:v>
      </x:c>
      <x:c r="F26" s="818" t="n">
        <x:f t="shared" si="0">IF(B26="","",IF(E26=0,0,G26/E26))</x:f>
        <x:v>234.54157782515992</x:v>
      </x:c>
      <x:c r="G26" s="818" t="n">
        <x:f>IF(B26="","",SUMIF('Resource Build-Up'!$B$7:$B$306,B26,'Resource Build-Up'!$Z$7:$Z$306))</x:f>
        <x:v>21026.652452025588</x:v>
      </x:c>
      <x:c r="H26" s="147" t="str">
        <x:v>CALCULATED / PROVISIONAL SPLIT - STAMPED RC TOTAL</x:v>
      </x:c>
      <x:c r="I26" s="147" t="str">
        <x:v>Architectural A1 Rev17 + TPW 11-Sep-2026</x:v>
      </x:c>
      <x:c r="J26" s="147" t="str">
        <x:v>LUC60463161 Stamped Plans A1 Rev11e + TPW clarification 11-Sep-2026</x:v>
      </x:c>
      <x:c r="K26" s="147" t="str">
        <x:v>89.65m2 residual path/interface paving control. $/m2 PC basis retained and scaled pending fresh marked-up remeasurement and final path build-up confirmation. Separate 33m2 ramp/entry/steps is not included.</x:v>
      </x:c>
      <x:c r="L26" s="150" t="str">
        <x:f t="shared" si="1"/>
        <x:v>PC Sum</x:v>
      </x:c>
      <x:c r="M26" s="150" t="str">
        <x:f t="shared" si="2"/>
        <x:v>$11,000 PC</x:v>
      </x:c>
      <x:c r="N26" s="150" t="str">
        <x:f t="shared" si="3"/>
        <x:v>Concrete supply sensitivity 100/125/150mm retained</x:v>
      </x:c>
      <x:c r="O26" s="150" t="str">
        <x:f t="shared" si="4"/>
        <x:v>Architectural / civil</x:v>
      </x:c>
      <x:c r="P26" s="150" t="str">
        <x:v>AMBER - PC SUM / BUILD-UP HOLD</x:v>
      </x:c>
      <x:c r="Q26" s="147" t="str">
        <x:v>Fresh markup/remeasure stamped-RC path geometry and confirm slab/base/reinforcement build-up.</x:v>
      </x:c>
      <x:c r="R26" s="106" t="str">
        <x:f t="shared" si="5"/>
        <x:v>Rick</x:v>
      </x:c>
      <x:c r="S26" s="146" t="str">
        <x:v>AMBER - TPW QUANTITY BASIS CLOSED / SPLIT OPEN</x:v>
      </x:c>
      <x:c r="T26" s="140" t="str">
        <x:v>Rev17 confirms 568m2 total includes all paths; PV04 remains provisional residual split.</x:v>
      </x:c>
    </x:row>
    <x:row r="27" ht="21" customHeight="1">
      <x:c r="A27" s="151" t="str">
        <x:v>Pavements &amp; Concrete</x:v>
      </x:c>
      <x:c r="B27" s="151" t="str">
        <x:v>PV05</x:v>
      </x:c>
      <x:c r="C27" s="151" t="str">
        <x:v>Line marking, accessible symbols/signage and directional markings</x:v>
      </x:c>
      <x:c r="D27" s="151" t="str">
        <x:v>LS</x:v>
      </x:c>
      <x:c r="E27" s="148" t="n">
        <x:v>1</x:v>
      </x:c>
      <x:c r="F27" s="818" t="n">
        <x:f t="shared" si="0">IF(B27="","",IF(E27=0,0,G27/E27))</x:f>
        <x:v>2500</x:v>
      </x:c>
      <x:c r="G27" s="818" t="n">
        <x:f>IF(B27="","",SUMIF('Resource Build-Up'!$B$7:$B$306,B27,'Resource Build-Up'!$Z$7:$Z$306))</x:f>
        <x:v>2500</x:v>
      </x:c>
      <x:c r="H27" s="151" t="str">
        <x:v>PC SUM - 21 parking spaces incl. 1 accessible bay shown; detailed marking schedule to quote</x:v>
      </x:c>
      <x:c r="I27" s="151" t="str">
        <x:v>Issued arrangement shows parking/accessible requirements; final measured marking schedule not complete</x:v>
      </x:c>
      <x:c r="J27" s="151" t="str">
        <x:v>AMBER - PC SUM</x:v>
      </x:c>
      <x:c r="K27" s="151" t="str">
        <x:v>Includes parking lines, accessible symbol/signage and normal directional markings allowance. Final scope by specialist quote.</x:v>
      </x:c>
      <x:c r="L27" s="150" t="str">
        <x:f t="shared" si="1"/>
        <x:v>PC Sum</x:v>
      </x:c>
      <x:c r="M27" s="150" t="str">
        <x:f t="shared" si="2"/>
        <x:v>$2,500 PC</x:v>
      </x:c>
      <x:c r="N27" s="150" t="str">
        <x:f t="shared" si="3"/>
        <x:v>Line-marking subcontract package</x:v>
      </x:c>
      <x:c r="O27" s="150" t="str">
        <x:f t="shared" si="4"/>
        <x:v>Architectural / traffic</x:v>
      </x:c>
      <x:c r="P27" s="150" t="str">
        <x:v>AMBER</x:v>
      </x:c>
      <x:c r="Q27" s="151" t="str">
        <x:v>Obtain line-marking quote and confirm accessible-space consent requirement.</x:v>
      </x:c>
      <x:c r="R27" s="106" t="str">
        <x:f t="shared" si="5"/>
        <x:v>Rick</x:v>
      </x:c>
      <x:c r="S27" s="146" t="str">
        <x:v>AMBER - QUOTE REQUEST SENT</x:v>
      </x:c>
      <x:c r="T27" s="140" t="str">
        <x:v>Q-09 SENT 07-Sep-2026 - line marking/accessibility/signage</x:v>
      </x:c>
    </x:row>
    <x:row r="28" ht="21" customHeight="1">
      <x:c r="A28" s="33" t="str">
        <x:v>Pavements &amp; Concrete</x:v>
      </x:c>
      <x:c r="B28" s="34" t="str">
        <x:v>PV06</x:v>
      </x:c>
      <x:c r="C28" s="34" t="str">
        <x:v>Speed control devices / speed bumps</x:v>
      </x:c>
      <x:c r="D28" s="34" t="str">
        <x:v>ea</x:v>
      </x:c>
      <x:c r="E28" s="17" t="n">
        <x:v>0</x:v>
      </x:c>
      <x:c r="F28" s="817" t="n">
        <x:f t="shared" si="0">IF(B28="","",IF(E28=0,0,G28/E28))</x:f>
        <x:v>0</x:v>
      </x:c>
      <x:c r="G28" s="819" t="n">
        <x:f>IF(B28="","",SUMIF('Resource Build-Up'!$B$7:$B$306,B28,'Resource Build-Up'!$Z$7:$Z$306))</x:f>
        <x:v>0</x:v>
      </x:c>
      <x:c r="H28" s="34" t="str">
        <x:v>EXCLUDED - existing topographic survey feature / no proposed new device identified</x:v>
      </x:c>
      <x:c r="I28" s="34" t="str">
        <x:v>Infrastructure Assessment Appendix topographical survey; checked against Arch Rev16 and Civil EPA proposed-work drawings</x:v>
      </x:c>
      <x:c r="J28" s="34" t="str">
        <x:v>EXCLUDED / RFI IF INSTRUCTED</x:v>
      </x:c>
      <x:c r="K28" s="34" t="str">
        <x:v>Existing Speed Bump is shown on the underlying topographical survey at the Lot 7 / JOAL. No proposed new speed bump/speed-control device was found in the current Architectural Rev16 or Civil EPA proposed-work drawings. Excluded unless expressly instructed.</x:v>
      </x:c>
      <x:c r="L28" s="70" t="str">
        <x:f t="shared" si="1"/>
        <x:v>Excluded / By Existing</x:v>
      </x:c>
      <x:c r="M28" s="71" t="str">
        <x:f t="shared" si="2"/>
        <x:v>$0 - no new Siteworks speed-control device</x:v>
      </x:c>
      <x:c r="N28" s="71" t="str">
        <x:f t="shared" si="3"/>
        <x:v>Current proposed-work drawings + existing survey</x:v>
      </x:c>
      <x:c r="O28" s="71" t="str">
        <x:f t="shared" si="4"/>
        <x:v>Infrastructure Assessment appendix / Arch Rev16 / Civil EPA</x:v>
      </x:c>
      <x:c r="P28" s="70" t="str">
        <x:v>AMBER</x:v>
      </x:c>
      <x:c r="Q28" s="34" t="str">
        <x:v>If new speed controls are intended, issue detail/count/product and reprice.</x:v>
      </x:c>
      <x:c r="R28" s="106" t="str">
        <x:f t="shared" si="5"/>
        <x:v>Rick</x:v>
      </x:c>
      <x:c r="S28" s="146" t="str">
        <x:v>AMBER - EXCLUDED FROM CURRENT TENDER BASIS</x:v>
      </x:c>
      <x:c r="T28" s="140" t="str">
        <x:v>Q-09 remains line-marking only; any returned speed-device price is not adopted unless scope is instructed.</x:v>
      </x:c>
    </x:row>
    <x:row r="29" ht="21" customHeight="1">
      <x:c r="A29" s="156" t="str">
        <x:v>Kerbs, Channels &amp; External Sitework</x:v>
      </x:c>
      <x:c r="B29" s="156" t="str">
        <x:v>ES01</x:v>
      </x:c>
      <x:c r="C29" s="156" t="str">
        <x:v>Dry service / utility trenches</x:v>
      </x:c>
      <x:c r="D29" s="156" t="str">
        <x:v>LS</x:v>
      </x:c>
      <x:c r="E29" s="154" t="n">
        <x:v>1</x:v>
      </x:c>
      <x:c r="F29" s="820" t="n">
        <x:f t="shared" si="0">IF(B29="","",IF(E29=0,0,G29/E29))</x:f>
        <x:v>15000</x:v>
      </x:c>
      <x:c r="G29" s="820" t="n">
        <x:f>IF(B29="","",SUMIF('Resource Build-Up'!$B$7:$B$306,B29,'Resource Build-Up'!$Z$7:$Z$306))</x:f>
        <x:v>15000</x:v>
      </x:c>
      <x:c r="H29" s="156" t="str">
        <x:v>PC SUM - service trench design explicitly by others</x:v>
      </x:c>
      <x:c r="I29" s="156" t="str">
        <x:v>Civil DWG311 states typical service trench details to be designed by others</x:v>
      </x:c>
      <x:c r="J29" s="156" t="str">
        <x:v>AMBER - PC SUM / DESIGN HOLD</x:v>
      </x:c>
      <x:c r="K29" s="156" t="str">
        <x:v>PC retained to avoid tender omission. Includes generic excavation/backfill/duct-interface allowance only; service supply/testing remains subject to design.</x:v>
      </x:c>
      <x:c r="L29" s="146" t="str">
        <x:f t="shared" si="1"/>
        <x:v>PC Sum</x:v>
      </x:c>
      <x:c r="M29" s="146" t="str">
        <x:f t="shared" si="2"/>
        <x:v>$15,000 PC</x:v>
      </x:c>
      <x:c r="N29" s="146" t="str">
        <x:f t="shared" si="3"/>
        <x:v>CW/008 client return; physical trench scope pending</x:v>
      </x:c>
      <x:c r="O29" s="146" t="str">
        <x:f t="shared" si="4"/>
        <x:v>Civil</x:v>
      </x:c>
      <x:c r="P29" s="146" t="str">
        <x:v>AMBER</x:v>
      </x:c>
      <x:c r="Q29" s="156" t="str">
        <x:v>Obtain coordinated service layout/sections and replace PC with measured build-up.</x:v>
      </x:c>
      <x:c r="R29" s="106" t="str">
        <x:f t="shared" si="5"/>
        <x:v>Rick</x:v>
      </x:c>
      <x:c r="S29" s="146" t="str">
        <x:v>AMBER - PC / DESIGN HOLD</x:v>
      </x:c>
      <x:c r="T29" s="140" t="str">
        <x:v>PC only - Civil DWG311 says service trench details by others; coordinated design required</x:v>
      </x:c>
    </x:row>
    <x:row r="30" ht="21" customHeight="1">
      <x:c r="A30" s="33" t="str">
        <x:v>Kerbs, Channels &amp; External Sitework</x:v>
      </x:c>
      <x:c r="B30" s="34" t="str">
        <x:v>ES02</x:v>
      </x:c>
      <x:c r="C30" s="34" t="str">
        <x:v>Carpark formed dish channel / surface channel interface</x:v>
      </x:c>
      <x:c r="D30" s="34" t="str">
        <x:v>LS</x:v>
      </x:c>
      <x:c r="E30" s="17" t="n">
        <x:v>1</x:v>
      </x:c>
      <x:c r="F30" s="817" t="n">
        <x:f t="shared" si="0">IF(B30="","",IF(E30=0,0,G30/E30))</x:f>
        <x:v>7500</x:v>
      </x:c>
      <x:c r="G30" s="817" t="n">
        <x:f>IF(B30="","",SUMIF('Resource Build-Up'!$B$7:$B$306,B30,'Resource Build-Up'!$Z$7:$Z$306))</x:f>
        <x:v>7500</x:v>
      </x:c>
      <x:c r="H30" s="34" t="str">
        <x:v>PC SUM - dish channel shown, final length/interface not verified</x:v>
      </x:c>
      <x:c r="I30" s="34" t="str">
        <x:v>Dish channel shown; length and Siteworks / downstream drainage connection boundary not confirmed</x:v>
      </x:c>
      <x:c r="J30" s="34" t="str">
        <x:v>AMBER - PC SUM</x:v>
      </x:c>
      <x:c r="K30" s="34" t="str">
        <x:v>Formed surface channel only; downstream catchpit/pipe drainage remains a by-others interface unless instructed.</x:v>
      </x:c>
      <x:c r="L30" s="71" t="str">
        <x:f t="shared" si="1"/>
        <x:v>PC Sum</x:v>
      </x:c>
      <x:c r="M30" s="71" t="str">
        <x:f t="shared" si="2"/>
        <x:v>$7,500 PC</x:v>
      </x:c>
      <x:c r="N30" s="71" t="str">
        <x:f t="shared" si="3"/>
        <x:v>Concrete channel quantity pending</x:v>
      </x:c>
      <x:c r="O30" s="71" t="str">
        <x:f t="shared" si="4"/>
        <x:v>Civil</x:v>
      </x:c>
      <x:c r="P30" s="71" t="str">
        <x:v>AMBER</x:v>
      </x:c>
      <x:c r="Q30" s="34" t="str">
        <x:v>Measure final length and confirm downstream ownership.</x:v>
      </x:c>
      <x:c r="R30" s="106" t="str">
        <x:f t="shared" si="5"/>
        <x:v>Rick</x:v>
      </x:c>
      <x:c r="S30" s="146" t="str">
        <x:v>AMBER - PC / RFI HOLD</x:v>
      </x:c>
      <x:c r="T30" s="140" t="str">
        <x:v>PC only - measure dish channel and confirm downstream drainage interface</x:v>
      </x:c>
    </x:row>
    <x:row r="31" ht="21" customHeight="1">
      <x:c r="A31" s="151" t="str">
        <x:v>Kerbs, Channels &amp; External Sitework</x:v>
      </x:c>
      <x:c r="B31" s="151" t="str">
        <x:v>ES03</x:v>
      </x:c>
      <x:c r="C31" s="151" t="str">
        <x:v>Allproof level-threshold drainage to flush exterior openings</x:v>
      </x:c>
      <x:c r="D31" s="151" t="str">
        <x:v>lm</x:v>
      </x:c>
      <x:c r="E31" s="148" t="n">
        <x:v>44</x:v>
      </x:c>
      <x:c r="F31" s="818" t="n">
        <x:f t="shared" si="0">IF(B31="","",IF(E31=0,0,G31/E31))</x:f>
        <x:v>909.0909090909091</x:v>
      </x:c>
      <x:c r="G31" s="818" t="n">
        <x:f>IF(B31="","",SUMIF('Resource Build-Up'!$B$7:$B$306,B31,'Resource Build-Up'!$Z$7:$Z$306))</x:f>
        <x:v>40000</x:v>
      </x:c>
      <x:c r="H31" s="151" t="str">
        <x:v>PROVIDED / CALCULATED ORDER QUANTITY - 22 door thresholds x 2.0m channel/grating each per Allproof clarification</x:v>
      </x:c>
      <x:c r="I31" s="151" t="str">
        <x:v>Arch A5/A12 Rev16 + Allproof Level Threshold Solutions technical + Tracey/Allproof email 07-Sep-2026</x:v>
      </x:c>
      <x:c r="J31" s="151" t="str">
        <x:v>AMBER - SUPPLIER QUANTITY CLARIFIED / PRODUCT SELECTION OPEN</x:v>
      </x:c>
      <x:c r="K31" s="151" t="str">
        <x:v>44m is the current supplier ordering control (22 doors x 2m), superseding the 43.88lm opening-width control for procurement. Allow 44 end caps (2 per door). GFN versus Wedge Wire grate remains unselected. Outlets and downstream connection remain a Siteworks / separate-drainage interface.</x:v>
      </x:c>
      <x:c r="L31" s="150" t="str">
        <x:f t="shared" si="1"/>
        <x:v>Resource-linked</x:v>
      </x:c>
      <x:c r="M31" s="150" t="str">
        <x:f t="shared" si="2"/>
        <x:v>Resource Build-Up -&gt; ES03</x:v>
      </x:c>
      <x:c r="N31" s="150" t="str">
        <x:f t="shared" si="3"/>
        <x:v>Resource Build-Up</x:v>
      </x:c>
      <x:c r="O31" s="150" t="str">
        <x:f t="shared" si="4"/>
        <x:v>See Resource Build-Up / Resource Rate Library</x:v>
      </x:c>
      <x:c r="P31" s="150" t="str">
        <x:v>RESOURCE LINKED</x:v>
      </x:c>
      <x:c r="Q31" s="151" t="str">
        <x:v>Confirm GFN vs Wedge Wire grate selection and outlet/downstream connection responsibility. 7-8 week lead time is now confirmed for the stated quantity.</x:v>
      </x:c>
      <x:c r="R31" s="106" t="str">
        <x:f t="shared" si="5"/>
        <x:v>Rick</x:v>
      </x:c>
      <x:c r="S31" s="146" t="str">
        <x:v>RESOURCE QA</x:v>
      </x:c>
      <x:c r="T31" s="140" t="str">
        <x:v>Q-01 CLARIFIED 07-Sep-2026: 44m channel/grating + 44 end caps; no further supplier takeoff expected</x:v>
      </x:c>
    </x:row>
    <x:row r="32" ht="21" customHeight="1">
      <x:c r="A32" s="147" t="str">
        <x:v>Kerbs, Channels &amp; External Sitework</x:v>
      </x:c>
      <x:c r="B32" s="147" t="str">
        <x:v>ES04</x:v>
      </x:c>
      <x:c r="C32" s="147" t="str">
        <x:v>OLFP fence opening / reinstatement interface</x:v>
      </x:c>
      <x:c r="D32" s="147" t="str">
        <x:v>LS</x:v>
      </x:c>
      <x:c r="E32" s="148" t="n">
        <x:v>1</x:v>
      </x:c>
      <x:c r="F32" s="818" t="n">
        <x:f t="shared" si="0">IF(B32="","",IF(E32=0,0,G32/E32))</x:f>
        <x:v>2500</x:v>
      </x:c>
      <x:c r="G32" s="818" t="n">
        <x:f>IF(B32="","",SUMIF('Resource Build-Up'!$B$7:$B$306,B32,'Resource Build-Up'!$Z$7:$Z$306))</x:f>
        <x:v>2500</x:v>
      </x:c>
      <x:c r="H32" s="147" t="str">
        <x:v>PROVIDED / RFI</x:v>
      </x:c>
      <x:c r="I32" s="147" t="str">
        <x:v>Flood report requires fence openings to pass OLFP; responsibility not assigned</x:v>
      </x:c>
      <x:c r="J32" s="147" t="str">
        <x:v>AMBER - PC SUM</x:v>
      </x:c>
      <x:c r="K32" s="147" t="str">
        <x:v>Flood assessment requires fence openings/reinstatement to maintain OLFP. PC retained pending fence-trade ownership.</x:v>
      </x:c>
      <x:c r="L32" s="150" t="str">
        <x:f t="shared" si="1"/>
        <x:v>Resource-linked</x:v>
      </x:c>
      <x:c r="M32" s="150" t="str">
        <x:f t="shared" si="2"/>
        <x:v>Resource Build-Up -&gt; ES04</x:v>
      </x:c>
      <x:c r="N32" s="150" t="str">
        <x:f t="shared" si="3"/>
        <x:v>Resource Build-Up</x:v>
      </x:c>
      <x:c r="O32" s="150" t="str">
        <x:f t="shared" si="4"/>
        <x:v>See Resource Build-Up / Resource Rate Library</x:v>
      </x:c>
      <x:c r="P32" s="150" t="str">
        <x:v>RESOURCE LINKED</x:v>
      </x:c>
      <x:c r="Q32" s="147" t="str">
        <x:v>Confirm fencing responsibility and detail.</x:v>
      </x:c>
      <x:c r="R32" s="106" t="str">
        <x:f t="shared" si="5"/>
        <x:v>Rick</x:v>
      </x:c>
      <x:c r="S32" s="146" t="str">
        <x:v>RESOURCE QA</x:v>
      </x:c>
      <x:c r="T32" s="140" t="str">
        <x:v>PC only - OLFP fence opening/reinstatement responsibility unresolved</x:v>
      </x:c>
    </x:row>
    <x:row r="33" ht="21" customHeight="1">
      <x:c r="A33" s="151" t="str">
        <x:v>Retaining Walls</x:v>
      </x:c>
      <x:c r="B33" s="151" t="str">
        <x:v>RW01</x:v>
      </x:c>
      <x:c r="C33" s="151" t="str">
        <x:v>Keystone retaining wall - principal wall length control</x:v>
      </x:c>
      <x:c r="D33" s="151" t="str">
        <x:v>lm</x:v>
      </x:c>
      <x:c r="E33" s="148" t="n">
        <x:v>73.34</x:v>
      </x:c>
      <x:c r="F33" s="818" t="n">
        <x:f t="shared" ref="F33:F63" si="6">IF(B33="","",IF(E33=0,0,G33/E33))</x:f>
        <x:v>613.5805835833106</x:v>
      </x:c>
      <x:c r="G33" s="818" t="n">
        <x:f>IF(B33="","",SUMIF('Resource Build-Up'!$B$7:$B$306,B33,'Resource Build-Up'!$Z$7:$Z$306))</x:f>
        <x:v>45000</x:v>
      </x:c>
      <x:c r="H33" s="151" t="str">
        <x:v>MEASURED CONTROL - principal Keystone alignment</x:v>
      </x:c>
      <x:c r="I33" s="151" t="str">
        <x:v>Preliminary plan measurement; final height-band breakdown pending</x:v>
      </x:c>
      <x:c r="J33" s="151" t="str">
        <x:v>AMBER - PC SUM</x:v>
      </x:c>
      <x:c r="K33" s="151" t="str">
        <x:v>PC covers principal Compac/approved block wall supply/install, base/excavation/pins/caps/freight and ordinary installation. No-fines, drainage and bridging drilling remain separate lines.</x:v>
      </x:c>
      <x:c r="L33" s="150" t="str">
        <x:f t="shared" ref="L33:L63" si="7">IF(B33="","",IF(J33="Excluded","Excluded","Resource-linked"))</x:f>
        <x:v>Resource-linked</x:v>
      </x:c>
      <x:c r="M33" s="150" t="str">
        <x:f t="shared" ref="M33:M63" si="8">IF(B33="","",IF(G33=0,"No resource cost / review","Resource Build-Up -&gt; "&amp;B33))</x:f>
        <x:v>Resource Build-Up -&gt; RW01</x:v>
      </x:c>
      <x:c r="N33" s="150" t="str">
        <x:f t="shared" ref="N33:N63" si="9">IF(B33="","","Resource Build-Up")</x:f>
        <x:v>Resource Build-Up</x:v>
      </x:c>
      <x:c r="O33" s="150" t="str">
        <x:f t="shared" ref="O33:O63" si="10">IF(B33="","","See Resource Build-Up / Resource Rate Library")</x:f>
        <x:v>See Resource Build-Up / Resource Rate Library</x:v>
      </x:c>
      <x:c r="P33" s="150" t="str">
        <x:v>RESOURCE LINKED</x:v>
      </x:c>
      <x:c r="Q33" s="151" t="str">
        <x:v>Obtain supplier/system quote and final height-band takeoff.</x:v>
      </x:c>
      <x:c r="R33" s="106" t="str">
        <x:f t="shared" ref="R33:R63" si="11">IF(OR(ISNUMBER(SEARCH("PC",P33)),ISNUMBER(SEARCH("quote",Q33))),"Jason","Rick")</x:f>
        <x:v>Jason</x:v>
      </x:c>
      <x:c r="S33" s="146" t="str">
        <x:v>RESOURCE QA</x:v>
      </x:c>
      <x:c r="T33" s="140" t="str">
        <x:v>Q-02 SENT 07-Sep-2026 - principal Keystone wall system</x:v>
      </x:c>
    </x:row>
    <x:row r="34" ht="21" customHeight="1">
      <x:c r="A34" s="33" t="str">
        <x:v>Retaining Walls</x:v>
      </x:c>
      <x:c r="B34" s="33" t="str">
        <x:v>RW02</x:v>
      </x:c>
      <x:c r="C34" s="33" t="str">
        <x:v>Keystone retaining wall - low wall length control</x:v>
      </x:c>
      <x:c r="D34" s="33" t="str">
        <x:v>lm</x:v>
      </x:c>
      <x:c r="E34" s="152" t="n">
        <x:v>9.59</x:v>
      </x:c>
      <x:c r="F34" s="819" t="n">
        <x:f t="shared" si="6">IF(B34="","",IF(E34=0,0,G34/E34))</x:f>
        <x:v>729.92700729927</x:v>
      </x:c>
      <x:c r="G34" s="819" t="n">
        <x:f>IF(B34="","",SUMIF('Resource Build-Up'!$B$7:$B$306,B34,'Resource Build-Up'!$Z$7:$Z$306))</x:f>
        <x:v>7000</x:v>
      </x:c>
      <x:c r="H34" s="33" t="str">
        <x:v>MEASURED CONTROL - low Keystone wall alignment</x:v>
      </x:c>
      <x:c r="I34" s="33" t="str">
        <x:v>Preliminary plan measurement; low wall approx 0.5-0.6m</x:v>
      </x:c>
      <x:c r="J34" s="33" t="str">
        <x:v>AMBER - PC SUM</x:v>
      </x:c>
      <x:c r="K34" s="33" t="str">
        <x:v>Low wall separated from principal wall for courses and construction method.</x:v>
      </x:c>
      <x:c r="L34" s="70" t="str">
        <x:f t="shared" si="7"/>
        <x:v>Resource-linked</x:v>
      </x:c>
      <x:c r="M34" s="70" t="str">
        <x:f t="shared" si="8"/>
        <x:v>Resource Build-Up -&gt; RW02</x:v>
      </x:c>
      <x:c r="N34" s="70" t="str">
        <x:f t="shared" si="9"/>
        <x:v>Resource Build-Up</x:v>
      </x:c>
      <x:c r="O34" s="70" t="str">
        <x:f t="shared" si="10"/>
        <x:v>See Resource Build-Up / Resource Rate Library</x:v>
      </x:c>
      <x:c r="P34" s="70" t="str">
        <x:v>RESOURCE LINKED</x:v>
      </x:c>
      <x:c r="Q34" s="33" t="str">
        <x:v>Confirm final height and system quote.</x:v>
      </x:c>
      <x:c r="R34" s="106" t="str">
        <x:f t="shared" si="11"/>
        <x:v>Rick</x:v>
      </x:c>
      <x:c r="S34" s="146" t="str">
        <x:v>RESOURCE QA</x:v>
      </x:c>
      <x:c r="T34" s="140" t="str">
        <x:v>Q-02 SENT 07-Sep-2026 - low Keystone wall system</x:v>
      </x:c>
    </x:row>
    <x:row r="35" ht="21" customHeight="1">
      <x:c r="A35" s="35" t="str">
        <x:v>Retaining Walls</x:v>
      </x:c>
      <x:c r="B35" s="35" t="str">
        <x:v>RW03</x:v>
      </x:c>
      <x:c r="C35" s="35" t="str">
        <x:v>PILE1 bridging piles to Keystone over 450mm SW main</x:v>
      </x:c>
      <x:c r="D35" s="35" t="str">
        <x:v>ea</x:v>
      </x:c>
      <x:c r="E35" s="152" t="n">
        <x:v>7</x:v>
      </x:c>
      <x:c r="F35" s="819" t="n">
        <x:f t="shared" si="6">IF(B35="","",IF(E35=0,0,G35/E35))</x:f>
        <x:v>238.4051369642857</x:v>
      </x:c>
      <x:c r="G35" s="819" t="n">
        <x:f>IF(B35="","",SUMIF('Resource Build-Up'!$B$7:$B$306,B35,'Resource Build-Up'!$Z$7:$Z$306))</x:f>
        <x:v>1668.83595875</x:v>
      </x:c>
      <x:c r="H35" s="35" t="str">
        <x:v>COUNTED / CALCULATED - IN-HOUSE + MATERIAL CONTROL</x:v>
      </x:c>
      <x:c r="I35" s="35" t="str">
        <x:v>7 x PILE1 shown on DHC S101/S304; 500 dia x nominal 1.2m mass concrete. Self-perform build uses 7 plant/auger/support hours.</x:v>
      </x:c>
      <x:c r="J35" s="35" t="str">
        <x:v>AMBER - IN-HOUSE SELF-PERFORM / PART MEASURED</x:v>
      </x:c>
      <x:c r="K35" s="35" t="str">
        <x:v>7 x PILE1 measured. Drilling is priced in-house with 3t excavator + auger + civil labour support; mass-concrete supply remains a separate resource control. Final depth/service clearance verified onsite by geotech.</x:v>
      </x:c>
      <x:c r="L35" s="70" t="str">
        <x:f t="shared" si="7">IF(B35="","",IF(J35="Excluded","Excluded","Resource-linked"))</x:f>
        <x:v>Resource-linked</x:v>
      </x:c>
      <x:c r="M35" s="70" t="str">
        <x:f t="shared" si="8">IF(B35="","",IF(G35=0,"No resource cost / review","Resource Build-Up -&gt; "&amp;B35))</x:f>
        <x:v>Resource Build-Up -&gt; RW03</x:v>
      </x:c>
      <x:c r="N35" s="70" t="str">
        <x:f t="shared" si="9">IF(B35="","","Resource Build-Up")</x:f>
        <x:v>Resource Build-Up</x:v>
      </x:c>
      <x:c r="O35" s="70" t="str">
        <x:f t="shared" si="10">IF(B35="","","See Resource Build-Up / Resource Rate Library")</x:f>
        <x:v>See Resource Build-Up / Resource Rate Library</x:v>
      </x:c>
      <x:c r="P35" s="70" t="str">
        <x:v>RESOURCE LINKED</x:v>
      </x:c>
      <x:c r="Q35" s="35" t="str">
        <x:v>Confirm 500mm auger tooling, mass-concrete grade/minimum load and geotech/service-clearance hold point before construction.</x:v>
      </x:c>
      <x:c r="R35" s="106" t="str">
        <x:f t="shared" si="11">IF(OR(ISNUMBER(SEARCH("PC",P35)),ISNUMBER(SEARCH("quote",Q35))),"Jason","Rick")</x:f>
        <x:v>Rick</x:v>
      </x:c>
      <x:c r="S35" s="146" t="str">
        <x:v>RESOURCE QA</x:v>
      </x:c>
      <x:c r="T35" s="140" t="str">
        <x:v>Q-04 CLOSED TO IN-HOUSE 07-Sep-2026 after Ground Structures decline; concrete supply control remains separate.</x:v>
      </x:c>
    </x:row>
    <x:row r="36" ht="21" customHeight="1">
      <x:c r="A36" s="147" t="str">
        <x:v>Retaining Walls</x:v>
      </x:c>
      <x:c r="B36" s="147" t="str">
        <x:v>RW04</x:v>
      </x:c>
      <x:c r="C36" s="147" t="str">
        <x:v>13MPa no-fines concrete to engineered Keystone gravity wall</x:v>
      </x:c>
      <x:c r="D36" s="147" t="str">
        <x:v>LS</x:v>
      </x:c>
      <x:c r="E36" s="148" t="n">
        <x:v>1</x:v>
      </x:c>
      <x:c r="F36" s="818" t="n">
        <x:f t="shared" si="6">IF(B36="","",IF(E36=0,0,G36/E36))</x:f>
        <x:v>18000</x:v>
      </x:c>
      <x:c r="G36" s="818" t="n">
        <x:f>IF(B36="","",SUMIF('Resource Build-Up'!$B$7:$B$306,B36,'Resource Build-Up'!$Z$7:$Z$306))</x:f>
        <x:v>18000</x:v>
      </x:c>
      <x:c r="H36" s="147" t="str">
        <x:v>QUOTED SUPPLY + CALCULATED VOLUME / PLACEMENT ALLOWANCE</x:v>
      </x:c>
      <x:c r="I36" s="147" t="str">
        <x:v>DHC S303 wall design table applied to Citi 84.0lm height bands gives 47.98m3; Allied quote estimates 50m3.</x:v>
      </x:c>
      <x:c r="J36" s="147" t="str">
        <x:v>DHC S303 Detail 20 + Citi 11-Sep height bands + Allied Quote 11092026SX3BEARS</x:v>
      </x:c>
      <x:c r="K36" s="147" t="str">
        <x:v>Allied supply quote = 50m3 @ $295/m3 excl GST plus variable fuel surcharge. Current 07-Sep fuel rate $6.99/m3 gives $15,099.50 supply sensitivity. Existing $18k RW04 total retained because placement/pumping/method is not quoted; remaining $2,900.50 is AMBER placement/conditional-charge headroom, not a supplier quote.</x:v>
      </x:c>
      <x:c r="L36" s="150" t="str">
        <x:f t="shared" si="7"/>
        <x:v>Resource-linked</x:v>
      </x:c>
      <x:c r="M36" s="150" t="str">
        <x:f t="shared" si="8"/>
        <x:v>Resource Build-Up -&gt; RW04</x:v>
      </x:c>
      <x:c r="N36" s="150" t="str">
        <x:f t="shared" si="9"/>
        <x:v>Resource Build-Up</x:v>
      </x:c>
      <x:c r="O36" s="150" t="str">
        <x:f t="shared" si="10"/>
        <x:v>See Resource Build-Up / Resource Rate Library</x:v>
      </x:c>
      <x:c r="P36" s="150" t="str">
        <x:v>AMBER - SUPPLY QUOTED / PLACEMENT HOLD</x:v>
      </x:c>
      <x:c r="Q36" s="147" t="str">
        <x:v>Confirm no-fines placement method/pump requirement and final governing wall design profile; rerun fuel surcharge at order.</x:v>
      </x:c>
      <x:c r="R36" s="106" t="str">
        <x:f t="shared" si="11"/>
        <x:v>Rick</x:v>
      </x:c>
      <x:c r="S36" s="146" t="str">
        <x:v>RESOURCE QA / Q-03 SUPPLY RECEIVED</x:v>
      </x:c>
      <x:c r="T36" s="140" t="str">
        <x:v>Allied Q-03 received 11-Sep-2026; supply rate/volume materially corroborated.</x:v>
      </x:c>
    </x:row>
    <x:row r="37" ht="21" customHeight="1">
      <x:c r="A37" s="151" t="str">
        <x:v>Retaining Walls</x:v>
      </x:c>
      <x:c r="B37" s="151" t="str">
        <x:v>RW05</x:v>
      </x:c>
      <x:c r="C37" s="151" t="str">
        <x:v>Retaining wall drainage: 100mm Novaflo, aggregate and filter cloth</x:v>
      </x:c>
      <x:c r="D37" s="151" t="str">
        <x:v>lm</x:v>
      </x:c>
      <x:c r="E37" s="148" t="n">
        <x:v>82.93</x:v>
      </x:c>
      <x:c r="F37" s="818" t="n">
        <x:f t="shared" si="6">IF(B37="","",IF(E37=0,0,G37/E37))</x:f>
        <x:v>0</x:v>
      </x:c>
      <x:c r="G37" s="818" t="n">
        <x:f>IF(B37="","",SUMIF('Resource Build-Up'!$B$7:$B$306,B37,'Resource Build-Up'!$Z$7:$Z$306))</x:f>
        <x:v>0</x:v>
      </x:c>
      <x:c r="H37" s="151" t="str">
        <x:v>BY SUBCONTRACT - ALLIED / 108m confirmed</x:v>
      </x:c>
      <x:c r="I37" s="151" t="str">
        <x:v>Allied Ref25237 + Jason Wilson email 10-Sep-2026</x:v>
      </x:c>
      <x:c r="J37" s="151" t="str">
        <x:v>BY SUBCONTRACT / $0 SITEWORKS DIRECT</x:v>
      </x:c>
      <x:c r="K37" s="151" t="str">
        <x:v>Jason confirms 108m Novacoil is the retaining-wall drainage and includes 2 Type 1 cesspits. Former Siteworks RW05 $12,000 PC removed to prevent double counting. Allied package allocation = $19,211.04 including 3 days labour and the two cesspit materials. Confirm filter fabric/accessory completeness against DHC detail.</x:v>
      </x:c>
      <x:c r="L37" s="150" t="str">
        <x:f t="shared" si="7"/>
        <x:v>Resource-linked / subcontract ownership</x:v>
      </x:c>
      <x:c r="M37" s="150" t="str">
        <x:f t="shared" si="8"/>
        <x:v>Resource Build-Up -&gt; RW05 retained as $0 transfer control</x:v>
      </x:c>
      <x:c r="N37" s="150" t="str">
        <x:f t="shared" si="9"/>
        <x:v>Allied Ref25237 / Jason clarification</x:v>
      </x:c>
      <x:c r="O37" s="150" t="str">
        <x:f t="shared" si="10"/>
        <x:v>https://mail.google.com/mail/#all/1a089fd8e6ec7395</x:v>
      </x:c>
      <x:c r="P37" s="150" t="str">
        <x:v>AMBER</x:v>
      </x:c>
      <x:c r="Q37" s="151" t="str">
        <x:v>Ownership and duplicate-cost issue closed. Remaining action is component completeness only; do not add another retaining-drainage PC.</x:v>
      </x:c>
      <x:c r="R37" s="106" t="str">
        <x:f t="shared" si="11"/>
        <x:v>Rick</x:v>
      </x:c>
      <x:c r="S37" s="146" t="str">
        <x:v>AMBER - BY SUBCONTRACT / DUPLICATION CLOSED</x:v>
      </x:c>
      <x:c r="T37" s="140" t="str">
        <x:v>Allied subcontract allocation - see Consolidated Package</x:v>
      </x:c>
    </x:row>
    <x:row r="38" ht="21" customHeight="1">
      <x:c r="A38" s="147" t="str">
        <x:v>Testing, As-Builts &amp; Compliance</x:v>
      </x:c>
      <x:c r="B38" s="147" t="str">
        <x:v>TC01</x:v>
      </x:c>
      <x:c r="C38" s="147" t="str">
        <x:v>Geotechnical inspections / proof-roll / compaction testing</x:v>
      </x:c>
      <x:c r="D38" s="147" t="str">
        <x:v>LS</x:v>
      </x:c>
      <x:c r="E38" s="148" t="n">
        <x:v>1</x:v>
      </x:c>
      <x:c r="F38" s="818" t="n">
        <x:f t="shared" si="6">IF(B38="","",IF(E38=0,0,G38/E38))</x:f>
        <x:v>4600</x:v>
      </x:c>
      <x:c r="G38" s="818" t="n">
        <x:f>IF(B38="","",SUMIF('Resource Build-Up'!$B$7:$B$306,B38,'Resource Build-Up'!$Z$7:$Z$306))</x:f>
        <x:v>4600</x:v>
      </x:c>
      <x:c r="H38" s="147" t="str">
        <x:v>QUOTED - 7 construction monitoring/testing visits assumed</x:v>
      </x:c>
      <x:c r="I38" s="147" t="str">
        <x:v>Gibb Ritchie AK26-051AD Rev0, 08-Sep-2026</x:v>
      </x:c>
      <x:c r="J38" s="147" t="str">
        <x:v>AMBER - PRIMARY QUOTE / VISIT COUNT VARIABLE</x:v>
      </x:c>
      <x:c r="K38" s="147" t="str">
        <x:v>Quoted scope includes consent-condition familiarisation, 7 construction monitoring/testing visits, PS4, earthworks fill testing, bridging-pile/foundation subgrade/retaining/hardfill inspections and general geotechnical advice. Additional visits may be required depending on weather, programme and contractor performance.</x:v>
      </x:c>
      <x:c r="L38" s="150" t="str">
        <x:f t="shared" si="7"/>
        <x:v>Resource-linked</x:v>
      </x:c>
      <x:c r="M38" s="150" t="str">
        <x:f t="shared" si="8"/>
        <x:v>Resource Build-Up -&gt; TC01</x:v>
      </x:c>
      <x:c r="N38" s="150" t="str">
        <x:f t="shared" si="9"/>
        <x:v>Resource Build-Up</x:v>
      </x:c>
      <x:c r="O38" s="150" t="str">
        <x:f t="shared" si="10"/>
        <x:v>See Resource Build-Up / Resource Rate Library</x:v>
      </x:c>
      <x:c r="P38" s="150" t="str">
        <x:v>RESOURCE LINKED</x:v>
      </x:c>
      <x:c r="Q38" s="147" t="str">
        <x:v>Use current $4,600 quoted baseline. Additional visits are $500/visit if required; 24h inspection notice; proposal valid 30 days.</x:v>
      </x:c>
      <x:c r="R38" s="106" t="str">
        <x:f t="shared" si="11"/>
        <x:v>Rick</x:v>
      </x:c>
      <x:c r="S38" s="146" t="str">
        <x:v>RESOURCE QA</x:v>
      </x:c>
      <x:c r="T38" s="140" t="str">
        <x:v>Q-08 RECEIVED: Gibb Ritchie AK26-051AD Rev0 - $4,600 excl GST.</x:v>
      </x:c>
    </x:row>
    <x:row r="39" ht="21" customHeight="1">
      <x:c r="A39" s="151" t="str">
        <x:v>Testing, As-Builts &amp; Compliance</x:v>
      </x:c>
      <x:c r="B39" s="151" t="str">
        <x:v>TC02</x:v>
      </x:c>
      <x:c r="C39" s="151" t="str">
        <x:v>Survey setout / as-built support for Siteworks package</x:v>
      </x:c>
      <x:c r="D39" s="151" t="str">
        <x:v>LS</x:v>
      </x:c>
      <x:c r="E39" s="148" t="n">
        <x:v>0</x:v>
      </x:c>
      <x:c r="F39" s="818" t="n">
        <x:f t="shared" si="6">IF(B39="","",IF(E39=0,0,G39/E39))</x:f>
        <x:v>0</x:v>
      </x:c>
      <x:c r="G39" s="818" t="n">
        <x:f>IF(B39="","",SUMIF('Resource Build-Up'!$B$7:$B$306,B39,'Resource Build-Up'!$Z$7:$Z$306))</x:f>
        <x:v>0</x:v>
      </x:c>
      <x:c r="H39" s="151" t="str">
        <x:v>INCLUDED WITHIN ITEMISED PG01</x:v>
      </x:c>
      <x:c r="I39" s="151" t="str">
        <x:v>Survey responsibility/package scope not confirmed</x:v>
      </x:c>
      <x:c r="J39" s="151" t="str">
        <x:v>AMBER - INCLUDED</x:v>
      </x:c>
      <x:c r="K39" s="151" t="str">
        <x:v>Basic Siteworks setout/locating/as-built support allowance is within PG01. Additional survey visits outside that allowance remain by instruction/variation.</x:v>
      </x:c>
      <x:c r="L39" s="150" t="str">
        <x:f t="shared" si="7"/>
        <x:v>Resource-linked</x:v>
      </x:c>
      <x:c r="M39" s="150" t="str">
        <x:f t="shared" si="8"/>
        <x:v>No resource cost / review</x:v>
      </x:c>
      <x:c r="N39" s="150" t="str">
        <x:f t="shared" si="9"/>
        <x:v>Resource Build-Up</x:v>
      </x:c>
      <x:c r="O39" s="150" t="str">
        <x:f t="shared" si="10"/>
        <x:v>See Resource Build-Up / Resource Rate Library</x:v>
      </x:c>
      <x:c r="P39" s="150" t="str">
        <x:v>ZERO / REVIEW</x:v>
      </x:c>
      <x:c r="Q39" s="151" t="str">
        <x:v>Confirm principal contractor survey responsibility.</x:v>
      </x:c>
      <x:c r="R39" s="106" t="str">
        <x:f t="shared" si="11"/>
        <x:v>Rick</x:v>
      </x:c>
      <x:c r="S39" s="146" t="str">
        <x:v>NO RESOURCE</x:v>
      </x:c>
      <x:c r="T39" s="140" t="str">
        <x:v>Included within itemised PG01; confirm principal contractor survey responsibility</x:v>
      </x:c>
    </x:row>
    <x:row r="40" ht="21" customHeight="1">
      <x:c r="A40" s="147" t="str">
        <x:v>Reinstatement &amp; Handover</x:v>
      </x:c>
      <x:c r="B40" s="147" t="str">
        <x:v>RH01</x:v>
      </x:c>
      <x:c r="C40" s="147" t="str">
        <x:v>Final clean / pavement and Siteworks handover attendance</x:v>
      </x:c>
      <x:c r="D40" s="147" t="str">
        <x:v>LS</x:v>
      </x:c>
      <x:c r="E40" s="148" t="n">
        <x:v>1</x:v>
      </x:c>
      <x:c r="F40" s="818" t="n">
        <x:f t="shared" si="6">IF(B40="","",IF(E40=0,0,G40/E40))</x:f>
        <x:v>3000</x:v>
      </x:c>
      <x:c r="G40" s="818" t="n">
        <x:f>IF(B40="","",SUMIF('Resource Build-Up'!$B$7:$B$306,B40,'Resource Build-Up'!$Z$7:$Z$306))</x:f>
        <x:v>3000</x:v>
      </x:c>
      <x:c r="H40" s="147" t="str">
        <x:v>RFI Hold</x:v>
      </x:c>
      <x:c r="I40" s="147" t="str">
        <x:v>Final Siteworks handover scope not yet programmed</x:v>
      </x:c>
      <x:c r="J40" s="147" t="str">
        <x:v>AMBER - PC SUM</x:v>
      </x:c>
      <x:c r="K40" s="147" t="str">
        <x:v>Final clean, minor Siteworks handover attendance and small defects allowance.</x:v>
      </x:c>
      <x:c r="L40" s="150" t="str">
        <x:f t="shared" si="7"/>
        <x:v>Resource-linked</x:v>
      </x:c>
      <x:c r="M40" s="150" t="str">
        <x:f t="shared" si="8"/>
        <x:v>Resource Build-Up -&gt; RH01</x:v>
      </x:c>
      <x:c r="N40" s="150" t="str">
        <x:f t="shared" si="9"/>
        <x:v>Resource Build-Up</x:v>
      </x:c>
      <x:c r="O40" s="150" t="str">
        <x:f t="shared" si="10"/>
        <x:v>See Resource Build-Up / Resource Rate Library</x:v>
      </x:c>
      <x:c r="P40" s="150" t="str">
        <x:v>RESOURCE LINKED</x:v>
      </x:c>
      <x:c r="Q40" s="147" t="str">
        <x:v>Confirm handover/defects obligations and programme.</x:v>
      </x:c>
      <x:c r="R40" s="106" t="str">
        <x:f t="shared" si="11"/>
        <x:v>Rick</x:v>
      </x:c>
      <x:c r="S40" s="146" t="str">
        <x:v>RESOURCE QA</x:v>
      </x:c>
      <x:c r="T40" s="140" t="str">
        <x:v>PC only - final handover/defects scope and programme to confirm</x:v>
      </x:c>
    </x:row>
    <x:row r="41" ht="21" customHeight="1">
      <x:c r="A41" s="151" t="str">
        <x:v>TOTAL DIRECT COST</x:v>
      </x:c>
      <x:c r="B41" s="151"/>
      <x:c r="C41" s="151"/>
      <x:c r="D41" s="151"/>
      <x:c r="E41" s="148"/>
      <x:c r="F41" s="818">
        <x:f t="shared" si="6"/>
      </x:c>
      <x:c r="G41" s="818" t="n">
        <x:f>SUMIF(B3:B40,"&lt;&gt;",G3:G40)</x:f>
        <x:v>435521.8758935457</x:v>
      </x:c>
      <x:c r="H41" s="151"/>
      <x:c r="I41" s="151"/>
      <x:c r="J41" s="151"/>
      <x:c r="K41" s="151"/>
      <x:c r="L41" s="150">
        <x:f t="shared" si="7"/>
      </x:c>
      <x:c r="M41" s="150">
        <x:f t="shared" si="8"/>
      </x:c>
      <x:c r="N41" s="150">
        <x:f t="shared" si="9"/>
      </x:c>
      <x:c r="O41" s="150">
        <x:f t="shared" si="10"/>
      </x:c>
      <x:c r="P41" s="150"/>
      <x:c r="Q41" s="151"/>
      <x:c r="R41" s="106">
        <x:f t="shared" si="11"/>
      </x:c>
      <x:c r="S41" s="146"/>
      <x:c r="T41" s="140"/>
    </x:row>
    <x:row r="42" customHeight="1">
      <x:c r="A42" s="33"/>
      <x:c r="B42" s="34"/>
      <x:c r="C42" s="34"/>
      <x:c r="D42" s="34"/>
      <x:c r="E42" s="17"/>
      <x:c r="F42" s="817">
        <x:f t="shared" si="6"/>
      </x:c>
      <x:c r="G42" s="819"/>
      <x:c r="H42" s="34"/>
      <x:c r="I42" s="34"/>
      <x:c r="J42" s="34"/>
      <x:c r="K42" s="34"/>
      <x:c r="L42" s="70">
        <x:f t="shared" si="7"/>
      </x:c>
      <x:c r="M42" s="71">
        <x:f t="shared" si="8"/>
      </x:c>
      <x:c r="N42" s="71">
        <x:f t="shared" si="9"/>
      </x:c>
      <x:c r="O42" s="71">
        <x:f t="shared" si="10"/>
      </x:c>
      <x:c r="P42" s="70"/>
      <x:c r="Q42" s="34"/>
      <x:c r="R42" s="106">
        <x:f t="shared" si="11"/>
      </x:c>
      <x:c r="S42" s="146"/>
      <x:c r="T42" s="140"/>
    </x:row>
    <x:row r="43" customHeight="1">
      <x:c r="A43" s="156"/>
      <x:c r="B43" s="156"/>
      <x:c r="C43" s="156"/>
      <x:c r="D43" s="156"/>
      <x:c r="E43" s="154"/>
      <x:c r="F43" s="820">
        <x:f t="shared" si="6"/>
      </x:c>
      <x:c r="G43" s="820"/>
      <x:c r="H43" s="156"/>
      <x:c r="I43" s="156"/>
      <x:c r="J43" s="156"/>
      <x:c r="K43" s="156"/>
      <x:c r="L43" s="146">
        <x:f t="shared" si="7"/>
      </x:c>
      <x:c r="M43" s="146">
        <x:f t="shared" si="8"/>
      </x:c>
      <x:c r="N43" s="146">
        <x:f t="shared" si="9"/>
      </x:c>
      <x:c r="O43" s="146">
        <x:f t="shared" si="10"/>
      </x:c>
      <x:c r="P43" s="146"/>
      <x:c r="Q43" s="156"/>
      <x:c r="R43" s="106">
        <x:f t="shared" si="11"/>
      </x:c>
      <x:c r="S43" s="146"/>
      <x:c r="T43" s="140"/>
    </x:row>
    <x:row r="44" customHeight="1">
      <x:c r="A44" s="33"/>
      <x:c r="B44" s="34"/>
      <x:c r="C44" s="34"/>
      <x:c r="D44" s="34"/>
      <x:c r="E44" s="17"/>
      <x:c r="F44" s="817">
        <x:f t="shared" si="6"/>
      </x:c>
      <x:c r="G44" s="817"/>
      <x:c r="H44" s="34"/>
      <x:c r="I44" s="34"/>
      <x:c r="J44" s="34"/>
      <x:c r="K44" s="34"/>
      <x:c r="L44" s="71">
        <x:f t="shared" si="7"/>
      </x:c>
      <x:c r="M44" s="71">
        <x:f t="shared" si="8"/>
      </x:c>
      <x:c r="N44" s="71">
        <x:f t="shared" si="9"/>
      </x:c>
      <x:c r="O44" s="71">
        <x:f t="shared" si="10"/>
      </x:c>
      <x:c r="P44" s="71"/>
      <x:c r="Q44" s="34"/>
      <x:c r="R44" s="106">
        <x:f t="shared" si="11"/>
      </x:c>
      <x:c r="S44" s="146"/>
      <x:c r="T44" s="140"/>
    </x:row>
    <x:row r="45" customHeight="1">
      <x:c r="A45" s="35"/>
      <x:c r="B45" s="35"/>
      <x:c r="C45" s="35"/>
      <x:c r="D45" s="35"/>
      <x:c r="E45" s="152"/>
      <x:c r="F45" s="819">
        <x:f t="shared" si="6"/>
      </x:c>
      <x:c r="G45" s="819"/>
      <x:c r="H45" s="35"/>
      <x:c r="I45" s="35"/>
      <x:c r="J45" s="35"/>
      <x:c r="K45" s="35"/>
      <x:c r="L45" s="70">
        <x:f t="shared" si="7"/>
      </x:c>
      <x:c r="M45" s="70">
        <x:f t="shared" si="8"/>
      </x:c>
      <x:c r="N45" s="70">
        <x:f t="shared" si="9"/>
      </x:c>
      <x:c r="O45" s="70">
        <x:f t="shared" si="10"/>
      </x:c>
      <x:c r="P45" s="70"/>
      <x:c r="Q45" s="35"/>
      <x:c r="R45" s="106">
        <x:f t="shared" si="11"/>
      </x:c>
      <x:c r="S45" s="146"/>
      <x:c r="T45" s="140"/>
    </x:row>
    <x:row r="46" customHeight="1">
      <x:c r="A46" s="147"/>
      <x:c r="B46" s="147"/>
      <x:c r="C46" s="147"/>
      <x:c r="D46" s="147"/>
      <x:c r="E46" s="148"/>
      <x:c r="F46" s="818">
        <x:f t="shared" si="6"/>
      </x:c>
      <x:c r="G46" s="818"/>
      <x:c r="H46" s="147"/>
      <x:c r="I46" s="147"/>
      <x:c r="J46" s="147"/>
      <x:c r="K46" s="147"/>
      <x:c r="L46" s="150">
        <x:f t="shared" si="7"/>
      </x:c>
      <x:c r="M46" s="150">
        <x:f t="shared" si="8"/>
      </x:c>
      <x:c r="N46" s="150">
        <x:f t="shared" si="9"/>
      </x:c>
      <x:c r="O46" s="150">
        <x:f t="shared" si="10"/>
      </x:c>
      <x:c r="P46" s="150"/>
      <x:c r="Q46" s="147"/>
      <x:c r="R46" s="106">
        <x:f t="shared" si="11"/>
      </x:c>
      <x:c r="S46" s="146"/>
      <x:c r="T46" s="140"/>
    </x:row>
    <x:row r="47" ht="26.399999618530273" customHeight="1">
      <x:c r="A47" s="151"/>
      <x:c r="B47" s="151"/>
      <x:c r="C47" s="151"/>
      <x:c r="D47" s="151"/>
      <x:c r="E47" s="148"/>
      <x:c r="F47" s="818">
        <x:f t="shared" si="6"/>
      </x:c>
      <x:c r="G47" s="818"/>
      <x:c r="H47" s="151"/>
      <x:c r="I47" s="151"/>
      <x:c r="J47" s="151"/>
      <x:c r="K47" s="151"/>
      <x:c r="L47" s="150">
        <x:f t="shared" si="7"/>
      </x:c>
      <x:c r="M47" s="150">
        <x:f t="shared" si="8"/>
      </x:c>
      <x:c r="N47" s="150">
        <x:f t="shared" si="9"/>
      </x:c>
      <x:c r="O47" s="150">
        <x:f t="shared" si="10"/>
      </x:c>
      <x:c r="P47" s="150"/>
      <x:c r="Q47" s="151"/>
      <x:c r="R47" s="106">
        <x:f t="shared" si="11"/>
      </x:c>
      <x:c r="S47" s="146"/>
      <x:c r="T47" s="140"/>
    </x:row>
    <x:row r="48" ht="26.399999618530273" customHeight="1">
      <x:c r="A48" s="147"/>
      <x:c r="B48" s="147"/>
      <x:c r="C48" s="147"/>
      <x:c r="D48" s="147"/>
      <x:c r="E48" s="148"/>
      <x:c r="F48" s="818">
        <x:f t="shared" si="6"/>
      </x:c>
      <x:c r="G48" s="818"/>
      <x:c r="H48" s="147"/>
      <x:c r="I48" s="147"/>
      <x:c r="J48" s="147"/>
      <x:c r="K48" s="147"/>
      <x:c r="L48" s="150">
        <x:f t="shared" si="7"/>
      </x:c>
      <x:c r="M48" s="150">
        <x:f t="shared" si="8"/>
      </x:c>
      <x:c r="N48" s="150">
        <x:f t="shared" si="9"/>
      </x:c>
      <x:c r="O48" s="150">
        <x:f t="shared" si="10"/>
      </x:c>
      <x:c r="P48" s="150"/>
      <x:c r="Q48" s="147"/>
      <x:c r="R48" s="106">
        <x:f t="shared" si="11"/>
      </x:c>
      <x:c r="S48" s="146"/>
      <x:c r="T48" s="140"/>
    </x:row>
    <x:row r="49" ht="26.399999618530273" customHeight="1">
      <x:c r="A49" s="151"/>
      <x:c r="B49" s="151"/>
      <x:c r="C49" s="151"/>
      <x:c r="D49" s="151"/>
      <x:c r="E49" s="148"/>
      <x:c r="F49" s="818">
        <x:f t="shared" si="6"/>
      </x:c>
      <x:c r="G49" s="818"/>
      <x:c r="H49" s="151"/>
      <x:c r="I49" s="151"/>
      <x:c r="J49" s="151"/>
      <x:c r="K49" s="151"/>
      <x:c r="L49" s="150">
        <x:f t="shared" si="7"/>
      </x:c>
      <x:c r="M49" s="150">
        <x:f t="shared" si="8"/>
      </x:c>
      <x:c r="N49" s="150">
        <x:f t="shared" si="9"/>
      </x:c>
      <x:c r="O49" s="150">
        <x:f t="shared" si="10"/>
      </x:c>
      <x:c r="P49" s="150"/>
      <x:c r="Q49" s="151"/>
      <x:c r="R49" s="106">
        <x:f t="shared" si="11"/>
      </x:c>
      <x:c r="S49" s="146"/>
      <x:c r="T49" s="140"/>
    </x:row>
    <x:row r="50" ht="26.399999618530273" customHeight="1">
      <x:c r="A50" s="147"/>
      <x:c r="B50" s="147"/>
      <x:c r="C50" s="147"/>
      <x:c r="D50" s="147"/>
      <x:c r="E50" s="148"/>
      <x:c r="F50" s="818">
        <x:f t="shared" si="6"/>
      </x:c>
      <x:c r="G50" s="818"/>
      <x:c r="H50" s="147"/>
      <x:c r="I50" s="147"/>
      <x:c r="J50" s="147"/>
      <x:c r="K50" s="147"/>
      <x:c r="L50" s="150">
        <x:f t="shared" si="7"/>
      </x:c>
      <x:c r="M50" s="150">
        <x:f t="shared" si="8"/>
      </x:c>
      <x:c r="N50" s="150">
        <x:f t="shared" si="9"/>
      </x:c>
      <x:c r="O50" s="150">
        <x:f t="shared" si="10"/>
      </x:c>
      <x:c r="P50" s="150"/>
      <x:c r="Q50" s="147"/>
      <x:c r="R50" s="106">
        <x:f t="shared" si="11"/>
      </x:c>
      <x:c r="S50" s="146"/>
      <x:c r="T50" s="140"/>
    </x:row>
    <x:row r="51" ht="26.399999618530273" customHeight="1">
      <x:c r="A51" s="151"/>
      <x:c r="B51" s="151"/>
      <x:c r="C51" s="151"/>
      <x:c r="D51" s="151"/>
      <x:c r="E51" s="148"/>
      <x:c r="F51" s="818">
        <x:f t="shared" si="6"/>
      </x:c>
      <x:c r="G51" s="818"/>
      <x:c r="H51" s="151"/>
      <x:c r="I51" s="151"/>
      <x:c r="J51" s="151"/>
      <x:c r="K51" s="151"/>
      <x:c r="L51" s="150">
        <x:f t="shared" si="7"/>
      </x:c>
      <x:c r="M51" s="150">
        <x:f t="shared" si="8"/>
      </x:c>
      <x:c r="N51" s="150">
        <x:f t="shared" si="9"/>
      </x:c>
      <x:c r="O51" s="150">
        <x:f t="shared" si="10"/>
      </x:c>
      <x:c r="P51" s="150"/>
      <x:c r="Q51" s="151"/>
      <x:c r="R51" s="106">
        <x:f t="shared" si="11"/>
      </x:c>
      <x:c r="S51" s="146"/>
      <x:c r="T51" s="140"/>
    </x:row>
    <x:row r="52" ht="26.399999618530273" customHeight="1">
      <x:c r="A52" s="147"/>
      <x:c r="B52" s="147"/>
      <x:c r="C52" s="147"/>
      <x:c r="D52" s="147"/>
      <x:c r="E52" s="148"/>
      <x:c r="F52" s="818">
        <x:f t="shared" si="6"/>
      </x:c>
      <x:c r="G52" s="818"/>
      <x:c r="H52" s="147"/>
      <x:c r="I52" s="147"/>
      <x:c r="J52" s="147"/>
      <x:c r="K52" s="147"/>
      <x:c r="L52" s="150">
        <x:f t="shared" si="7"/>
      </x:c>
      <x:c r="M52" s="150">
        <x:f t="shared" si="8"/>
      </x:c>
      <x:c r="N52" s="150">
        <x:f t="shared" si="9"/>
      </x:c>
      <x:c r="O52" s="150">
        <x:f t="shared" si="10"/>
      </x:c>
      <x:c r="P52" s="150"/>
      <x:c r="Q52" s="147"/>
      <x:c r="R52" s="106">
        <x:f t="shared" si="11"/>
      </x:c>
      <x:c r="S52" s="146"/>
      <x:c r="T52" s="140"/>
    </x:row>
    <x:row r="53" ht="26.399999618530273" customHeight="1">
      <x:c r="A53" s="151"/>
      <x:c r="B53" s="151"/>
      <x:c r="C53" s="151"/>
      <x:c r="D53" s="151"/>
      <x:c r="E53" s="148"/>
      <x:c r="F53" s="818">
        <x:f t="shared" si="6"/>
      </x:c>
      <x:c r="G53" s="818"/>
      <x:c r="H53" s="151"/>
      <x:c r="I53" s="151"/>
      <x:c r="J53" s="151"/>
      <x:c r="K53" s="151"/>
      <x:c r="L53" s="150">
        <x:f t="shared" si="7"/>
      </x:c>
      <x:c r="M53" s="150">
        <x:f t="shared" si="8"/>
      </x:c>
      <x:c r="N53" s="150">
        <x:f t="shared" si="9"/>
      </x:c>
      <x:c r="O53" s="150">
        <x:f t="shared" si="10"/>
      </x:c>
      <x:c r="P53" s="150"/>
      <x:c r="Q53" s="151"/>
      <x:c r="R53" s="106">
        <x:f t="shared" si="11"/>
      </x:c>
      <x:c r="S53" s="146"/>
      <x:c r="T53" s="140"/>
    </x:row>
    <x:row r="54" ht="26.399999618530273" customHeight="1">
      <x:c r="A54" s="33"/>
      <x:c r="B54" s="34"/>
      <x:c r="C54" s="34"/>
      <x:c r="D54" s="34"/>
      <x:c r="E54" s="17"/>
      <x:c r="F54" s="817">
        <x:f t="shared" si="6"/>
      </x:c>
      <x:c r="G54" s="819"/>
      <x:c r="H54" s="34"/>
      <x:c r="I54" s="34"/>
      <x:c r="J54" s="34"/>
      <x:c r="K54" s="34"/>
      <x:c r="L54" s="70">
        <x:f t="shared" si="7"/>
      </x:c>
      <x:c r="M54" s="71">
        <x:f t="shared" si="8"/>
      </x:c>
      <x:c r="N54" s="71">
        <x:f t="shared" si="9"/>
      </x:c>
      <x:c r="O54" s="71">
        <x:f t="shared" si="10"/>
      </x:c>
      <x:c r="P54" s="70"/>
      <x:c r="Q54" s="34"/>
      <x:c r="R54" s="106">
        <x:f t="shared" si="11"/>
      </x:c>
      <x:c r="S54" s="146"/>
      <x:c r="T54" s="140"/>
    </x:row>
    <x:row r="55" ht="26.399999618530273" customHeight="1">
      <x:c r="A55" s="156"/>
      <x:c r="B55" s="156"/>
      <x:c r="C55" s="156"/>
      <x:c r="D55" s="156"/>
      <x:c r="E55" s="154"/>
      <x:c r="F55" s="820">
        <x:f t="shared" si="6"/>
      </x:c>
      <x:c r="G55" s="820"/>
      <x:c r="H55" s="156"/>
      <x:c r="I55" s="156"/>
      <x:c r="J55" s="156"/>
      <x:c r="K55" s="156"/>
      <x:c r="L55" s="146">
        <x:f t="shared" si="7"/>
      </x:c>
      <x:c r="M55" s="146">
        <x:f t="shared" si="8"/>
      </x:c>
      <x:c r="N55" s="146">
        <x:f t="shared" si="9"/>
      </x:c>
      <x:c r="O55" s="146">
        <x:f t="shared" si="10"/>
      </x:c>
      <x:c r="P55" s="146"/>
      <x:c r="Q55" s="156"/>
      <x:c r="R55" s="106">
        <x:f t="shared" si="11"/>
      </x:c>
      <x:c r="S55" s="146"/>
      <x:c r="T55" s="140"/>
    </x:row>
    <x:row r="56" ht="26.399999618530273" customHeight="1">
      <x:c r="A56" s="33"/>
      <x:c r="B56" s="34"/>
      <x:c r="C56" s="34"/>
      <x:c r="D56" s="34"/>
      <x:c r="E56" s="17"/>
      <x:c r="F56" s="817">
        <x:f t="shared" si="6"/>
      </x:c>
      <x:c r="G56" s="817"/>
      <x:c r="H56" s="34"/>
      <x:c r="I56" s="34"/>
      <x:c r="J56" s="34"/>
      <x:c r="K56" s="34"/>
      <x:c r="L56" s="71">
        <x:f t="shared" si="7"/>
      </x:c>
      <x:c r="M56" s="71">
        <x:f t="shared" si="8"/>
      </x:c>
      <x:c r="N56" s="71">
        <x:f t="shared" si="9"/>
      </x:c>
      <x:c r="O56" s="71">
        <x:f t="shared" si="10"/>
      </x:c>
      <x:c r="P56" s="71"/>
      <x:c r="Q56" s="34"/>
      <x:c r="R56" s="106">
        <x:f t="shared" si="11"/>
      </x:c>
      <x:c r="S56" s="146"/>
      <x:c r="T56" s="140"/>
    </x:row>
    <x:row r="57" customHeight="1">
      <x:c r="A57" s="151"/>
      <x:c r="B57" s="151"/>
      <x:c r="C57" s="151"/>
      <x:c r="D57" s="151"/>
      <x:c r="E57" s="148"/>
      <x:c r="F57" s="818">
        <x:f t="shared" si="6"/>
      </x:c>
      <x:c r="G57" s="818"/>
      <x:c r="H57" s="151"/>
      <x:c r="I57" s="151"/>
      <x:c r="J57" s="151"/>
      <x:c r="K57" s="151"/>
      <x:c r="L57" s="150">
        <x:f t="shared" si="7"/>
      </x:c>
      <x:c r="M57" s="150">
        <x:f t="shared" si="8"/>
      </x:c>
      <x:c r="N57" s="150">
        <x:f t="shared" si="9"/>
      </x:c>
      <x:c r="O57" s="150">
        <x:f t="shared" si="10"/>
      </x:c>
      <x:c r="P57" s="150"/>
      <x:c r="Q57" s="151"/>
      <x:c r="R57" s="106">
        <x:f t="shared" si="11"/>
      </x:c>
      <x:c r="S57" s="146"/>
      <x:c r="T57" s="140"/>
    </x:row>
    <x:row r="58" customHeight="1">
      <x:c r="A58" s="147"/>
      <x:c r="B58" s="147"/>
      <x:c r="C58" s="147"/>
      <x:c r="D58" s="147"/>
      <x:c r="E58" s="148"/>
      <x:c r="F58" s="818">
        <x:f t="shared" si="6"/>
      </x:c>
      <x:c r="G58" s="818"/>
      <x:c r="H58" s="147"/>
      <x:c r="I58" s="147"/>
      <x:c r="J58" s="147"/>
      <x:c r="K58" s="147"/>
      <x:c r="L58" s="150">
        <x:f t="shared" si="7"/>
      </x:c>
      <x:c r="M58" s="150">
        <x:f t="shared" si="8"/>
      </x:c>
      <x:c r="N58" s="150">
        <x:f t="shared" si="9"/>
      </x:c>
      <x:c r="O58" s="150">
        <x:f t="shared" si="10"/>
      </x:c>
      <x:c r="P58" s="150"/>
      <x:c r="Q58" s="147"/>
      <x:c r="R58" s="106">
        <x:f t="shared" si="11"/>
      </x:c>
      <x:c r="S58" s="146"/>
      <x:c r="T58" s="140"/>
    </x:row>
    <x:row r="59" customHeight="1">
      <x:c r="A59" s="151"/>
      <x:c r="B59" s="151"/>
      <x:c r="C59" s="151"/>
      <x:c r="D59" s="151"/>
      <x:c r="E59" s="148"/>
      <x:c r="F59" s="818">
        <x:f t="shared" si="6"/>
      </x:c>
      <x:c r="G59" s="818"/>
      <x:c r="H59" s="151"/>
      <x:c r="I59" s="151"/>
      <x:c r="J59" s="151"/>
      <x:c r="K59" s="151"/>
      <x:c r="L59" s="150">
        <x:f t="shared" si="7"/>
      </x:c>
      <x:c r="M59" s="150">
        <x:f t="shared" si="8"/>
      </x:c>
      <x:c r="N59" s="150">
        <x:f t="shared" si="9"/>
      </x:c>
      <x:c r="O59" s="150">
        <x:f t="shared" si="10"/>
      </x:c>
      <x:c r="P59" s="150"/>
      <x:c r="Q59" s="151"/>
      <x:c r="R59" s="106">
        <x:f t="shared" si="11"/>
      </x:c>
      <x:c r="S59" s="146"/>
      <x:c r="T59" s="140"/>
    </x:row>
    <x:row r="60" customHeight="1">
      <x:c r="A60" s="147"/>
      <x:c r="B60" s="147"/>
      <x:c r="C60" s="147"/>
      <x:c r="D60" s="147"/>
      <x:c r="E60" s="148"/>
      <x:c r="F60" s="818">
        <x:f t="shared" si="6"/>
      </x:c>
      <x:c r="G60" s="818"/>
      <x:c r="H60" s="147"/>
      <x:c r="I60" s="147"/>
      <x:c r="J60" s="147"/>
      <x:c r="K60" s="147"/>
      <x:c r="L60" s="150">
        <x:f t="shared" si="7"/>
      </x:c>
      <x:c r="M60" s="150">
        <x:f t="shared" si="8"/>
      </x:c>
      <x:c r="N60" s="150">
        <x:f t="shared" si="9"/>
      </x:c>
      <x:c r="O60" s="150">
        <x:f t="shared" si="10"/>
      </x:c>
      <x:c r="P60" s="150"/>
      <x:c r="Q60" s="147"/>
      <x:c r="R60" s="106">
        <x:f t="shared" si="11"/>
      </x:c>
      <x:c r="S60" s="146"/>
      <x:c r="T60" s="140"/>
    </x:row>
    <x:row r="61" customHeight="1">
      <x:c r="A61" s="151"/>
      <x:c r="B61" s="151"/>
      <x:c r="C61" s="151"/>
      <x:c r="D61" s="151"/>
      <x:c r="E61" s="148"/>
      <x:c r="F61" s="818">
        <x:f t="shared" si="6"/>
      </x:c>
      <x:c r="G61" s="818"/>
      <x:c r="H61" s="151"/>
      <x:c r="I61" s="151"/>
      <x:c r="J61" s="151"/>
      <x:c r="K61" s="151"/>
      <x:c r="L61" s="150">
        <x:f t="shared" si="7"/>
      </x:c>
      <x:c r="M61" s="150">
        <x:f t="shared" si="8"/>
      </x:c>
      <x:c r="N61" s="150">
        <x:f t="shared" si="9"/>
      </x:c>
      <x:c r="O61" s="150">
        <x:f t="shared" si="10"/>
      </x:c>
      <x:c r="P61" s="150"/>
      <x:c r="Q61" s="151"/>
      <x:c r="R61" s="106">
        <x:f t="shared" si="11"/>
      </x:c>
      <x:c r="S61" s="146"/>
      <x:c r="T61" s="140"/>
    </x:row>
    <x:row r="62" ht="26.399999618530273" customHeight="1">
      <x:c r="A62" s="35"/>
      <x:c r="B62" s="35"/>
      <x:c r="C62" s="35"/>
      <x:c r="D62" s="35"/>
      <x:c r="E62" s="152"/>
      <x:c r="F62" s="819">
        <x:f t="shared" si="6"/>
      </x:c>
      <x:c r="G62" s="819"/>
      <x:c r="H62" s="35"/>
      <x:c r="I62" s="35"/>
      <x:c r="J62" s="35"/>
      <x:c r="K62" s="35"/>
      <x:c r="L62" s="70">
        <x:f t="shared" si="7"/>
      </x:c>
      <x:c r="M62" s="70">
        <x:f t="shared" si="8"/>
      </x:c>
      <x:c r="N62" s="70">
        <x:f t="shared" si="9"/>
      </x:c>
      <x:c r="O62" s="70">
        <x:f t="shared" si="10"/>
      </x:c>
      <x:c r="P62" s="70"/>
      <x:c r="Q62" s="35"/>
      <x:c r="R62" s="106">
        <x:f t="shared" si="11"/>
      </x:c>
      <x:c r="S62" s="146"/>
      <x:c r="T62" s="140"/>
    </x:row>
    <x:row r="63" ht="26.399999618530273" customHeight="1">
      <x:c r="A63" s="33"/>
      <x:c r="B63" s="33"/>
      <x:c r="C63" s="33"/>
      <x:c r="D63" s="33"/>
      <x:c r="E63" s="152"/>
      <x:c r="F63" s="819">
        <x:f t="shared" si="6"/>
      </x:c>
      <x:c r="G63" s="819"/>
      <x:c r="H63" s="33"/>
      <x:c r="I63" s="33"/>
      <x:c r="J63" s="33"/>
      <x:c r="K63" s="33"/>
      <x:c r="L63" s="70">
        <x:f t="shared" si="7"/>
      </x:c>
      <x:c r="M63" s="70">
        <x:f t="shared" si="8"/>
      </x:c>
      <x:c r="N63" s="70">
        <x:f t="shared" si="9"/>
      </x:c>
      <x:c r="O63" s="70">
        <x:f t="shared" si="10"/>
      </x:c>
      <x:c r="P63" s="70"/>
      <x:c r="Q63" s="33"/>
      <x:c r="R63" s="106">
        <x:f t="shared" si="11"/>
      </x:c>
      <x:c r="S63" s="146"/>
      <x:c r="T63" s="140"/>
    </x:row>
    <x:row r="64" ht="26.399999618530273" customHeight="1">
      <x:c r="A64" s="151"/>
      <x:c r="B64" s="151"/>
      <x:c r="C64" s="151"/>
      <x:c r="D64" s="151"/>
      <x:c r="E64" s="148"/>
      <x:c r="F64" s="818" t="str">
        <x:f t="shared" ref="F64:F73" si="12">IF(B64="","",IF(E64=0,0,G64/E64))</x:f>
      </x:c>
      <x:c r="G64" s="818"/>
      <x:c r="H64" s="151"/>
      <x:c r="I64" s="151"/>
      <x:c r="J64" s="151"/>
      <x:c r="K64" s="151"/>
      <x:c r="L64" s="150" t="str">
        <x:f t="shared" ref="L64:L73" si="13">IF(B64="","",IF(J64="Excluded","Excluded","Resource-linked"))</x:f>
      </x:c>
      <x:c r="M64" s="150" t="str">
        <x:f t="shared" ref="M64:M73" si="14">IF(B64="","",IF(G64=0,"No resource cost / review","Resource Build-Up -&gt; "&amp;B64))</x:f>
      </x:c>
      <x:c r="N64" s="150" t="str">
        <x:f t="shared" ref="N64:N73" si="15">IF(B64="","","Resource Build-Up")</x:f>
      </x:c>
      <x:c r="O64" s="150" t="str">
        <x:f t="shared" ref="O64:O73" si="16">IF(B64="","","See Resource Build-Up / Resource Rate Library")</x:f>
      </x:c>
      <x:c r="P64" s="150"/>
      <x:c r="Q64" s="151"/>
      <x:c r="R64" s="106" t="str">
        <x:f t="shared" ref="R64:R73" si="17">IF(OR(ISNUMBER(SEARCH("PC",P64)),ISNUMBER(SEARCH("quote",Q64))),"Jason","Rick")</x:f>
        <x:v>Rick</x:v>
      </x:c>
      <x:c r="S64" s="146"/>
      <x:c r="T64" s="140"/>
    </x:row>
    <x:row r="65" ht="26.399999618530273" customHeight="1">
      <x:c r="A65" s="147"/>
      <x:c r="B65" s="147"/>
      <x:c r="C65" s="147"/>
      <x:c r="D65" s="147"/>
      <x:c r="E65" s="148"/>
      <x:c r="F65" s="818">
        <x:f t="shared" si="12"/>
      </x:c>
      <x:c r="G65" s="818"/>
      <x:c r="H65" s="147"/>
      <x:c r="I65" s="147"/>
      <x:c r="J65" s="147"/>
      <x:c r="K65" s="147"/>
      <x:c r="L65" s="150">
        <x:f t="shared" si="13"/>
      </x:c>
      <x:c r="M65" s="150">
        <x:f t="shared" si="14"/>
      </x:c>
      <x:c r="N65" s="150">
        <x:f t="shared" si="15"/>
      </x:c>
      <x:c r="O65" s="150">
        <x:f t="shared" si="16"/>
      </x:c>
      <x:c r="P65" s="150"/>
      <x:c r="Q65" s="147"/>
      <x:c r="R65" s="106">
        <x:f t="shared" si="17"/>
      </x:c>
      <x:c r="S65" s="146"/>
      <x:c r="T65" s="140"/>
    </x:row>
    <x:row r="66" ht="26.399999618530273" customHeight="1">
      <x:c r="A66" s="151"/>
      <x:c r="B66" s="151"/>
      <x:c r="C66" s="151"/>
      <x:c r="D66" s="151"/>
      <x:c r="E66" s="148"/>
      <x:c r="F66" s="818">
        <x:f t="shared" si="12"/>
      </x:c>
      <x:c r="G66" s="818"/>
      <x:c r="H66" s="151"/>
      <x:c r="I66" s="151"/>
      <x:c r="J66" s="151"/>
      <x:c r="K66" s="151"/>
      <x:c r="L66" s="150">
        <x:f t="shared" si="13"/>
      </x:c>
      <x:c r="M66" s="150">
        <x:f t="shared" si="14"/>
      </x:c>
      <x:c r="N66" s="150">
        <x:f t="shared" si="15"/>
      </x:c>
      <x:c r="O66" s="150">
        <x:f t="shared" si="16"/>
      </x:c>
      <x:c r="P66" s="150"/>
      <x:c r="Q66" s="151"/>
      <x:c r="R66" s="106">
        <x:f t="shared" si="17"/>
      </x:c>
      <x:c r="S66" s="146"/>
      <x:c r="T66" s="140"/>
    </x:row>
    <x:row r="67" customHeight="1">
      <x:c r="A67" s="147"/>
      <x:c r="B67" s="147"/>
      <x:c r="C67" s="147"/>
      <x:c r="D67" s="147"/>
      <x:c r="E67" s="148"/>
      <x:c r="F67" s="818">
        <x:f t="shared" si="12"/>
      </x:c>
      <x:c r="G67" s="818"/>
      <x:c r="H67" s="147"/>
      <x:c r="I67" s="147"/>
      <x:c r="J67" s="147"/>
      <x:c r="K67" s="147"/>
      <x:c r="L67" s="150">
        <x:f t="shared" si="13"/>
      </x:c>
      <x:c r="M67" s="150">
        <x:f t="shared" si="14"/>
      </x:c>
      <x:c r="N67" s="150">
        <x:f t="shared" si="15"/>
      </x:c>
      <x:c r="O67" s="150">
        <x:f t="shared" si="16"/>
      </x:c>
      <x:c r="P67" s="150"/>
      <x:c r="Q67" s="147"/>
      <x:c r="R67" s="106">
        <x:f t="shared" si="17"/>
      </x:c>
      <x:c r="S67" s="146"/>
      <x:c r="T67" s="140"/>
    </x:row>
    <x:row r="68" ht="26.399999618530273" customHeight="1">
      <x:c r="A68" s="151"/>
      <x:c r="B68" s="151"/>
      <x:c r="C68" s="151"/>
      <x:c r="D68" s="151"/>
      <x:c r="E68" s="148"/>
      <x:c r="F68" s="818">
        <x:f t="shared" si="12"/>
      </x:c>
      <x:c r="G68" s="818"/>
      <x:c r="H68" s="151"/>
      <x:c r="I68" s="151"/>
      <x:c r="J68" s="151"/>
      <x:c r="K68" s="151"/>
      <x:c r="L68" s="150">
        <x:f t="shared" si="13"/>
      </x:c>
      <x:c r="M68" s="150">
        <x:f t="shared" si="14"/>
      </x:c>
      <x:c r="N68" s="150">
        <x:f t="shared" si="15"/>
      </x:c>
      <x:c r="O68" s="150">
        <x:f t="shared" si="16"/>
      </x:c>
      <x:c r="P68" s="150"/>
      <x:c r="Q68" s="151"/>
      <x:c r="R68" s="106">
        <x:f t="shared" si="17"/>
      </x:c>
      <x:c r="S68" s="146"/>
      <x:c r="T68" s="140"/>
    </x:row>
    <x:row r="69" ht="26.399999618530273" customHeight="1">
      <x:c r="A69" s="147"/>
      <x:c r="B69" s="147"/>
      <x:c r="C69" s="147"/>
      <x:c r="D69" s="147"/>
      <x:c r="E69" s="148"/>
      <x:c r="F69" s="818">
        <x:f t="shared" si="12"/>
      </x:c>
      <x:c r="G69" s="818"/>
      <x:c r="H69" s="147"/>
      <x:c r="I69" s="147"/>
      <x:c r="J69" s="147"/>
      <x:c r="K69" s="147"/>
      <x:c r="L69" s="150">
        <x:f t="shared" si="13"/>
      </x:c>
      <x:c r="M69" s="150">
        <x:f t="shared" si="14"/>
      </x:c>
      <x:c r="N69" s="150">
        <x:f t="shared" si="15"/>
      </x:c>
      <x:c r="O69" s="150">
        <x:f t="shared" si="16"/>
      </x:c>
      <x:c r="P69" s="150"/>
      <x:c r="Q69" s="147"/>
      <x:c r="R69" s="106">
        <x:f t="shared" si="17"/>
      </x:c>
      <x:c r="S69" s="146"/>
      <x:c r="T69" s="140"/>
    </x:row>
    <x:row r="70" ht="26.399999618530273" customHeight="1">
      <x:c r="A70" s="35"/>
      <x:c r="B70" s="36"/>
      <x:c r="C70" s="36"/>
      <x:c r="D70" s="36"/>
      <x:c r="E70" s="17"/>
      <x:c r="F70" s="817">
        <x:f t="shared" si="12"/>
      </x:c>
      <x:c r="G70" s="819"/>
      <x:c r="H70" s="36"/>
      <x:c r="I70" s="36"/>
      <x:c r="J70" s="36"/>
      <x:c r="K70" s="36"/>
      <x:c r="L70" s="70">
        <x:f t="shared" si="13"/>
      </x:c>
      <x:c r="M70" s="71">
        <x:f t="shared" si="14"/>
      </x:c>
      <x:c r="N70" s="71">
        <x:f t="shared" si="15"/>
      </x:c>
      <x:c r="O70" s="71">
        <x:f t="shared" si="16"/>
      </x:c>
      <x:c r="P70" s="70"/>
      <x:c r="Q70" s="36"/>
      <x:c r="R70" s="106">
        <x:f t="shared" si="17"/>
      </x:c>
      <x:c r="S70" s="146"/>
      <x:c r="T70" s="140"/>
    </x:row>
    <x:row r="71" customHeight="1">
      <x:c r="A71" s="153"/>
      <x:c r="B71" s="153"/>
      <x:c r="C71" s="153"/>
      <x:c r="D71" s="153"/>
      <x:c r="E71" s="154"/>
      <x:c r="F71" s="820">
        <x:f t="shared" si="12"/>
      </x:c>
      <x:c r="G71" s="820"/>
      <x:c r="H71" s="153"/>
      <x:c r="I71" s="153"/>
      <x:c r="J71" s="153"/>
      <x:c r="K71" s="153"/>
      <x:c r="L71" s="146">
        <x:f t="shared" si="13"/>
      </x:c>
      <x:c r="M71" s="146">
        <x:f t="shared" si="14"/>
      </x:c>
      <x:c r="N71" s="146">
        <x:f t="shared" si="15"/>
      </x:c>
      <x:c r="O71" s="146">
        <x:f t="shared" si="16"/>
      </x:c>
      <x:c r="P71" s="146"/>
      <x:c r="Q71" s="153"/>
      <x:c r="R71" s="106">
        <x:f t="shared" si="17"/>
      </x:c>
      <x:c r="S71" s="146"/>
      <x:c r="T71" s="140"/>
    </x:row>
    <x:row r="72" customHeight="1">
      <x:c r="A72" s="35"/>
      <x:c r="B72" s="36"/>
      <x:c r="C72" s="36"/>
      <x:c r="D72" s="36"/>
      <x:c r="E72" s="17"/>
      <x:c r="F72" s="817">
        <x:f t="shared" si="12"/>
      </x:c>
      <x:c r="G72" s="817"/>
      <x:c r="H72" s="36"/>
      <x:c r="I72" s="36"/>
      <x:c r="J72" s="36"/>
      <x:c r="K72" s="36"/>
      <x:c r="L72" s="71">
        <x:f t="shared" si="13"/>
      </x:c>
      <x:c r="M72" s="71">
        <x:f t="shared" si="14"/>
      </x:c>
      <x:c r="N72" s="71">
        <x:f t="shared" si="15"/>
      </x:c>
      <x:c r="O72" s="71">
        <x:f t="shared" si="16"/>
      </x:c>
      <x:c r="P72" s="71"/>
      <x:c r="Q72" s="36"/>
      <x:c r="R72" s="106">
        <x:f t="shared" si="17"/>
      </x:c>
      <x:c r="S72" s="146"/>
      <x:c r="T72" s="140"/>
    </x:row>
    <x:row r="73" customHeight="1">
      <x:c r="A73" s="147"/>
      <x:c r="B73" s="147"/>
      <x:c r="C73" s="147"/>
      <x:c r="D73" s="147"/>
      <x:c r="E73" s="148"/>
      <x:c r="F73" s="818">
        <x:f t="shared" si="12"/>
      </x:c>
      <x:c r="G73" s="818"/>
      <x:c r="H73" s="147"/>
      <x:c r="I73" s="147"/>
      <x:c r="J73" s="147"/>
      <x:c r="K73" s="147"/>
      <x:c r="L73" s="150">
        <x:f t="shared" si="13"/>
      </x:c>
      <x:c r="M73" s="150">
        <x:f t="shared" si="14"/>
      </x:c>
      <x:c r="N73" s="150">
        <x:f t="shared" si="15"/>
      </x:c>
      <x:c r="O73" s="150">
        <x:f t="shared" si="16"/>
      </x:c>
      <x:c r="P73" s="150"/>
      <x:c r="Q73" s="147"/>
      <x:c r="R73" s="106">
        <x:f t="shared" si="17"/>
      </x:c>
      <x:c r="S73" s="146"/>
      <x:c r="T73" s="140"/>
    </x:row>
    <x:row r="74" ht="21.450000762939453" customHeight="1">
      <x:c r="A74" s="157"/>
      <x:c r="B74" s="157"/>
      <x:c r="C74" s="157"/>
      <x:c r="D74" s="157"/>
      <x:c r="E74" s="158"/>
      <x:c r="F74" s="158"/>
      <x:c r="G74" s="159"/>
      <x:c r="H74" s="157"/>
      <x:c r="I74" s="157"/>
      <x:c r="J74" s="157"/>
      <x:c r="K74" s="157"/>
      <x:c r="L74" s="157"/>
      <x:c r="M74" s="157"/>
      <x:c r="N74" s="157"/>
      <x:c r="O74" s="157"/>
      <x:c r="P74" s="157"/>
      <x:c r="Q74" s="157"/>
      <x:c r="R74" s="106"/>
      <x:c r="S74" s="106"/>
      <x:c r="T74" s="140"/>
    </x:row>
    <x:row r="75" ht="21.450000762939453" customHeight="1">
      <x:c r="A75" s="107"/>
      <x:c r="B75" s="107"/>
      <x:c r="C75" s="107"/>
      <x:c r="D75" s="107"/>
      <x:c r="E75" s="119"/>
      <x:c r="F75" s="160"/>
      <x:c r="G75" s="161"/>
      <x:c r="H75" s="107"/>
      <x:c r="I75" s="107"/>
      <x:c r="J75" s="107"/>
      <x:c r="K75" s="107"/>
      <x:c r="L75" s="107"/>
      <x:c r="M75" s="107"/>
      <x:c r="N75" s="107"/>
      <x:c r="O75" s="107"/>
      <x:c r="P75" s="107"/>
      <x:c r="Q75" s="107"/>
      <x:c r="R75" s="106"/>
      <x:c r="S75" s="106"/>
      <x:c r="T75" s="106"/>
    </x:row>
    <x:row r="76" ht="21.450000762939453" customHeight="1">
      <x:c r="A76" s="107"/>
      <x:c r="B76" s="107"/>
      <x:c r="C76" s="107"/>
      <x:c r="D76" s="107"/>
      <x:c r="E76" s="119"/>
      <x:c r="F76" s="160"/>
      <x:c r="G76" s="161"/>
      <x:c r="H76" s="107"/>
      <x:c r="I76" s="107"/>
      <x:c r="J76" s="107"/>
      <x:c r="K76" s="107"/>
      <x:c r="L76" s="107"/>
      <x:c r="M76" s="107"/>
      <x:c r="N76" s="107"/>
      <x:c r="O76" s="107"/>
      <x:c r="P76" s="107"/>
      <x:c r="Q76" s="107"/>
      <x:c r="R76" s="106"/>
      <x:c r="S76" s="106"/>
      <x:c r="T76" s="106"/>
    </x:row>
    <x:row r="77" ht="21.450000762939453" customHeight="1">
      <x:c r="A77" s="20"/>
      <x:c r="B77" s="20"/>
      <x:c r="C77" s="20"/>
      <x:c r="D77" s="20"/>
      <x:c r="E77" s="162"/>
      <x:c r="F77" s="163"/>
      <x:c r="G77" s="24"/>
      <x:c r="H77" s="20"/>
      <x:c r="I77" s="20"/>
      <x:c r="J77" s="20"/>
      <x:c r="K77" s="21"/>
      <x:c r="L77" s="20"/>
      <x:c r="M77" s="20"/>
      <x:c r="N77" s="20"/>
      <x:c r="O77" s="20"/>
      <x:c r="P77" s="20"/>
      <x:c r="Q77" s="20"/>
      <x:c r="R77" s="106"/>
      <x:c r="S77" s="106"/>
      <x:c r="T77" s="106"/>
    </x:row>
    <x:row r="78" ht="21.450000762939453" customHeight="1">
      <x:c r="A78" s="20"/>
      <x:c r="B78" s="20"/>
      <x:c r="C78" s="20"/>
      <x:c r="D78" s="20"/>
      <x:c r="E78" s="162"/>
      <x:c r="F78" s="163"/>
      <x:c r="G78" s="24"/>
      <x:c r="H78" s="20"/>
      <x:c r="I78" s="20"/>
      <x:c r="J78" s="20"/>
      <x:c r="K78" s="21"/>
      <x:c r="L78" s="20"/>
      <x:c r="M78" s="20"/>
      <x:c r="N78" s="20"/>
      <x:c r="O78" s="20"/>
      <x:c r="P78" s="20"/>
      <x:c r="Q78" s="20"/>
      <x:c r="R78" s="106"/>
      <x:c r="S78" s="106"/>
      <x:c r="T78" s="106"/>
    </x:row>
    <x:row r="79" ht="21.450000762939453" customHeight="1">
      <x:c r="A79" s="107"/>
      <x:c r="B79" s="107"/>
      <x:c r="C79" s="107"/>
      <x:c r="D79" s="107"/>
      <x:c r="E79" s="119"/>
      <x:c r="F79" s="160"/>
      <x:c r="G79" s="161"/>
      <x:c r="H79" s="107"/>
      <x:c r="I79" s="107"/>
      <x:c r="J79" s="107"/>
      <x:c r="K79" s="107"/>
      <x:c r="L79" s="107"/>
      <x:c r="M79" s="107"/>
      <x:c r="N79" s="107"/>
      <x:c r="O79" s="107"/>
      <x:c r="P79" s="107"/>
      <x:c r="Q79" s="107"/>
      <x:c r="R79" s="106"/>
      <x:c r="S79" s="106"/>
      <x:c r="T79" s="106"/>
    </x:row>
    <x:row r="80" ht="21.450000762939453" customHeight="1">
      <x:c r="A80" s="20"/>
      <x:c r="B80" s="21"/>
      <x:c r="C80" s="21"/>
      <x:c r="D80" s="21"/>
      <x:c r="E80" s="22"/>
      <x:c r="F80" s="23"/>
      <x:c r="G80" s="24"/>
      <x:c r="H80" s="21"/>
      <x:c r="I80" s="21"/>
      <x:c r="J80" s="21"/>
      <x:c r="K80" s="21"/>
      <x:c r="L80" s="20"/>
      <x:c r="M80" s="21"/>
      <x:c r="N80" s="21"/>
      <x:c r="O80" s="21"/>
      <x:c r="P80" s="20"/>
      <x:c r="Q80" s="21"/>
      <x:c r="R80" s="106"/>
      <x:c r="S80" s="106"/>
      <x:c r="T80" s="106"/>
    </x:row>
    <x:row r="81" ht="21.450000762939453" customHeight="1">
      <x:c r="A81" s="106"/>
      <x:c r="B81" s="106"/>
      <x:c r="C81" s="106"/>
      <x:c r="D81" s="106"/>
      <x:c r="E81" s="164"/>
      <x:c r="F81" s="130"/>
      <x:c r="G81" s="130"/>
      <x:c r="H81" s="106"/>
      <x:c r="I81" s="106"/>
      <x:c r="J81" s="106"/>
      <x:c r="K81" s="106"/>
      <x:c r="L81" s="106"/>
      <x:c r="M81" s="106"/>
      <x:c r="N81" s="106"/>
      <x:c r="O81" s="106"/>
      <x:c r="P81" s="106"/>
      <x:c r="Q81" s="106"/>
      <x:c r="R81" s="106"/>
      <x:c r="S81" s="106"/>
      <x:c r="T81" s="106"/>
    </x:row>
    <x:row r="82" ht="21.450000762939453" customHeight="1">
      <x:c r="A82" s="20"/>
      <x:c r="B82" s="21"/>
      <x:c r="C82" s="21"/>
      <x:c r="D82" s="21"/>
      <x:c r="E82" s="22"/>
      <x:c r="F82" s="23"/>
      <x:c r="G82" s="23"/>
      <x:c r="H82" s="21"/>
      <x:c r="I82" s="21"/>
      <x:c r="J82" s="21"/>
      <x:c r="K82" s="21"/>
      <x:c r="L82" s="21"/>
      <x:c r="M82" s="21"/>
      <x:c r="N82" s="21"/>
      <x:c r="O82" s="21"/>
      <x:c r="P82" s="21"/>
      <x:c r="Q82" s="21"/>
      <x:c r="R82" s="106"/>
      <x:c r="S82" s="106"/>
      <x:c r="T82" s="106"/>
    </x:row>
    <x:row r="83" ht="21.450000762939453" customHeight="1">
      <x:c r="A83" s="107"/>
      <x:c r="B83" s="107"/>
      <x:c r="C83" s="107"/>
      <x:c r="D83" s="107"/>
      <x:c r="E83" s="119"/>
      <x:c r="F83" s="160"/>
      <x:c r="G83" s="161"/>
      <x:c r="H83" s="107"/>
      <x:c r="I83" s="107"/>
      <x:c r="J83" s="107"/>
      <x:c r="K83" s="107"/>
      <x:c r="L83" s="107"/>
      <x:c r="M83" s="107"/>
      <x:c r="N83" s="107"/>
      <x:c r="O83" s="107"/>
      <x:c r="P83" s="107"/>
      <x:c r="Q83" s="107"/>
      <x:c r="R83" s="106"/>
      <x:c r="S83" s="106"/>
      <x:c r="T83" s="106"/>
    </x:row>
    <x:row r="84" ht="21.450000762939453" customHeight="1">
      <x:c r="A84" s="107"/>
      <x:c r="B84" s="107"/>
      <x:c r="C84" s="107"/>
      <x:c r="D84" s="107"/>
      <x:c r="E84" s="119"/>
      <x:c r="F84" s="160"/>
      <x:c r="G84" s="161"/>
      <x:c r="H84" s="107"/>
      <x:c r="I84" s="107"/>
      <x:c r="J84" s="107"/>
      <x:c r="K84" s="106"/>
      <x:c r="L84" s="107"/>
      <x:c r="M84" s="107"/>
      <x:c r="N84" s="107"/>
      <x:c r="O84" s="107"/>
      <x:c r="P84" s="107"/>
      <x:c r="Q84" s="107"/>
      <x:c r="R84" s="106"/>
      <x:c r="S84" s="106"/>
      <x:c r="T84" s="106"/>
    </x:row>
    <x:row r="85" ht="21.450000762939453" customHeight="1">
      <x:c r="A85" s="107"/>
      <x:c r="B85" s="107"/>
      <x:c r="C85" s="107"/>
      <x:c r="D85" s="107"/>
      <x:c r="E85" s="119"/>
      <x:c r="F85" s="160"/>
      <x:c r="G85" s="161"/>
      <x:c r="H85" s="107"/>
      <x:c r="I85" s="107"/>
      <x:c r="J85" s="107"/>
      <x:c r="K85" s="106"/>
      <x:c r="L85" s="107"/>
      <x:c r="M85" s="107"/>
      <x:c r="N85" s="107"/>
      <x:c r="O85" s="107"/>
      <x:c r="P85" s="107"/>
      <x:c r="Q85" s="107"/>
      <x:c r="R85" s="106"/>
      <x:c r="S85" s="106"/>
      <x:c r="T85" s="106"/>
    </x:row>
    <x:row r="86" ht="21.450000762939453" customHeight="1">
      <x:c r="A86" s="107"/>
      <x:c r="B86" s="107"/>
      <x:c r="C86" s="107"/>
      <x:c r="D86" s="107"/>
      <x:c r="E86" s="119"/>
      <x:c r="F86" s="160"/>
      <x:c r="G86" s="161"/>
      <x:c r="H86" s="107"/>
      <x:c r="I86" s="107"/>
      <x:c r="J86" s="107"/>
      <x:c r="K86" s="106"/>
      <x:c r="L86" s="107"/>
      <x:c r="M86" s="107"/>
      <x:c r="N86" s="107"/>
      <x:c r="O86" s="107"/>
      <x:c r="P86" s="107"/>
      <x:c r="Q86" s="107"/>
      <x:c r="R86" s="106"/>
      <x:c r="S86" s="106"/>
      <x:c r="T86" s="106"/>
    </x:row>
    <x:row r="87" ht="21.450000762939453" customHeight="1">
      <x:c r="A87" s="107"/>
      <x:c r="B87" s="107"/>
      <x:c r="C87" s="107"/>
      <x:c r="D87" s="107"/>
      <x:c r="E87" s="119"/>
      <x:c r="F87" s="160"/>
      <x:c r="G87" s="161"/>
      <x:c r="H87" s="107"/>
      <x:c r="I87" s="107"/>
      <x:c r="J87" s="107"/>
      <x:c r="K87" s="107"/>
      <x:c r="L87" s="107"/>
      <x:c r="M87" s="107"/>
      <x:c r="N87" s="107"/>
      <x:c r="O87" s="107"/>
      <x:c r="P87" s="107"/>
      <x:c r="Q87" s="107"/>
      <x:c r="R87" s="106"/>
      <x:c r="S87" s="106"/>
      <x:c r="T87" s="106"/>
    </x:row>
    <x:row r="88" ht="21.450000762939453" customHeight="1">
      <x:c r="A88" s="107"/>
      <x:c r="B88" s="107"/>
      <x:c r="C88" s="107"/>
      <x:c r="D88" s="107"/>
      <x:c r="E88" s="119"/>
      <x:c r="F88" s="160"/>
      <x:c r="G88" s="161"/>
      <x:c r="H88" s="107"/>
      <x:c r="I88" s="107"/>
      <x:c r="J88" s="107"/>
      <x:c r="K88" s="106"/>
      <x:c r="L88" s="107"/>
      <x:c r="M88" s="107"/>
      <x:c r="N88" s="107"/>
      <x:c r="O88" s="107"/>
      <x:c r="P88" s="107"/>
      <x:c r="Q88" s="107"/>
      <x:c r="R88" s="106"/>
      <x:c r="S88" s="106"/>
      <x:c r="T88" s="106"/>
    </x:row>
    <x:row r="89" ht="21.450000762939453" customHeight="1">
      <x:c r="A89" s="20"/>
      <x:c r="B89" s="20"/>
      <x:c r="C89" s="20"/>
      <x:c r="D89" s="20"/>
      <x:c r="E89" s="162"/>
      <x:c r="F89" s="163"/>
      <x:c r="G89" s="24"/>
      <x:c r="H89" s="20"/>
      <x:c r="I89" s="20"/>
      <x:c r="J89" s="20"/>
      <x:c r="K89" s="20"/>
      <x:c r="L89" s="20"/>
      <x:c r="M89" s="20"/>
      <x:c r="N89" s="20"/>
      <x:c r="O89" s="20"/>
      <x:c r="P89" s="20"/>
      <x:c r="Q89" s="20"/>
      <x:c r="R89" s="106"/>
      <x:c r="S89" s="106"/>
      <x:c r="T89" s="106"/>
    </x:row>
    <x:row r="90" ht="21.450000762939453" customHeight="1">
      <x:c r="A90" s="20"/>
      <x:c r="B90" s="21"/>
      <x:c r="C90" s="21"/>
      <x:c r="D90" s="21"/>
      <x:c r="E90" s="22"/>
      <x:c r="F90" s="23"/>
      <x:c r="G90" s="24"/>
      <x:c r="H90" s="21"/>
      <x:c r="I90" s="21"/>
      <x:c r="J90" s="21"/>
      <x:c r="K90" s="21"/>
      <x:c r="L90" s="20"/>
      <x:c r="M90" s="21"/>
      <x:c r="N90" s="21"/>
      <x:c r="O90" s="21"/>
      <x:c r="P90" s="20"/>
      <x:c r="Q90" s="21"/>
      <x:c r="R90" s="106"/>
      <x:c r="S90" s="106"/>
      <x:c r="T90" s="106"/>
    </x:row>
    <x:row r="91" ht="21.450000762939453" customHeight="1">
      <x:c r="A91" s="106"/>
      <x:c r="B91" s="106"/>
      <x:c r="C91" s="106"/>
      <x:c r="D91" s="106"/>
      <x:c r="E91" s="164"/>
      <x:c r="F91" s="130"/>
      <x:c r="G91" s="130"/>
      <x:c r="H91" s="106"/>
      <x:c r="I91" s="106"/>
      <x:c r="J91" s="106"/>
      <x:c r="K91" s="106"/>
      <x:c r="L91" s="106"/>
      <x:c r="M91" s="106"/>
      <x:c r="N91" s="106"/>
      <x:c r="O91" s="106"/>
      <x:c r="P91" s="106"/>
      <x:c r="Q91" s="106"/>
      <x:c r="R91" s="106"/>
      <x:c r="S91" s="106"/>
      <x:c r="T91" s="106"/>
    </x:row>
    <x:row r="92" ht="21.450000762939453" customHeight="1">
      <x:c r="A92" s="20"/>
      <x:c r="B92" s="21"/>
      <x:c r="C92" s="21"/>
      <x:c r="D92" s="21"/>
      <x:c r="E92" s="22"/>
      <x:c r="F92" s="23"/>
      <x:c r="G92" s="23"/>
      <x:c r="H92" s="21"/>
      <x:c r="I92" s="21"/>
      <x:c r="J92" s="21"/>
      <x:c r="K92" s="21"/>
      <x:c r="L92" s="21"/>
      <x:c r="M92" s="21"/>
      <x:c r="N92" s="21"/>
      <x:c r="O92" s="21"/>
      <x:c r="P92" s="21"/>
      <x:c r="Q92" s="21"/>
      <x:c r="R92" s="106"/>
      <x:c r="S92" s="106"/>
      <x:c r="T92" s="106"/>
    </x:row>
    <x:row r="93" ht="21.450000762939453" customHeight="1">
      <x:c r="A93" s="107"/>
      <x:c r="B93" s="107"/>
      <x:c r="C93" s="107"/>
      <x:c r="D93" s="107"/>
      <x:c r="E93" s="119"/>
      <x:c r="F93" s="160"/>
      <x:c r="G93" s="161"/>
      <x:c r="H93" s="107"/>
      <x:c r="I93" s="107"/>
      <x:c r="J93" s="107"/>
      <x:c r="K93" s="107"/>
      <x:c r="L93" s="107"/>
      <x:c r="M93" s="107"/>
      <x:c r="N93" s="107"/>
      <x:c r="O93" s="107"/>
      <x:c r="P93" s="107"/>
      <x:c r="Q93" s="107"/>
      <x:c r="R93" s="106"/>
      <x:c r="S93" s="106"/>
      <x:c r="T93" s="106"/>
    </x:row>
    <x:row r="94" ht="21.450000762939453" customHeight="1">
      <x:c r="A94" s="107"/>
      <x:c r="B94" s="107"/>
      <x:c r="C94" s="107"/>
      <x:c r="D94" s="107"/>
      <x:c r="E94" s="119"/>
      <x:c r="F94" s="160"/>
      <x:c r="G94" s="161"/>
      <x:c r="H94" s="107"/>
      <x:c r="I94" s="107"/>
      <x:c r="J94" s="107"/>
      <x:c r="K94" s="107"/>
      <x:c r="L94" s="107"/>
      <x:c r="M94" s="107"/>
      <x:c r="N94" s="107"/>
      <x:c r="O94" s="107"/>
      <x:c r="P94" s="107"/>
      <x:c r="Q94" s="107"/>
      <x:c r="R94" s="106"/>
      <x:c r="S94" s="106"/>
      <x:c r="T94" s="106"/>
    </x:row>
    <x:row r="95" ht="21.450000762939453" customHeight="1">
      <x:c r="A95" s="20"/>
      <x:c r="B95" s="20"/>
      <x:c r="C95" s="20"/>
      <x:c r="D95" s="20"/>
      <x:c r="E95" s="162"/>
      <x:c r="F95" s="163"/>
      <x:c r="G95" s="24"/>
      <x:c r="H95" s="20"/>
      <x:c r="I95" s="20"/>
      <x:c r="J95" s="20"/>
      <x:c r="K95" s="21"/>
      <x:c r="L95" s="20"/>
      <x:c r="M95" s="20"/>
      <x:c r="N95" s="20"/>
      <x:c r="O95" s="20"/>
      <x:c r="P95" s="20"/>
      <x:c r="Q95" s="20"/>
      <x:c r="R95" s="106"/>
      <x:c r="S95" s="106"/>
      <x:c r="T95" s="106"/>
    </x:row>
    <x:row r="96" ht="21.450000762939453" customHeight="1">
      <x:c r="A96" s="20"/>
      <x:c r="B96" s="20"/>
      <x:c r="C96" s="20"/>
      <x:c r="D96" s="20"/>
      <x:c r="E96" s="162"/>
      <x:c r="F96" s="163"/>
      <x:c r="G96" s="24"/>
      <x:c r="H96" s="20"/>
      <x:c r="I96" s="20"/>
      <x:c r="J96" s="20"/>
      <x:c r="K96" s="20"/>
      <x:c r="L96" s="20"/>
      <x:c r="M96" s="20"/>
      <x:c r="N96" s="20"/>
      <x:c r="O96" s="20"/>
      <x:c r="P96" s="20"/>
      <x:c r="Q96" s="20"/>
      <x:c r="R96" s="106"/>
      <x:c r="S96" s="106"/>
      <x:c r="T96" s="106"/>
    </x:row>
    <x:row r="97" ht="21.450000762939453" customHeight="1">
      <x:c r="A97" s="20"/>
      <x:c r="B97" s="21"/>
      <x:c r="C97" s="21"/>
      <x:c r="D97" s="21"/>
      <x:c r="E97" s="22"/>
      <x:c r="F97" s="23"/>
      <x:c r="G97" s="24"/>
      <x:c r="H97" s="21"/>
      <x:c r="I97" s="21"/>
      <x:c r="J97" s="21"/>
      <x:c r="K97" s="21"/>
      <x:c r="L97" s="20"/>
      <x:c r="M97" s="21"/>
      <x:c r="N97" s="21"/>
      <x:c r="O97" s="21"/>
      <x:c r="P97" s="20"/>
      <x:c r="Q97" s="21"/>
      <x:c r="R97" s="106"/>
      <x:c r="S97" s="106"/>
      <x:c r="T97" s="106"/>
    </x:row>
    <x:row r="98" ht="21.450000762939453" customHeight="1">
      <x:c r="A98" s="106"/>
      <x:c r="B98" s="106"/>
      <x:c r="C98" s="106"/>
      <x:c r="D98" s="106"/>
      <x:c r="E98" s="164"/>
      <x:c r="F98" s="130"/>
      <x:c r="G98" s="130"/>
      <x:c r="H98" s="106"/>
      <x:c r="I98" s="106"/>
      <x:c r="J98" s="106"/>
      <x:c r="K98" s="106"/>
      <x:c r="L98" s="106"/>
      <x:c r="M98" s="106"/>
      <x:c r="N98" s="106"/>
      <x:c r="O98" s="106"/>
      <x:c r="P98" s="106"/>
      <x:c r="Q98" s="106"/>
      <x:c r="R98" s="106"/>
      <x:c r="S98" s="106"/>
      <x:c r="T98" s="106"/>
    </x:row>
    <x:row r="99" ht="21.450000762939453" customHeight="1">
      <x:c r="A99" s="20"/>
      <x:c r="B99" s="21"/>
      <x:c r="C99" s="21"/>
      <x:c r="D99" s="21"/>
      <x:c r="E99" s="22"/>
      <x:c r="F99" s="23"/>
      <x:c r="G99" s="23"/>
      <x:c r="H99" s="21"/>
      <x:c r="I99" s="21"/>
      <x:c r="J99" s="21"/>
      <x:c r="K99" s="20"/>
      <x:c r="L99" s="21"/>
      <x:c r="M99" s="21"/>
      <x:c r="N99" s="21"/>
      <x:c r="O99" s="21"/>
      <x:c r="P99" s="21"/>
      <x:c r="Q99" s="21"/>
      <x:c r="R99" s="106"/>
      <x:c r="S99" s="106"/>
      <x:c r="T99" s="106"/>
    </x:row>
    <x:row r="100" ht="21.450000762939453" customHeight="1">
      <x:c r="A100" s="107"/>
      <x:c r="B100" s="107"/>
      <x:c r="C100" s="107"/>
      <x:c r="D100" s="107"/>
      <x:c r="E100" s="119"/>
      <x:c r="F100" s="160"/>
      <x:c r="G100" s="161"/>
      <x:c r="H100" s="107"/>
      <x:c r="I100" s="107"/>
      <x:c r="J100" s="107"/>
      <x:c r="K100" s="107"/>
      <x:c r="L100" s="107"/>
      <x:c r="M100" s="107"/>
      <x:c r="N100" s="107"/>
      <x:c r="O100" s="107"/>
      <x:c r="P100" s="107"/>
      <x:c r="Q100" s="107"/>
      <x:c r="R100" s="106"/>
      <x:c r="S100" s="106"/>
      <x:c r="T100" s="106"/>
    </x:row>
    <x:row r="101" ht="21.450000762939453" customHeight="1">
      <x:c r="A101" s="107"/>
      <x:c r="B101" s="107"/>
      <x:c r="C101" s="107"/>
      <x:c r="D101" s="107"/>
      <x:c r="E101" s="119"/>
      <x:c r="F101" s="160"/>
      <x:c r="G101" s="161"/>
      <x:c r="H101" s="107"/>
      <x:c r="I101" s="107"/>
      <x:c r="J101" s="107"/>
      <x:c r="K101" s="107"/>
      <x:c r="L101" s="107"/>
      <x:c r="M101" s="107"/>
      <x:c r="N101" s="107"/>
      <x:c r="O101" s="107"/>
      <x:c r="P101" s="107"/>
      <x:c r="Q101" s="107"/>
      <x:c r="R101" s="106"/>
      <x:c r="S101" s="106"/>
      <x:c r="T101" s="106"/>
    </x:row>
    <x:row r="102" ht="21.450000762939453" customHeight="1">
      <x:c r="A102" s="107"/>
      <x:c r="B102" s="107"/>
      <x:c r="C102" s="107"/>
      <x:c r="D102" s="107"/>
      <x:c r="E102" s="119"/>
      <x:c r="F102" s="160"/>
      <x:c r="G102" s="161"/>
      <x:c r="H102" s="107"/>
      <x:c r="I102" s="107"/>
      <x:c r="J102" s="107"/>
      <x:c r="K102" s="107"/>
      <x:c r="L102" s="107"/>
      <x:c r="M102" s="107"/>
      <x:c r="N102" s="107"/>
      <x:c r="O102" s="107"/>
      <x:c r="P102" s="107"/>
      <x:c r="Q102" s="107"/>
      <x:c r="R102" s="106"/>
      <x:c r="S102" s="106"/>
      <x:c r="T102" s="106"/>
    </x:row>
    <x:row r="103" ht="21.450000762939453" customHeight="1">
      <x:c r="A103" s="107"/>
      <x:c r="B103" s="107"/>
      <x:c r="C103" s="107"/>
      <x:c r="D103" s="107"/>
      <x:c r="E103" s="119"/>
      <x:c r="F103" s="160"/>
      <x:c r="G103" s="161"/>
      <x:c r="H103" s="107"/>
      <x:c r="I103" s="107"/>
      <x:c r="J103" s="107"/>
      <x:c r="K103" s="107"/>
      <x:c r="L103" s="107"/>
      <x:c r="M103" s="107"/>
      <x:c r="N103" s="107"/>
      <x:c r="O103" s="107"/>
      <x:c r="P103" s="107"/>
      <x:c r="Q103" s="107"/>
      <x:c r="R103" s="106"/>
      <x:c r="S103" s="106"/>
      <x:c r="T103" s="106"/>
    </x:row>
    <x:row r="104" ht="21.450000762939453" customHeight="1">
      <x:c r="A104" s="20"/>
      <x:c r="B104" s="20"/>
      <x:c r="C104" s="20"/>
      <x:c r="D104" s="20"/>
      <x:c r="E104" s="162"/>
      <x:c r="F104" s="163"/>
      <x:c r="G104" s="24"/>
      <x:c r="H104" s="20"/>
      <x:c r="I104" s="20"/>
      <x:c r="J104" s="20"/>
      <x:c r="K104" s="20"/>
      <x:c r="L104" s="20"/>
      <x:c r="M104" s="20"/>
      <x:c r="N104" s="20"/>
      <x:c r="O104" s="20"/>
      <x:c r="P104" s="20"/>
      <x:c r="Q104" s="20"/>
      <x:c r="R104" s="106"/>
      <x:c r="S104" s="106"/>
      <x:c r="T104" s="106"/>
    </x:row>
    <x:row r="105" ht="21.450000762939453" customHeight="1">
      <x:c r="A105" s="20"/>
      <x:c r="B105" s="20"/>
      <x:c r="C105" s="20"/>
      <x:c r="D105" s="20"/>
      <x:c r="E105" s="162"/>
      <x:c r="F105" s="163"/>
      <x:c r="G105" s="24"/>
      <x:c r="H105" s="20"/>
      <x:c r="I105" s="20"/>
      <x:c r="J105" s="20"/>
      <x:c r="K105" s="20"/>
      <x:c r="L105" s="20"/>
      <x:c r="M105" s="20"/>
      <x:c r="N105" s="20"/>
      <x:c r="O105" s="20"/>
      <x:c r="P105" s="20"/>
      <x:c r="Q105" s="20"/>
      <x:c r="R105" s="106"/>
      <x:c r="S105" s="106"/>
      <x:c r="T105" s="106"/>
    </x:row>
    <x:row r="106" ht="21.450000762939453" customHeight="1">
      <x:c r="A106" s="107"/>
      <x:c r="B106" s="107"/>
      <x:c r="C106" s="107"/>
      <x:c r="D106" s="107"/>
      <x:c r="E106" s="119"/>
      <x:c r="F106" s="160"/>
      <x:c r="G106" s="161"/>
      <x:c r="H106" s="107"/>
      <x:c r="I106" s="107"/>
      <x:c r="J106" s="107"/>
      <x:c r="K106" s="107"/>
      <x:c r="L106" s="107"/>
      <x:c r="M106" s="107"/>
      <x:c r="N106" s="107"/>
      <x:c r="O106" s="107"/>
      <x:c r="P106" s="107"/>
      <x:c r="Q106" s="107"/>
      <x:c r="R106" s="106"/>
      <x:c r="S106" s="106"/>
      <x:c r="T106" s="106"/>
    </x:row>
    <x:row r="107" ht="21.450000762939453" customHeight="1">
      <x:c r="A107" s="107"/>
      <x:c r="B107" s="107"/>
      <x:c r="C107" s="107"/>
      <x:c r="D107" s="107"/>
      <x:c r="E107" s="119"/>
      <x:c r="F107" s="160"/>
      <x:c r="G107" s="161"/>
      <x:c r="H107" s="107"/>
      <x:c r="I107" s="107"/>
      <x:c r="J107" s="107"/>
      <x:c r="K107" s="107"/>
      <x:c r="L107" s="107"/>
      <x:c r="M107" s="107"/>
      <x:c r="N107" s="107"/>
      <x:c r="O107" s="107"/>
      <x:c r="P107" s="107"/>
      <x:c r="Q107" s="107"/>
      <x:c r="R107" s="106"/>
      <x:c r="S107" s="106"/>
      <x:c r="T107" s="106"/>
    </x:row>
    <x:row r="108" ht="21.450000762939453" customHeight="1">
      <x:c r="A108" s="107"/>
      <x:c r="B108" s="107"/>
      <x:c r="C108" s="107"/>
      <x:c r="D108" s="107"/>
      <x:c r="E108" s="119"/>
      <x:c r="F108" s="160"/>
      <x:c r="G108" s="161"/>
      <x:c r="H108" s="107"/>
      <x:c r="I108" s="107"/>
      <x:c r="J108" s="107"/>
      <x:c r="K108" s="106"/>
      <x:c r="L108" s="107"/>
      <x:c r="M108" s="107"/>
      <x:c r="N108" s="107"/>
      <x:c r="O108" s="107"/>
      <x:c r="P108" s="107"/>
      <x:c r="Q108" s="107"/>
      <x:c r="R108" s="106"/>
      <x:c r="S108" s="106"/>
      <x:c r="T108" s="106"/>
    </x:row>
    <x:row r="109" ht="21.450000762939453" customHeight="1">
      <x:c r="A109" s="107"/>
      <x:c r="B109" s="107"/>
      <x:c r="C109" s="107"/>
      <x:c r="D109" s="107"/>
      <x:c r="E109" s="119"/>
      <x:c r="F109" s="160"/>
      <x:c r="G109" s="161"/>
      <x:c r="H109" s="107"/>
      <x:c r="I109" s="107"/>
      <x:c r="J109" s="107"/>
      <x:c r="K109" s="106"/>
      <x:c r="L109" s="107"/>
      <x:c r="M109" s="107"/>
      <x:c r="N109" s="107"/>
      <x:c r="O109" s="107"/>
      <x:c r="P109" s="107"/>
      <x:c r="Q109" s="107"/>
      <x:c r="R109" s="106"/>
      <x:c r="S109" s="106"/>
      <x:c r="T109" s="106"/>
    </x:row>
    <x:row r="110" ht="21.450000762939453" customHeight="1">
      <x:c r="A110" s="20"/>
      <x:c r="B110" s="21"/>
      <x:c r="C110" s="21"/>
      <x:c r="D110" s="21"/>
      <x:c r="E110" s="22"/>
      <x:c r="F110" s="23"/>
      <x:c r="G110" s="24"/>
      <x:c r="H110" s="21"/>
      <x:c r="I110" s="21"/>
      <x:c r="J110" s="21"/>
      <x:c r="K110" s="21"/>
      <x:c r="L110" s="20"/>
      <x:c r="M110" s="21"/>
      <x:c r="N110" s="21"/>
      <x:c r="O110" s="21"/>
      <x:c r="P110" s="20"/>
      <x:c r="Q110" s="21"/>
      <x:c r="R110" s="106"/>
      <x:c r="S110" s="106"/>
      <x:c r="T110" s="106"/>
    </x:row>
    <x:row r="111" ht="21.450000762939453" customHeight="1">
      <x:c r="A111" s="21"/>
      <x:c r="B111" s="21"/>
      <x:c r="C111" s="21"/>
      <x:c r="D111" s="21"/>
      <x:c r="E111" s="22"/>
      <x:c r="F111" s="23"/>
      <x:c r="G111" s="23"/>
      <x:c r="H111" s="21"/>
      <x:c r="I111" s="21"/>
      <x:c r="J111" s="21"/>
      <x:c r="K111" s="21"/>
      <x:c r="L111" s="21"/>
      <x:c r="M111" s="21"/>
      <x:c r="N111" s="21"/>
      <x:c r="O111" s="21"/>
      <x:c r="P111" s="21"/>
      <x:c r="Q111" s="21"/>
      <x:c r="R111" s="106"/>
      <x:c r="S111" s="106"/>
      <x:c r="T111" s="106"/>
    </x:row>
    <x:row r="112" ht="21.450000762939453" customHeight="1">
      <x:c r="A112" s="20"/>
      <x:c r="B112" s="21"/>
      <x:c r="C112" s="21"/>
      <x:c r="D112" s="21"/>
      <x:c r="E112" s="22"/>
      <x:c r="F112" s="23"/>
      <x:c r="G112" s="23"/>
      <x:c r="H112" s="21"/>
      <x:c r="I112" s="21"/>
      <x:c r="J112" s="21"/>
      <x:c r="K112" s="21"/>
      <x:c r="L112" s="21"/>
      <x:c r="M112" s="21"/>
      <x:c r="N112" s="21"/>
      <x:c r="O112" s="21"/>
      <x:c r="P112" s="21"/>
      <x:c r="Q112" s="21"/>
      <x:c r="R112" s="106"/>
      <x:c r="S112" s="106"/>
      <x:c r="T112" s="106"/>
    </x:row>
    <x:row r="113" ht="21.450000762939453" customHeight="1">
      <x:c r="A113" s="107"/>
      <x:c r="B113" s="107"/>
      <x:c r="C113" s="107"/>
      <x:c r="D113" s="107"/>
      <x:c r="E113" s="165"/>
      <x:c r="F113" s="160"/>
      <x:c r="G113" s="161"/>
      <x:c r="H113" s="107"/>
      <x:c r="I113" s="107"/>
      <x:c r="J113" s="107"/>
      <x:c r="K113" s="107"/>
      <x:c r="L113" s="107"/>
      <x:c r="M113" s="107"/>
      <x:c r="N113" s="107"/>
      <x:c r="O113" s="107"/>
      <x:c r="P113" s="107"/>
      <x:c r="Q113" s="107"/>
      <x:c r="R113" s="106"/>
      <x:c r="S113" s="106"/>
      <x:c r="T113" s="106"/>
    </x:row>
    <x:row r="114" ht="21.450000762939453" customHeight="1">
      <x:c r="A114" s="107"/>
      <x:c r="B114" s="107"/>
      <x:c r="C114" s="107"/>
      <x:c r="D114" s="107"/>
      <x:c r="E114" s="165"/>
      <x:c r="F114" s="160"/>
      <x:c r="G114" s="161"/>
      <x:c r="H114" s="107"/>
      <x:c r="I114" s="107"/>
      <x:c r="J114" s="107"/>
      <x:c r="K114" s="107"/>
      <x:c r="L114" s="107"/>
      <x:c r="M114" s="107"/>
      <x:c r="N114" s="107"/>
      <x:c r="O114" s="107"/>
      <x:c r="P114" s="107"/>
      <x:c r="Q114" s="107"/>
      <x:c r="R114" s="106"/>
      <x:c r="S114" s="106"/>
      <x:c r="T114" s="106"/>
    </x:row>
    <x:row r="115" ht="21.450000762939453" customHeight="1">
      <x:c r="A115" s="107"/>
      <x:c r="B115" s="107"/>
      <x:c r="C115" s="107"/>
      <x:c r="D115" s="107"/>
      <x:c r="E115" s="165"/>
      <x:c r="F115" s="160"/>
      <x:c r="G115" s="161"/>
      <x:c r="H115" s="107"/>
      <x:c r="I115" s="107"/>
      <x:c r="J115" s="107"/>
      <x:c r="K115" s="107"/>
      <x:c r="L115" s="107"/>
      <x:c r="M115" s="107"/>
      <x:c r="N115" s="107"/>
      <x:c r="O115" s="107"/>
      <x:c r="P115" s="107"/>
      <x:c r="Q115" s="107"/>
      <x:c r="R115" s="106"/>
      <x:c r="S115" s="106"/>
      <x:c r="T115" s="106"/>
    </x:row>
    <x:row r="116" ht="21.450000762939453" customHeight="1">
      <x:c r="A116" s="107"/>
      <x:c r="B116" s="107"/>
      <x:c r="C116" s="107"/>
      <x:c r="D116" s="107"/>
      <x:c r="E116" s="165"/>
      <x:c r="F116" s="160"/>
      <x:c r="G116" s="161"/>
      <x:c r="H116" s="107"/>
      <x:c r="I116" s="107"/>
      <x:c r="J116" s="107"/>
      <x:c r="K116" s="107"/>
      <x:c r="L116" s="107"/>
      <x:c r="M116" s="107"/>
      <x:c r="N116" s="107"/>
      <x:c r="O116" s="107"/>
      <x:c r="P116" s="107"/>
      <x:c r="Q116" s="107"/>
      <x:c r="R116" s="106"/>
      <x:c r="S116" s="106"/>
      <x:c r="T116" s="106"/>
    </x:row>
    <x:row r="117" ht="21.450000762939453" customHeight="1">
      <x:c r="A117" s="107"/>
      <x:c r="B117" s="107"/>
      <x:c r="C117" s="107"/>
      <x:c r="D117" s="107"/>
      <x:c r="E117" s="165"/>
      <x:c r="F117" s="160"/>
      <x:c r="G117" s="161"/>
      <x:c r="H117" s="107"/>
      <x:c r="I117" s="107"/>
      <x:c r="J117" s="107"/>
      <x:c r="K117" s="107"/>
      <x:c r="L117" s="107"/>
      <x:c r="M117" s="107"/>
      <x:c r="N117" s="107"/>
      <x:c r="O117" s="107"/>
      <x:c r="P117" s="107"/>
      <x:c r="Q117" s="107"/>
      <x:c r="R117" s="106"/>
      <x:c r="S117" s="106"/>
      <x:c r="T117" s="106"/>
    </x:row>
    <x:row r="118" ht="21.450000762939453" customHeight="1">
      <x:c r="A118" s="107"/>
      <x:c r="B118" s="107"/>
      <x:c r="C118" s="107"/>
      <x:c r="D118" s="107"/>
      <x:c r="E118" s="165"/>
      <x:c r="F118" s="160"/>
      <x:c r="G118" s="161"/>
      <x:c r="H118" s="107"/>
      <x:c r="I118" s="107"/>
      <x:c r="J118" s="107"/>
      <x:c r="K118" s="107"/>
      <x:c r="L118" s="107"/>
      <x:c r="M118" s="107"/>
      <x:c r="N118" s="107"/>
      <x:c r="O118" s="107"/>
      <x:c r="P118" s="107"/>
      <x:c r="Q118" s="107"/>
      <x:c r="R118" s="106"/>
      <x:c r="S118" s="106"/>
      <x:c r="T118" s="106"/>
    </x:row>
    <x:row r="119" ht="21.450000762939453" customHeight="1">
      <x:c r="A119" s="107"/>
      <x:c r="B119" s="107"/>
      <x:c r="C119" s="107"/>
      <x:c r="D119" s="107"/>
      <x:c r="E119" s="165"/>
      <x:c r="F119" s="160"/>
      <x:c r="G119" s="161"/>
      <x:c r="H119" s="107"/>
      <x:c r="I119" s="107"/>
      <x:c r="J119" s="107"/>
      <x:c r="K119" s="107"/>
      <x:c r="L119" s="107"/>
      <x:c r="M119" s="107"/>
      <x:c r="N119" s="107"/>
      <x:c r="O119" s="107"/>
      <x:c r="P119" s="107"/>
      <x:c r="Q119" s="107"/>
      <x:c r="R119" s="106"/>
      <x:c r="S119" s="106"/>
      <x:c r="T119" s="106"/>
    </x:row>
    <x:row r="120" ht="21.450000762939453" customHeight="1">
      <x:c r="A120" s="107"/>
      <x:c r="B120" s="107"/>
      <x:c r="C120" s="107"/>
      <x:c r="D120" s="107"/>
      <x:c r="E120" s="165"/>
      <x:c r="F120" s="160"/>
      <x:c r="G120" s="161"/>
      <x:c r="H120" s="107"/>
      <x:c r="I120" s="107"/>
      <x:c r="J120" s="107"/>
      <x:c r="K120" s="107"/>
      <x:c r="L120" s="107"/>
      <x:c r="M120" s="107"/>
      <x:c r="N120" s="107"/>
      <x:c r="O120" s="107"/>
      <x:c r="P120" s="107"/>
      <x:c r="Q120" s="107"/>
      <x:c r="R120" s="106"/>
      <x:c r="S120" s="106"/>
      <x:c r="T120" s="106"/>
    </x:row>
    <x:row r="121" ht="21.450000762939453" customHeight="1">
      <x:c r="A121" s="107"/>
      <x:c r="B121" s="107"/>
      <x:c r="C121" s="107"/>
      <x:c r="D121" s="107"/>
      <x:c r="E121" s="165"/>
      <x:c r="F121" s="160"/>
      <x:c r="G121" s="161"/>
      <x:c r="H121" s="107"/>
      <x:c r="I121" s="107"/>
      <x:c r="J121" s="107"/>
      <x:c r="K121" s="107"/>
      <x:c r="L121" s="107"/>
      <x:c r="M121" s="107"/>
      <x:c r="N121" s="107"/>
      <x:c r="O121" s="107"/>
      <x:c r="P121" s="107"/>
      <x:c r="Q121" s="107"/>
      <x:c r="R121" s="106"/>
      <x:c r="S121" s="106"/>
      <x:c r="T121" s="106"/>
    </x:row>
    <x:row r="122" ht="21.450000762939453" customHeight="1">
      <x:c r="A122" s="107"/>
      <x:c r="B122" s="107"/>
      <x:c r="C122" s="107"/>
      <x:c r="D122" s="107"/>
      <x:c r="E122" s="165"/>
      <x:c r="F122" s="160"/>
      <x:c r="G122" s="161"/>
      <x:c r="H122" s="107"/>
      <x:c r="I122" s="107"/>
      <x:c r="J122" s="107"/>
      <x:c r="K122" s="107"/>
      <x:c r="L122" s="107"/>
      <x:c r="M122" s="107"/>
      <x:c r="N122" s="107"/>
      <x:c r="O122" s="107"/>
      <x:c r="P122" s="107"/>
      <x:c r="Q122" s="107"/>
      <x:c r="R122" s="106"/>
      <x:c r="S122" s="106"/>
      <x:c r="T122" s="106"/>
    </x:row>
    <x:row r="123" ht="21.450000762939453" customHeight="1">
      <x:c r="A123" s="107"/>
      <x:c r="B123" s="107"/>
      <x:c r="C123" s="107"/>
      <x:c r="D123" s="107"/>
      <x:c r="E123" s="165"/>
      <x:c r="F123" s="160"/>
      <x:c r="G123" s="161"/>
      <x:c r="H123" s="107"/>
      <x:c r="I123" s="107"/>
      <x:c r="J123" s="107"/>
      <x:c r="K123" s="107"/>
      <x:c r="L123" s="107"/>
      <x:c r="M123" s="107"/>
      <x:c r="N123" s="107"/>
      <x:c r="O123" s="107"/>
      <x:c r="P123" s="107"/>
      <x:c r="Q123" s="107"/>
      <x:c r="R123" s="106"/>
      <x:c r="S123" s="106"/>
      <x:c r="T123" s="106"/>
    </x:row>
    <x:row r="124" ht="21.450000762939453" customHeight="1">
      <x:c r="A124" s="107"/>
      <x:c r="B124" s="107"/>
      <x:c r="C124" s="107"/>
      <x:c r="D124" s="107"/>
      <x:c r="E124" s="165"/>
      <x:c r="F124" s="160"/>
      <x:c r="G124" s="161"/>
      <x:c r="H124" s="107"/>
      <x:c r="I124" s="107"/>
      <x:c r="J124" s="107"/>
      <x:c r="K124" s="107"/>
      <x:c r="L124" s="107"/>
      <x:c r="M124" s="107"/>
      <x:c r="N124" s="107"/>
      <x:c r="O124" s="107"/>
      <x:c r="P124" s="107"/>
      <x:c r="Q124" s="107"/>
      <x:c r="R124" s="106"/>
      <x:c r="S124" s="106"/>
      <x:c r="T124" s="106"/>
    </x:row>
    <x:row r="125" ht="21.450000762939453" customHeight="1">
      <x:c r="A125" s="107"/>
      <x:c r="B125" s="107"/>
      <x:c r="C125" s="107"/>
      <x:c r="D125" s="107"/>
      <x:c r="E125" s="165"/>
      <x:c r="F125" s="160"/>
      <x:c r="G125" s="161"/>
      <x:c r="H125" s="107"/>
      <x:c r="I125" s="107"/>
      <x:c r="J125" s="107"/>
      <x:c r="K125" s="107"/>
      <x:c r="L125" s="107"/>
      <x:c r="M125" s="107"/>
      <x:c r="N125" s="107"/>
      <x:c r="O125" s="107"/>
      <x:c r="P125" s="107"/>
      <x:c r="Q125" s="107"/>
      <x:c r="R125" s="106"/>
      <x:c r="S125" s="106"/>
      <x:c r="T125" s="106"/>
    </x:row>
    <x:row r="126" ht="21.450000762939453" customHeight="1">
      <x:c r="A126" s="107"/>
      <x:c r="B126" s="107"/>
      <x:c r="C126" s="107"/>
      <x:c r="D126" s="107"/>
      <x:c r="E126" s="165"/>
      <x:c r="F126" s="160"/>
      <x:c r="G126" s="161"/>
      <x:c r="H126" s="107"/>
      <x:c r="I126" s="107"/>
      <x:c r="J126" s="107"/>
      <x:c r="K126" s="107"/>
      <x:c r="L126" s="107"/>
      <x:c r="M126" s="107"/>
      <x:c r="N126" s="107"/>
      <x:c r="O126" s="107"/>
      <x:c r="P126" s="107"/>
      <x:c r="Q126" s="107"/>
      <x:c r="R126" s="106"/>
      <x:c r="S126" s="106"/>
      <x:c r="T126" s="106"/>
    </x:row>
    <x:row r="127" ht="21.450000762939453" customHeight="1">
      <x:c r="A127" s="107"/>
      <x:c r="B127" s="107"/>
      <x:c r="C127" s="107"/>
      <x:c r="D127" s="107"/>
      <x:c r="E127" s="165"/>
      <x:c r="F127" s="160"/>
      <x:c r="G127" s="161"/>
      <x:c r="H127" s="107"/>
      <x:c r="I127" s="107"/>
      <x:c r="J127" s="107"/>
      <x:c r="K127" s="107"/>
      <x:c r="L127" s="107"/>
      <x:c r="M127" s="107"/>
      <x:c r="N127" s="107"/>
      <x:c r="O127" s="107"/>
      <x:c r="P127" s="107"/>
      <x:c r="Q127" s="107"/>
      <x:c r="R127" s="106"/>
      <x:c r="S127" s="106"/>
      <x:c r="T127" s="106"/>
    </x:row>
    <x:row r="128" ht="21.450000762939453" customHeight="1">
      <x:c r="A128" s="107"/>
      <x:c r="B128" s="107"/>
      <x:c r="C128" s="107"/>
      <x:c r="D128" s="107"/>
      <x:c r="E128" s="165"/>
      <x:c r="F128" s="160"/>
      <x:c r="G128" s="161"/>
      <x:c r="H128" s="107"/>
      <x:c r="I128" s="107"/>
      <x:c r="J128" s="107"/>
      <x:c r="K128" s="107"/>
      <x:c r="L128" s="107"/>
      <x:c r="M128" s="107"/>
      <x:c r="N128" s="107"/>
      <x:c r="O128" s="107"/>
      <x:c r="P128" s="107"/>
      <x:c r="Q128" s="107"/>
      <x:c r="R128" s="106"/>
      <x:c r="S128" s="106"/>
      <x:c r="T128" s="106"/>
    </x:row>
    <x:row r="129" ht="21.450000762939453" customHeight="1">
      <x:c r="A129" s="107"/>
      <x:c r="B129" s="107"/>
      <x:c r="C129" s="107"/>
      <x:c r="D129" s="107"/>
      <x:c r="E129" s="165"/>
      <x:c r="F129" s="160"/>
      <x:c r="G129" s="161"/>
      <x:c r="H129" s="107"/>
      <x:c r="I129" s="107"/>
      <x:c r="J129" s="107"/>
      <x:c r="K129" s="107"/>
      <x:c r="L129" s="107"/>
      <x:c r="M129" s="107"/>
      <x:c r="N129" s="107"/>
      <x:c r="O129" s="107"/>
      <x:c r="P129" s="107"/>
      <x:c r="Q129" s="107"/>
      <x:c r="R129" s="106"/>
      <x:c r="S129" s="106"/>
      <x:c r="T129" s="106"/>
    </x:row>
    <x:row r="130" ht="21.450000762939453" customHeight="1">
      <x:c r="A130" s="107"/>
      <x:c r="B130" s="107"/>
      <x:c r="C130" s="107"/>
      <x:c r="D130" s="107"/>
      <x:c r="E130" s="165"/>
      <x:c r="F130" s="160"/>
      <x:c r="G130" s="161"/>
      <x:c r="H130" s="107"/>
      <x:c r="I130" s="107"/>
      <x:c r="J130" s="107"/>
      <x:c r="K130" s="107"/>
      <x:c r="L130" s="107"/>
      <x:c r="M130" s="107"/>
      <x:c r="N130" s="107"/>
      <x:c r="O130" s="107"/>
      <x:c r="P130" s="107"/>
      <x:c r="Q130" s="107"/>
      <x:c r="R130" s="106"/>
      <x:c r="S130" s="106"/>
      <x:c r="T130" s="106"/>
    </x:row>
    <x:row r="131" ht="21.450000762939453" customHeight="1">
      <x:c r="A131" s="107"/>
      <x:c r="B131" s="107"/>
      <x:c r="C131" s="107"/>
      <x:c r="D131" s="107"/>
      <x:c r="E131" s="165"/>
      <x:c r="F131" s="160"/>
      <x:c r="G131" s="161"/>
      <x:c r="H131" s="107"/>
      <x:c r="I131" s="107"/>
      <x:c r="J131" s="107"/>
      <x:c r="K131" s="107"/>
      <x:c r="L131" s="107"/>
      <x:c r="M131" s="107"/>
      <x:c r="N131" s="107"/>
      <x:c r="O131" s="107"/>
      <x:c r="P131" s="107"/>
      <x:c r="Q131" s="107"/>
      <x:c r="R131" s="106"/>
      <x:c r="S131" s="106"/>
      <x:c r="T131" s="106"/>
    </x:row>
    <x:row r="132" ht="21.450000762939453" customHeight="1">
      <x:c r="A132" s="107"/>
      <x:c r="B132" s="107"/>
      <x:c r="C132" s="107"/>
      <x:c r="D132" s="107"/>
      <x:c r="E132" s="165"/>
      <x:c r="F132" s="160"/>
      <x:c r="G132" s="161"/>
      <x:c r="H132" s="107"/>
      <x:c r="I132" s="107"/>
      <x:c r="J132" s="107"/>
      <x:c r="K132" s="107"/>
      <x:c r="L132" s="107"/>
      <x:c r="M132" s="107"/>
      <x:c r="N132" s="107"/>
      <x:c r="O132" s="107"/>
      <x:c r="P132" s="107"/>
      <x:c r="Q132" s="107"/>
      <x:c r="R132" s="106"/>
      <x:c r="S132" s="106"/>
      <x:c r="T132" s="106"/>
    </x:row>
    <x:row r="133" ht="21.450000762939453" customHeight="1">
      <x:c r="A133" s="107"/>
      <x:c r="B133" s="107"/>
      <x:c r="C133" s="107"/>
      <x:c r="D133" s="107"/>
      <x:c r="E133" s="165"/>
      <x:c r="F133" s="160"/>
      <x:c r="G133" s="161"/>
      <x:c r="H133" s="107"/>
      <x:c r="I133" s="107"/>
      <x:c r="J133" s="107"/>
      <x:c r="K133" s="107"/>
      <x:c r="L133" s="107"/>
      <x:c r="M133" s="107"/>
      <x:c r="N133" s="107"/>
      <x:c r="O133" s="107"/>
      <x:c r="P133" s="107"/>
      <x:c r="Q133" s="107"/>
      <x:c r="R133" s="106"/>
      <x:c r="S133" s="106"/>
      <x:c r="T133" s="106"/>
    </x:row>
    <x:row r="134" ht="21.450000762939453" customHeight="1">
      <x:c r="A134" s="106"/>
      <x:c r="B134" s="106"/>
      <x:c r="C134" s="106"/>
      <x:c r="D134" s="106"/>
      <x:c r="E134" s="164"/>
      <x:c r="F134" s="130"/>
      <x:c r="G134" s="130"/>
      <x:c r="H134" s="106"/>
      <x:c r="I134" s="106"/>
      <x:c r="J134" s="106"/>
      <x:c r="K134" s="106"/>
      <x:c r="L134" s="106"/>
      <x:c r="M134" s="106"/>
      <x:c r="N134" s="106"/>
      <x:c r="O134" s="106"/>
      <x:c r="P134" s="106"/>
      <x:c r="Q134" s="106"/>
      <x:c r="R134" s="106"/>
      <x:c r="S134" s="106"/>
      <x:c r="T134" s="106"/>
    </x:row>
    <x:row r="135" ht="21.450000762939453" customHeight="1">
      <x:c r="A135" s="107"/>
      <x:c r="B135" s="220"/>
      <x:c r="C135" s="208"/>
      <x:c r="D135" s="208"/>
      <x:c r="E135" s="164"/>
      <x:c r="F135" s="130"/>
      <x:c r="G135" s="166"/>
      <x:c r="H135" s="106"/>
      <x:c r="I135" s="106"/>
      <x:c r="J135" s="106"/>
      <x:c r="K135" s="106"/>
      <x:c r="L135" s="106"/>
      <x:c r="M135" s="106"/>
      <x:c r="N135" s="106"/>
      <x:c r="O135" s="106"/>
      <x:c r="P135" s="106"/>
      <x:c r="Q135" s="106"/>
      <x:c r="R135" s="106"/>
      <x:c r="S135" s="106"/>
      <x:c r="T135" s="106"/>
    </x:row>
    <x:row r="136" ht="21.450000762939453" customHeight="1">
      <x:c r="A136" s="107"/>
      <x:c r="B136" s="220"/>
      <x:c r="C136" s="208"/>
      <x:c r="D136" s="208"/>
      <x:c r="E136" s="164"/>
      <x:c r="F136" s="130"/>
      <x:c r="G136" s="166"/>
      <x:c r="H136" s="106"/>
      <x:c r="I136" s="106"/>
      <x:c r="J136" s="106"/>
      <x:c r="K136" s="106"/>
      <x:c r="L136" s="106"/>
      <x:c r="M136" s="106"/>
      <x:c r="N136" s="106"/>
      <x:c r="O136" s="106"/>
      <x:c r="P136" s="106"/>
      <x:c r="Q136" s="106"/>
      <x:c r="R136" s="106"/>
      <x:c r="S136" s="106"/>
      <x:c r="T136" s="106"/>
    </x:row>
    <x:row r="137" ht="21.450000762939453" customHeight="1">
      <x:c r="A137" s="107"/>
      <x:c r="B137" s="220"/>
      <x:c r="C137" s="208"/>
      <x:c r="D137" s="208"/>
      <x:c r="E137" s="164"/>
      <x:c r="F137" s="130"/>
      <x:c r="G137" s="166"/>
      <x:c r="H137" s="106"/>
      <x:c r="I137" s="106"/>
      <x:c r="J137" s="106"/>
      <x:c r="K137" s="106"/>
      <x:c r="L137" s="106"/>
      <x:c r="M137" s="106"/>
      <x:c r="N137" s="106"/>
      <x:c r="O137" s="106"/>
      <x:c r="P137" s="106"/>
      <x:c r="Q137" s="106"/>
      <x:c r="R137" s="106"/>
      <x:c r="S137" s="106"/>
      <x:c r="T137" s="106"/>
    </x:row>
  </x:sheetData>
  <x:mergeCells>
    <x:mergeCell ref="A1:C1"/>
    <x:mergeCell ref="B135:D135"/>
    <x:mergeCell ref="B136:D136"/>
    <x:mergeCell ref="B137:D137"/>
    <x:mergeCell ref="Q1:T1"/>
  </x:mergeCells>
  <x:conditionalFormatting sqref="F3:F109">
    <x:cfRule type="expression" dxfId="6" priority="1">
      <x:formula>$R3="Jason"</x:formula>
    </x:cfRule>
  </x:conditionalFormatting>
  <x:conditionalFormatting sqref="S3:S109">
    <x:cfRule type="expression" dxfId="5" priority="2">
      <x:formula>$S3="PC / Quote Required"</x:formula>
    </x:cfRule>
    <x:cfRule type="expression" dxfId="4" priority="3">
      <x:formula>$S3="Market Rate"</x:formula>
    </x:cfRule>
    <x:cfRule type="expression" dxfId="3" priority="4">
      <x:formula>$S3="Supplier Quote"</x:formula>
    </x:cfRule>
  </x:conditionalFormatting>
  <x:dataValidations count="2">
    <x:dataValidation type="custom" allowBlank="1" showErrorMessage="1" errorTitle="Linked formula cell" error="This value is linked. Change the upstream input/source instead of overwriting this cell." sqref="R64 R33 R3 L3:P73 S3:S73 F3:F73 G3:G74">
      <x:formula1>FALSE</x:formula1>
    </x:dataValidation>
    <x:dataValidation type="list" sqref="S3:S109">
      <x:formula1>"Supplier Quote,Historical Quote,Market Rate,Measured / Review,QS Build-up,PC / Quote Required,Closed,Review"</x:formula1>
    </x:dataValidation>
  </x:dataValidations>
  <x:pageMargins left="0.7" right="0.7" top="0.75" bottom="0.75" header="0.3" footer="0.3"/>
</x:worksheet>
</file>

<file path=xl/worksheets/sheet6.xml><?xml version="1.0" encoding="utf-8"?>
<x:worksheet xmlns:x="http://schemas.openxmlformats.org/spreadsheetml/2006/main">
  <x:sheetFormatPr defaultRowHeight="13.800000190734863"/>
  <x:cols>
    <x:col min="1" max="1" width="44.296875" style="1" customWidth="1"/>
    <x:col min="2" max="2" width="18" style="1" customWidth="1"/>
    <x:col min="3" max="3" width="10" style="1" customWidth="1"/>
    <x:col min="4" max="4" width="13" style="1" customWidth="1"/>
    <x:col min="5" max="5" width="15" style="1" customWidth="1"/>
    <x:col min="6" max="6" width="17" style="1" customWidth="1"/>
    <x:col min="7" max="7" width="15" style="1" customWidth="1"/>
    <x:col min="8" max="8" width="17" style="1" customWidth="1"/>
    <x:col min="9" max="10" width="15" style="1" customWidth="1"/>
    <x:col min="11" max="13" width="16" style="1" customWidth="1"/>
    <x:col min="14" max="14" width="13" style="1" customWidth="1"/>
    <x:col min="15" max="15" width="17" style="1" customWidth="1"/>
    <x:col min="16" max="16" width="57.5" style="1" customWidth="1"/>
  </x:cols>
  <x:sheetData>
    <x:row r="1" ht="27.75" customHeight="1">
      <x:c r="A1" s="230" t="str">
        <x:v>STAGE PAYMENT &amp; CASHFLOW - MASTER ESTIMATE WORKBOOK REV4</x:v>
      </x:c>
      <x:c r="B1" s="230"/>
      <x:c r="C1" s="230"/>
      <x:c r="D1" s="230"/>
      <x:c r="E1" s="230"/>
      <x:c r="F1" s="230"/>
      <x:c r="G1" s="230"/>
      <x:c r="H1" s="230"/>
      <x:c r="I1" s="230"/>
      <x:c r="J1" s="230"/>
      <x:c r="K1" s="230"/>
      <x:c r="L1" s="230"/>
      <x:c r="M1" s="230"/>
      <x:c r="N1" s="230"/>
      <x:c r="O1" s="230"/>
      <x:c r="P1" s="230"/>
    </x:row>
    <x:row r="2">
      <x:c r="A2" s="228" t="str">
        <x:v>Only stage timing, stage percentages and retention applicability are inputs. Revenue and direct-cost allocations remain formula linked.</x:v>
      </x:c>
      <x:c r="B2" s="211"/>
      <x:c r="C2" s="211"/>
      <x:c r="D2" s="211"/>
      <x:c r="E2" s="211"/>
      <x:c r="F2" s="211"/>
      <x:c r="G2" s="211"/>
      <x:c r="H2" s="211"/>
      <x:c r="I2" s="211"/>
      <x:c r="J2" s="211"/>
      <x:c r="K2" s="211"/>
      <x:c r="L2" s="211"/>
      <x:c r="M2" s="27"/>
      <x:c r="N2" s="27"/>
      <x:c r="O2" s="27"/>
      <x:c r="P2" s="27"/>
    </x:row>
    <x:row r="3" ht="20.100000381469727" customHeight="1">
      <x:c r="A3" s="229" t="str">
        <x:v>Cash on hand = cumulative net pre-GST receipts less base direct stage costs and included pre-margin provisions. Rev34 CA16 Management Reserve is carried in the pre-margin provision row for tender/cashflow reconciliation only; it is an unallocated commercial management reserve, not forecast physical expenditure unless subsequently consumed under change control.</x:v>
      </x:c>
      <x:c r="B3" s="211"/>
      <x:c r="C3" s="211"/>
      <x:c r="D3" s="211"/>
      <x:c r="E3" s="211"/>
      <x:c r="F3" s="211"/>
      <x:c r="G3" s="211"/>
      <x:c r="H3" s="211"/>
      <x:c r="I3" s="211"/>
      <x:c r="J3" s="211"/>
      <x:c r="K3" s="211"/>
      <x:c r="L3" s="211"/>
      <x:c r="M3" s="211"/>
      <x:c r="N3" s="211"/>
      <x:c r="O3" s="211"/>
      <x:c r="P3" s="211"/>
    </x:row>
    <x:row r="4" s="3" customFormat="1" ht="28.799999237060547" customHeight="1">
      <x:c r="A4" s="167" t="s">
        <x:v>228</x:v>
      </x:c>
      <x:c r="B4" s="167" t="s">
        <x:v>229</x:v>
      </x:c>
      <x:c r="C4" s="167" t="s">
        <x:v>230</x:v>
      </x:c>
      <x:c r="D4" s="167" t="s">
        <x:v>231</x:v>
      </x:c>
      <x:c r="E4" s="167" t="s">
        <x:v>232</x:v>
      </x:c>
      <x:c r="F4" s="167" t="s">
        <x:v>233</x:v>
      </x:c>
      <x:c r="G4" s="167" t="s">
        <x:v>234</x:v>
      </x:c>
      <x:c r="H4" s="167" t="s">
        <x:v>235</x:v>
      </x:c>
      <x:c r="I4" s="167" t="str">
        <x:v>Stage cost / provision</x:v>
      </x:c>
      <x:c r="J4" s="167" t="s">
        <x:v>236</x:v>
      </x:c>
      <x:c r="K4" s="167" t="s">
        <x:v>237</x:v>
      </x:c>
      <x:c r="L4" s="167" t="s">
        <x:v>238</x:v>
      </x:c>
      <x:c r="M4" s="31" t="s">
        <x:v>239</x:v>
      </x:c>
      <x:c r="N4" s="31" t="s">
        <x:v>43</x:v>
      </x:c>
      <x:c r="O4" s="31" t="s">
        <x:v>240</x:v>
      </x:c>
      <x:c r="P4" s="31" t="s">
        <x:v>16</x:v>
      </x:c>
    </x:row>
    <x:row r="5" s="3" customFormat="1" ht="23.549999237060547" customHeight="1">
      <x:c r="A5" s="106" t="s">
        <x:v>241</x:v>
      </x:c>
      <x:c r="B5" s="140" t="str">
        <x:v>On contract award</x:v>
      </x:c>
      <x:c r="C5" s="141" t="n">
        <x:f>IF('Commercial Inputs'!$F$28="Yes",'Commercial Inputs'!$D$28,0)</x:f>
        <x:v>0</x:v>
      </x:c>
      <x:c r="D5" s="140" t="str">
        <x:f>IF('Commercial Inputs'!$F$29="Yes","Yes","No")</x:f>
        <x:v>No</x:v>
      </x:c>
      <x:c r="E5" s="168" t="n">
        <x:f>0</x:f>
        <x:v>0</x:v>
      </x:c>
      <x:c r="F5" s="168" t="n">
        <x:f>'Tender Build-Up'!$B$47*C5</x:f>
        <x:v>0</x:v>
      </x:c>
      <x:c r="G5" s="168" t="n">
        <x:f>IF(AND(D5="Yes",'Commercial Inputs'!$F$26="Yes"),F5*'Commercial Inputs'!$D$26,0)</x:f>
        <x:v>0</x:v>
      </x:c>
      <x:c r="H5" s="168" t="n">
        <x:f t="shared" ref="H5:H11" si="0">F5-G5</x:f>
        <x:v>0</x:v>
      </x:c>
      <x:c r="I5" s="168" t="n">
        <x:f>0</x:f>
        <x:v>0</x:v>
      </x:c>
      <x:c r="J5" s="168" t="n">
        <x:f t="shared" ref="J5:J11" si="1">H5-I5</x:f>
        <x:v>0</x:v>
      </x:c>
      <x:c r="K5" s="168" t="n">
        <x:f t="shared" ref="K5:K11" si="2">E5+J5</x:f>
        <x:v>0</x:v>
      </x:c>
      <x:c r="L5" s="168" t="n">
        <x:f>H5</x:f>
        <x:v>0</x:v>
      </x:c>
      <x:c r="M5" s="168" t="n">
        <x:f>G5</x:f>
        <x:v>0</x:v>
      </x:c>
      <x:c r="N5" s="168" t="n">
        <x:f>IF('Commercial Inputs'!$F$25="Yes",H5*'Commercial Inputs'!$D$25,0)</x:f>
        <x:v>0</x:v>
      </x:c>
      <x:c r="O5" s="168" t="n">
        <x:f t="shared" ref="O5:O11" si="3">H5+N5</x:f>
        <x:v>0</x:v>
      </x:c>
      <x:c r="P5" s="166" t="str">
        <x:v>No deposit assumed; CA24 remains OFF.</x:v>
      </x:c>
    </x:row>
    <x:row r="6" s="3" customFormat="1" ht="23.549999237060547" customHeight="1">
      <x:c r="A6" s="106" t="s">
        <x:v>242</x:v>
      </x:c>
      <x:c r="B6" s="140" t="str">
        <x:v>WD1-55 / throughout dry tender scenario</x:v>
      </x:c>
      <x:c r="C6" s="141"/>
      <x:c r="D6" s="140"/>
      <x:c r="E6" s="168" t="n">
        <x:f t="shared" ref="E6:E11" si="4">K5</x:f>
        <x:v>0</x:v>
      </x:c>
      <x:c r="F6" s="168" t="n">
        <x:f>'Tender Build-Up'!$B$47*C6</x:f>
        <x:v>0</x:v>
      </x:c>
      <x:c r="G6" s="168" t="n">
        <x:f>IF(AND(D6="Yes",'Commercial Inputs'!$F$26="Yes"),F6*'Commercial Inputs'!$D$26,0)</x:f>
        <x:v>0</x:v>
      </x:c>
      <x:c r="H6" s="168" t="n">
        <x:f t="shared" si="0">F6-G6</x:f>
        <x:v>0</x:v>
      </x:c>
      <x:c r="I6" s="168" t="n">
        <x:f>SUM(Summary!$B$23:$B$24)</x:f>
        <x:v>56153.5432681868</x:v>
      </x:c>
      <x:c r="J6" s="168" t="n">
        <x:f t="shared" si="1">H6-I6</x:f>
        <x:v>-56153.5432681868</x:v>
      </x:c>
      <x:c r="K6" s="168" t="n">
        <x:f t="shared" si="2">E6+J6</x:f>
        <x:v>-56153.5432681868</x:v>
      </x:c>
      <x:c r="L6" s="168" t="n">
        <x:f t="shared" ref="L6:L11" si="5">L5+H6</x:f>
        <x:v>0</x:v>
      </x:c>
      <x:c r="M6" s="168" t="n">
        <x:f t="shared" ref="M6:M11" si="6">M5+G6</x:f>
        <x:v>0</x:v>
      </x:c>
      <x:c r="N6" s="168" t="n">
        <x:f>IF('Commercial Inputs'!$F$25="Yes",H6*'Commercial Inputs'!$D$25,0)</x:f>
        <x:v>0</x:v>
      </x:c>
      <x:c r="O6" s="168" t="n">
        <x:f t="shared" si="3">H6+N6</x:f>
        <x:v>0</x:v>
      </x:c>
      <x:c r="P6" s="166" t="str">
        <x:v>Revenue stage percentage intentionally 0 pending head-contract payment schedule; costs shown are estimate cost allocation only.</x:v>
      </x:c>
    </x:row>
    <x:row r="7" s="3" customFormat="1" ht="23.549999237060547" customHeight="1">
      <x:c r="A7" s="106" t="s">
        <x:v>243</x:v>
      </x:c>
      <x:c r="B7" s="140" t="str">
        <x:v>Approx WD4-18</x:v>
      </x:c>
      <x:c r="C7" s="141"/>
      <x:c r="D7" s="140"/>
      <x:c r="E7" s="168" t="n">
        <x:f t="shared" si="4">K6</x:f>
        <x:v>-56153.5432681868</x:v>
      </x:c>
      <x:c r="F7" s="168" t="n">
        <x:f>'Tender Build-Up'!$B$47*C7</x:f>
        <x:v>0</x:v>
      </x:c>
      <x:c r="G7" s="168" t="n">
        <x:f>IF(AND(D7="Yes",'Commercial Inputs'!$F$26="Yes"),F7*'Commercial Inputs'!$D$26,0)</x:f>
        <x:v>0</x:v>
      </x:c>
      <x:c r="H7" s="168" t="n">
        <x:f t="shared" si="0">F7-G7</x:f>
        <x:v>0</x:v>
      </x:c>
      <x:c r="I7" s="168" t="n">
        <x:f>Summary!$B$25</x:f>
        <x:v>116065.18333333333</x:v>
      </x:c>
      <x:c r="J7" s="168" t="n">
        <x:f t="shared" si="1">H7-I7</x:f>
        <x:v>-116065.18333333333</x:v>
      </x:c>
      <x:c r="K7" s="168" t="n">
        <x:f t="shared" si="2">E7+J7</x:f>
        <x:v>-172218.72660152015</x:v>
      </x:c>
      <x:c r="L7" s="168" t="n">
        <x:f t="shared" si="5">L6+H7</x:f>
        <x:v>0</x:v>
      </x:c>
      <x:c r="M7" s="168" t="n">
        <x:f t="shared" si="6">M6+G7</x:f>
        <x:v>0</x:v>
      </x:c>
      <x:c r="N7" s="168" t="n">
        <x:f>IF('Commercial Inputs'!$F$25="Yes",H7*'Commercial Inputs'!$D$25,0)</x:f>
        <x:v>0</x:v>
      </x:c>
      <x:c r="O7" s="168" t="n">
        <x:f t="shared" si="3">H7+N7</x:f>
        <x:v>0</x:v>
      </x:c>
      <x:c r="P7" s="166" t="str">
        <x:v>Earthworks/import-fill cost timing control only; revenue percentage not assumed.</x:v>
      </x:c>
    </x:row>
    <x:row r="8" s="3" customFormat="1" ht="23.549999237060547" customHeight="1">
      <x:c r="A8" s="106" t="s">
        <x:v>244</x:v>
      </x:c>
      <x:c r="B8" s="140" t="str">
        <x:v>By others / $0 Siteworks direct cost</x:v>
      </x:c>
      <x:c r="C8" s="141"/>
      <x:c r="D8" s="140"/>
      <x:c r="E8" s="168" t="n">
        <x:f t="shared" si="4">K7</x:f>
        <x:v>-172218.72660152015</x:v>
      </x:c>
      <x:c r="F8" s="168" t="n">
        <x:f>'Tender Build-Up'!$B$47*C8</x:f>
        <x:v>0</x:v>
      </x:c>
      <x:c r="G8" s="168" t="n">
        <x:f>IF(AND(D8="Yes",'Commercial Inputs'!$F$26="Yes"),F8*'Commercial Inputs'!$D$26,0)</x:f>
        <x:v>0</x:v>
      </x:c>
      <x:c r="H8" s="168" t="n">
        <x:f t="shared" si="0">F8-G8</x:f>
        <x:v>0</x:v>
      </x:c>
      <x:c r="I8" s="168" t="n">
        <x:f>SUM(Summary!$B$26:$B$27)</x:f>
        <x:v>0</x:v>
      </x:c>
      <x:c r="J8" s="168" t="n">
        <x:f t="shared" si="1">H8-I8</x:f>
        <x:v>0</x:v>
      </x:c>
      <x:c r="K8" s="168" t="n">
        <x:f t="shared" si="2">E8+J8</x:f>
        <x:v>-172218.72660152015</x:v>
      </x:c>
      <x:c r="L8" s="168" t="n">
        <x:f t="shared" si="5">L7+H8</x:f>
        <x:v>0</x:v>
      </x:c>
      <x:c r="M8" s="168" t="n">
        <x:f t="shared" si="6">M7+G8</x:f>
        <x:v>0</x:v>
      </x:c>
      <x:c r="N8" s="168" t="n">
        <x:f>IF('Commercial Inputs'!$F$25="Yes",H8*'Commercial Inputs'!$D$25,0)</x:f>
        <x:v>0</x:v>
      </x:c>
      <x:c r="O8" s="168" t="n">
        <x:f t="shared" si="3">H8+N8</x:f>
        <x:v>0</x:v>
      </x:c>
      <x:c r="P8" s="166" t="str">
        <x:v>General drainage by others; no Siteworks revenue stage assumed here.</x:v>
      </x:c>
    </x:row>
    <x:row r="9" s="3" customFormat="1" ht="23.549999237060547" customHeight="1">
      <x:c r="A9" s="106" t="s">
        <x:v>245</x:v>
      </x:c>
      <x:c r="B9" s="140" t="str">
        <x:v>Approx WD20-55 / staged pavement &amp; external siteworks</x:v>
      </x:c>
      <x:c r="C9" s="141"/>
      <x:c r="D9" s="140"/>
      <x:c r="E9" s="168" t="n">
        <x:f t="shared" si="4">K8</x:f>
        <x:v>-172218.72660152015</x:v>
      </x:c>
      <x:c r="F9" s="168" t="n">
        <x:f>'Tender Build-Up'!$B$47*C9</x:f>
        <x:v>0</x:v>
      </x:c>
      <x:c r="G9" s="168" t="n">
        <x:f>IF(AND(D9="Yes",'Commercial Inputs'!$F$26="Yes"),F9*'Commercial Inputs'!$D$26,0)</x:f>
        <x:v>0</x:v>
      </x:c>
      <x:c r="H9" s="168" t="n">
        <x:f t="shared" si="0">F9-G9</x:f>
        <x:v>0</x:v>
      </x:c>
      <x:c r="I9" s="168" t="n">
        <x:f>SUM(Summary!$B$28:$B$29)</x:f>
        <x:v>184034.3133332756</x:v>
      </x:c>
      <x:c r="J9" s="168" t="n">
        <x:f t="shared" si="1">H9-I9</x:f>
        <x:v>-184034.3133332756</x:v>
      </x:c>
      <x:c r="K9" s="168" t="n">
        <x:f t="shared" si="2">E9+J9</x:f>
        <x:v>-356253.03993479576</x:v>
      </x:c>
      <x:c r="L9" s="168" t="n">
        <x:f t="shared" si="5">L8+H9</x:f>
        <x:v>0</x:v>
      </x:c>
      <x:c r="M9" s="168" t="n">
        <x:f t="shared" si="6">M8+G9</x:f>
        <x:v>0</x:v>
      </x:c>
      <x:c r="N9" s="168" t="n">
        <x:f>IF('Commercial Inputs'!$F$25="Yes",H9*'Commercial Inputs'!$D$25,0)</x:f>
        <x:v>0</x:v>
      </x:c>
      <x:c r="O9" s="168" t="n">
        <x:f t="shared" si="3">H9+N9</x:f>
        <x:v>0</x:v>
      </x:c>
      <x:c r="P9" s="166" t="str">
        <x:v>Pavement/external-sitework cost timing control; revenue percentage pending contract schedule.</x:v>
      </x:c>
    </x:row>
    <x:row r="10" s="3" customFormat="1" ht="23.549999237060547" customHeight="1">
      <x:c r="A10" s="106" t="s">
        <x:v>246</x:v>
      </x:c>
      <x:c r="B10" s="140" t="str">
        <x:v>Approx WD12-32</x:v>
      </x:c>
      <x:c r="C10" s="141"/>
      <x:c r="D10" s="140"/>
      <x:c r="E10" s="168" t="n">
        <x:f t="shared" si="4">K9</x:f>
        <x:v>-356253.03993479576</x:v>
      </x:c>
      <x:c r="F10" s="168" t="n">
        <x:f>'Tender Build-Up'!$B$47*C10</x:f>
        <x:v>0</x:v>
      </x:c>
      <x:c r="G10" s="168" t="n">
        <x:f>IF(AND(D10="Yes",'Commercial Inputs'!$F$26="Yes"),F10*'Commercial Inputs'!$D$26,0)</x:f>
        <x:v>0</x:v>
      </x:c>
      <x:c r="H10" s="168" t="n">
        <x:f t="shared" si="0">F10-G10</x:f>
        <x:v>0</x:v>
      </x:c>
      <x:c r="I10" s="168" t="n">
        <x:f>Summary!$B$30</x:f>
        <x:v>71668.83595875</x:v>
      </x:c>
      <x:c r="J10" s="168" t="n">
        <x:f t="shared" si="1">H10-I10</x:f>
        <x:v>-71668.83595875</x:v>
      </x:c>
      <x:c r="K10" s="168" t="n">
        <x:f t="shared" si="2">E10+J10</x:f>
        <x:v>-427921.87589354574</x:v>
      </x:c>
      <x:c r="L10" s="168" t="n">
        <x:f t="shared" si="5">L9+H10</x:f>
        <x:v>0</x:v>
      </x:c>
      <x:c r="M10" s="168" t="n">
        <x:f t="shared" si="6">M9+G10</x:f>
        <x:v>0</x:v>
      </x:c>
      <x:c r="N10" s="168" t="n">
        <x:f>IF('Commercial Inputs'!$F$25="Yes",H10*'Commercial Inputs'!$D$25,0)</x:f>
        <x:v>0</x:v>
      </x:c>
      <x:c r="O10" s="168" t="n">
        <x:f t="shared" si="3">H10+N10</x:f>
        <x:v>0</x:v>
      </x:c>
      <x:c r="P10" s="166" t="str">
        <x:v>Retaining workfront timing control; actual sequence depends on fill, stormwater clearance and supplier methodology.</x:v>
      </x:c>
    </x:row>
    <x:row r="11" s="3" customFormat="1" ht="23.549999237060547" customHeight="1">
      <x:c r="A11" s="106" t="s">
        <x:v>247</x:v>
      </x:c>
      <x:c r="B11" s="140" t="str">
        <x:v>Approx WD30-55 / throughout and at handover</x:v>
      </x:c>
      <x:c r="C11" s="141"/>
      <x:c r="D11" s="140"/>
      <x:c r="E11" s="168" t="n">
        <x:f t="shared" si="4">K10</x:f>
        <x:v>-427921.87589354574</x:v>
      </x:c>
      <x:c r="F11" s="168" t="n">
        <x:f>'Tender Build-Up'!$B$47*C11</x:f>
        <x:v>0</x:v>
      </x:c>
      <x:c r="G11" s="168" t="n">
        <x:f>IF(AND(D11="Yes",'Commercial Inputs'!$F$26="Yes"),F11*'Commercial Inputs'!$D$26,0)</x:f>
        <x:v>0</x:v>
      </x:c>
      <x:c r="H11" s="168" t="n">
        <x:f t="shared" si="0">F11-G11</x:f>
        <x:v>0</x:v>
      </x:c>
      <x:c r="I11" s="168" t="n">
        <x:f>SUM(Summary!$B$31:$B$32)</x:f>
        <x:v>7600</x:v>
      </x:c>
      <x:c r="J11" s="168" t="n">
        <x:f t="shared" si="1">H11-I11</x:f>
        <x:v>-7600</x:v>
      </x:c>
      <x:c r="K11" s="168" t="n">
        <x:f t="shared" si="2">E11+J11</x:f>
        <x:v>-435521.87589354574</x:v>
      </x:c>
      <x:c r="L11" s="168" t="n">
        <x:f t="shared" si="5">L10+H11</x:f>
        <x:v>0</x:v>
      </x:c>
      <x:c r="M11" s="168" t="n">
        <x:f t="shared" si="6">M10+G11</x:f>
        <x:v>0</x:v>
      </x:c>
      <x:c r="N11" s="168" t="n">
        <x:f>IF('Commercial Inputs'!$F$25="Yes",H11*'Commercial Inputs'!$D$25,0)</x:f>
        <x:v>0</x:v>
      </x:c>
      <x:c r="O11" s="168" t="n">
        <x:f t="shared" si="3">H11+N11</x:f>
        <x:v>0</x:v>
      </x:c>
      <x:c r="P11" s="166" t="str">
        <x:v>Testing/closeout costs occur across work and at completion; revenue percentage pending contract schedule.</x:v>
      </x:c>
    </x:row>
    <x:row r="12" s="3" customFormat="1" ht="23.549999237060547" customHeight="1">
      <x:c r="A12" s="106" t="str">
        <x:v>Included pre-margin provisions / Management Reserve</x:v>
      </x:c>
      <x:c r="B12" s="106" t="str">
        <x:v>Weather/dewatering as incurred; CA16 Management Reserve held commercially / unallocated</x:v>
      </x:c>
      <x:c r="C12" s="592" t="n">
        <x:v>0</x:v>
      </x:c>
      <x:c r="D12" s="106" t="str">
        <x:v>No</x:v>
      </x:c>
      <x:c r="E12" s="594" t="n">
        <x:f>K11</x:f>
        <x:v>-435521.87589354574</x:v>
      </x:c>
      <x:c r="F12" s="594" t="n">
        <x:v>0</x:v>
      </x:c>
      <x:c r="G12" s="594" t="n">
        <x:v>0</x:v>
      </x:c>
      <x:c r="H12" s="594" t="n">
        <x:v>0</x:v>
      </x:c>
      <x:c r="I12" s="594" t="n">
        <x:f>'Tender Build-Up'!$B$39</x:f>
        <x:v>39473.7514918168</x:v>
      </x:c>
      <x:c r="J12" s="594" t="n">
        <x:f>H12-I12</x:f>
        <x:v>-39473.7514918168</x:v>
      </x:c>
      <x:c r="K12" s="594" t="n">
        <x:f>E12+J12</x:f>
        <x:v>-474995.6273853625</x:v>
      </x:c>
      <x:c r="L12" s="594" t="n">
        <x:f>L11+H12</x:f>
        <x:v>0</x:v>
      </x:c>
      <x:c r="M12" s="594" t="n">
        <x:f>M11+G12</x:f>
        <x:v>0</x:v>
      </x:c>
      <x:c r="N12" s="594" t="n">
        <x:f>0</x:f>
        <x:v>0</x:v>
      </x:c>
      <x:c r="O12" s="594" t="n">
        <x:f>H12+N12</x:f>
        <x:v>0</x:v>
      </x:c>
      <x:c r="P12" s="166" t="str">
        <x:v>Dewatering and Rev29 weather allowance shown as pre-margin provisions only; weather basis is current for the 01-Oct-2026 / 55WD tender scenario and reruns on the stated triggers.</x:v>
      </x:c>
    </x:row>
    <x:row r="13" s="3" customFormat="1" ht="23.549999237060547" customHeight="1">
      <x:c r="A13" s="146" t="s">
        <x:v>248</x:v>
      </x:c>
      <x:c r="B13" s="146" t="str">
        <x:v>Post-completion - contract terms not supplied</x:v>
      </x:c>
      <x:c r="C13" s="170"/>
      <x:c r="D13" s="146" t="s">
        <x:v>159</x:v>
      </x:c>
      <x:c r="E13" s="168" t="n">
        <x:f>K12</x:f>
        <x:v>-474995.6273853625</x:v>
      </x:c>
      <x:c r="F13" s="168" t="n">
        <x:f>SUM(G5:G11)</x:f>
        <x:v>0</x:v>
      </x:c>
      <x:c r="G13" s="168" t="n">
        <x:f>0</x:f>
        <x:v>0</x:v>
      </x:c>
      <x:c r="H13" s="168" t="n">
        <x:f>F13</x:f>
        <x:v>0</x:v>
      </x:c>
      <x:c r="I13" s="168" t="n">
        <x:f>0</x:f>
        <x:v>0</x:v>
      </x:c>
      <x:c r="J13" s="168" t="n">
        <x:f>H13</x:f>
        <x:v>0</x:v>
      </x:c>
      <x:c r="K13" s="168" t="n">
        <x:f>E13+J13</x:f>
        <x:v>-474995.6273853625</x:v>
      </x:c>
      <x:c r="L13" s="168" t="n">
        <x:f>L12+H13</x:f>
        <x:v>0</x:v>
      </x:c>
      <x:c r="M13" s="168" t="n">
        <x:f>0</x:f>
        <x:v>0</x:v>
      </x:c>
      <x:c r="N13" s="168" t="n">
        <x:f>IF('Commercial Inputs'!$F$25="Yes",H13*'Commercial Inputs'!$D$25,0)</x:f>
        <x:v>0</x:v>
      </x:c>
      <x:c r="O13" s="168" t="n">
        <x:f>H13+N13</x:f>
        <x:v>0</x:v>
      </x:c>
      <x:c r="P13" s="166" t="str">
        <x:v>Retention terms/holding period are not assumed; CA22/CA23 remain OFF/0.</x:v>
      </x:c>
    </x:row>
    <x:row r="14" ht="9.300000190734863" customHeight="1">
      <x:c r="A14" s="27"/>
      <x:c r="B14" s="27"/>
      <x:c r="C14" s="43"/>
      <x:c r="D14" s="27"/>
      <x:c r="E14" s="42"/>
      <x:c r="F14" s="42"/>
      <x:c r="G14" s="42"/>
      <x:c r="H14" s="42"/>
      <x:c r="I14" s="42"/>
      <x:c r="J14" s="42"/>
      <x:c r="K14" s="42"/>
      <x:c r="L14" s="42"/>
      <x:c r="M14" s="42"/>
      <x:c r="N14" s="42"/>
      <x:c r="O14" s="42"/>
      <x:c r="P14" s="27"/>
    </x:row>
    <x:row r="15" s="3" customFormat="1" ht="20.100000381469727" customHeight="1">
      <x:c r="A15" s="12" t="s">
        <x:v>249</x:v>
      </x:c>
      <x:c r="B15" s="12"/>
      <x:c r="C15" s="171"/>
      <x:c r="D15" s="12"/>
      <x:c r="E15" s="172"/>
      <x:c r="F15" s="172"/>
      <x:c r="G15" s="172"/>
      <x:c r="H15" s="172"/>
      <x:c r="I15" s="172"/>
      <x:c r="J15" s="172"/>
      <x:c r="K15" s="172"/>
      <x:c r="L15" s="231"/>
      <x:c r="M15" s="231"/>
      <x:c r="N15" s="231"/>
      <x:c r="O15" s="231"/>
      <x:c r="P15" s="231"/>
    </x:row>
    <x:row r="16" s="3" customFormat="1" ht="20.100000381469727" customHeight="1">
      <x:c r="A16" s="106" t="s">
        <x:v>250</x:v>
      </x:c>
      <x:c r="B16" s="106"/>
      <x:c r="C16" s="169" t="n">
        <x:f>SUM(C5:C11)</x:f>
        <x:v>0</x:v>
      </x:c>
      <x:c r="D16" s="106"/>
      <x:c r="E16" s="121"/>
      <x:c r="F16" s="121"/>
      <x:c r="G16" s="121"/>
      <x:c r="H16" s="121"/>
      <x:c r="I16" s="121"/>
      <x:c r="J16" s="121"/>
      <x:c r="K16" s="121"/>
      <x:c r="L16" s="121"/>
      <x:c r="M16" s="121"/>
      <x:c r="N16" s="121"/>
      <x:c r="O16" s="121"/>
      <x:c r="P16" s="106" t="str">
        <x:v>Stage revenue percentages remain 0 until head-contract payment schedule is supplied. The current tender includes the active Commercial Inputs CA17/CA18 settings, so revenue CHECK / FUNDING REQUIRED indicators remain setup warnings rather than estimate cost-chain errors.</x:v>
      </x:c>
    </x:row>
    <x:row r="17" s="3" customFormat="1" ht="20.100000381469727" customHeight="1">
      <x:c r="A17" s="106" t="s">
        <x:v>251</x:v>
      </x:c>
      <x:c r="B17" s="106"/>
      <x:c r="C17" s="106"/>
      <x:c r="D17" s="106"/>
      <x:c r="E17" s="121"/>
      <x:c r="F17" s="121" t="n">
        <x:f>SUM(F5:F11)</x:f>
        <x:v>0</x:v>
      </x:c>
      <x:c r="G17" s="121"/>
      <x:c r="H17" s="121"/>
      <x:c r="I17" s="121"/>
      <x:c r="J17" s="121"/>
      <x:c r="K17" s="121"/>
      <x:c r="L17" s="121"/>
      <x:c r="M17" s="121"/>
      <x:c r="N17" s="121"/>
      <x:c r="O17" s="121"/>
      <x:c r="P17" s="106" t="str">
        <x:f>IF(ABS(F17-'Tender Build-Up'!$B$47)&lt;0.01,"OK","CHECK")</x:f>
        <x:v>CHECK</x:v>
      </x:c>
    </x:row>
    <x:row r="18" s="3" customFormat="1" ht="20.100000381469727" customHeight="1">
      <x:c r="A18" s="106" t="str">
        <x:v>Base direct costs + pre-margin provisions allocated</x:v>
      </x:c>
      <x:c r="B18" s="106"/>
      <x:c r="C18" s="106"/>
      <x:c r="D18" s="106"/>
      <x:c r="E18" s="121"/>
      <x:c r="F18" s="121"/>
      <x:c r="G18" s="121"/>
      <x:c r="H18" s="121"/>
      <x:c r="I18" s="121" t="n">
        <x:f>SUM(I5:I12)</x:f>
        <x:v>474995.6273853625</x:v>
      </x:c>
      <x:c r="J18" s="121"/>
      <x:c r="K18" s="121"/>
      <x:c r="L18" s="121"/>
      <x:c r="M18" s="121"/>
      <x:c r="N18" s="121"/>
      <x:c r="O18" s="121"/>
      <x:c r="P18" s="106" t="str">
        <x:f>IF(ABS(I18-(Summary!$B$33+'Tender Build-Up'!$B$39))&lt;0.01,"OK","CHECK")</x:f>
        <x:v>OK</x:v>
      </x:c>
    </x:row>
    <x:row r="19" s="3" customFormat="1" ht="20.100000381469727" customHeight="1">
      <x:c r="A19" s="106" t="s">
        <x:v>252</x:v>
      </x:c>
      <x:c r="B19" s="106"/>
      <x:c r="C19" s="106"/>
      <x:c r="D19" s="106"/>
      <x:c r="E19" s="121"/>
      <x:c r="F19" s="121"/>
      <x:c r="G19" s="121"/>
      <x:c r="H19" s="121"/>
      <x:c r="I19" s="121"/>
      <x:c r="J19" s="121"/>
      <x:c r="K19" s="121"/>
      <x:c r="L19" s="121" t="n">
        <x:f>L13</x:f>
        <x:v>0</x:v>
      </x:c>
      <x:c r="M19" s="121"/>
      <x:c r="N19" s="121"/>
      <x:c r="O19" s="121"/>
      <x:c r="P19" s="106" t="str">
        <x:f>IF(ABS(L19-'Tender Build-Up'!$B$47)&lt;0.01,"OK","CHECK")</x:f>
        <x:v>CHECK</x:v>
      </x:c>
    </x:row>
    <x:row r="20" s="3" customFormat="1" ht="20.100000381469727" customHeight="1">
      <x:c r="A20" s="106" t="str">
        <x:v>Final cash equals commercial adjustments after cost provisions</x:v>
      </x:c>
      <x:c r="B20" s="106"/>
      <x:c r="C20" s="106"/>
      <x:c r="D20" s="106"/>
      <x:c r="E20" s="121"/>
      <x:c r="F20" s="121"/>
      <x:c r="G20" s="121"/>
      <x:c r="H20" s="121"/>
      <x:c r="I20" s="121"/>
      <x:c r="J20" s="121"/>
      <x:c r="K20" s="121" t="n">
        <x:f>K13</x:f>
        <x:v>-474995.6273853625</x:v>
      </x:c>
      <x:c r="L20" s="121"/>
      <x:c r="M20" s="121"/>
      <x:c r="N20" s="121"/>
      <x:c r="O20" s="121"/>
      <x:c r="P20" s="166" t="str">
        <x:f>IF(ABS(K20-'Tender Build-Up'!$B$46)&lt;0.01,"OK","CHECK")</x:f>
        <x:v>CHECK</x:v>
      </x:c>
    </x:row>
    <x:row r="21" s="3" customFormat="1" ht="20.100000381469727" customHeight="1">
      <x:c r="A21" s="106" t="s">
        <x:v>253</x:v>
      </x:c>
      <x:c r="B21" s="106"/>
      <x:c r="C21" s="106"/>
      <x:c r="D21" s="106"/>
      <x:c r="E21" s="121"/>
      <x:c r="F21" s="121"/>
      <x:c r="G21" s="121"/>
      <x:c r="H21" s="121"/>
      <x:c r="I21" s="121"/>
      <x:c r="J21" s="121"/>
      <x:c r="K21" s="121" t="n">
        <x:f>MIN(K5:K12)</x:f>
        <x:v>-474995.6273853625</x:v>
      </x:c>
      <x:c r="L21" s="121"/>
      <x:c r="M21" s="121"/>
      <x:c r="N21" s="121"/>
      <x:c r="O21" s="121"/>
      <x:c r="P21" s="166" t="str">
        <x:f>IF(K21&gt;=0,"POSITIVE","FUNDING REQUIRED")</x:f>
        <x:v>FUNDING REQUIRED</x:v>
      </x:c>
    </x:row>
  </x:sheetData>
  <x:mergeCells>
    <x:mergeCell ref="A2:L2"/>
    <x:mergeCell ref="A3:P3"/>
    <x:mergeCell ref="A1:P1"/>
    <x:mergeCell ref="L15:P15"/>
  </x:mergeCells>
  <x:dataValidations count="2">
    <x:dataValidation type="list" sqref="D5:D11">
      <x:formula1>"Yes,No"</x:formula1>
    </x:dataValidation>
    <x:dataValidation type="custom" allowBlank="1" showErrorMessage="1" errorTitle="Linked formula cell" error="This value is linked. Change the upstream input/source instead of overwriting this cell." sqref="B13 P16:P21 N13:O13 L19 K20:K21 J13:L13 I18 F17 E13:H13 E5:O11 C16">
      <x:formula1>FALSE</x:formula1>
    </x:dataValidation>
  </x:dataValidations>
  <x:pageMargins left="0.7" right="0.7" top="0.75" bottom="0.75" header="0.3" footer="0.3"/>
</x:worksheet>
</file>

<file path=xl/worksheets/sheet7.xml><?xml version="1.0" encoding="utf-8"?>
<x:worksheet xmlns:x="http://schemas.openxmlformats.org/spreadsheetml/2006/main">
  <x:sheetFormatPr defaultRowHeight="13.800000190734863"/>
  <x:cols>
    <x:col min="1" max="1" width="18" customWidth="1"/>
    <x:col min="2" max="2" width="14" customWidth="1"/>
    <x:col min="3" max="3" width="55.19921875" customWidth="1"/>
    <x:col min="4" max="4" width="14" customWidth="1"/>
    <x:col min="5" max="5" width="10" customWidth="1"/>
    <x:col min="6" max="6" width="24" customWidth="1"/>
    <x:col min="7" max="8" width="13" customWidth="1"/>
    <x:col min="9" max="9" width="14" customWidth="1"/>
    <x:col min="10" max="10" width="18" customWidth="1"/>
    <x:col min="11" max="11" width="13" customWidth="1"/>
    <x:col min="12" max="12" width="30.59765625" customWidth="1"/>
    <x:col min="13" max="13" width="49.796875" customWidth="1"/>
    <x:col min="14" max="14" width="44.296875" customWidth="1"/>
    <x:col min="15" max="15" width="18" customWidth="1"/>
    <x:col min="16" max="16" width="52.09765625" customWidth="1"/>
    <x:col min="17" max="17" width="46.296875" customWidth="1"/>
    <x:col min="18" max="18" width="12" customWidth="1"/>
    <x:col min="19" max="19" width="55.8984375" customWidth="1"/>
    <x:col min="20" max="20" width="75.59765625" customWidth="1"/>
  </x:cols>
  <x:sheetData>
    <x:row r="1" ht="27.299999237060547" customHeight="1">
      <x:c r="A1" s="230" t="str">
        <x:v>COMPANY RESOURCE RATE LIBRARY - MASTER ESTIMATE WORKBOOK REV4</x:v>
      </x:c>
      <x:c r="B1" s="230"/>
      <x:c r="C1" s="230"/>
      <x:c r="D1" s="230"/>
      <x:c r="E1" s="230"/>
      <x:c r="F1" s="230"/>
      <x:c r="G1" s="230"/>
      <x:c r="H1" s="230"/>
      <x:c r="I1" s="230"/>
      <x:c r="J1" s="230"/>
      <x:c r="K1" s="230"/>
      <x:c r="L1" s="230"/>
      <x:c r="M1" s="230"/>
      <x:c r="N1" s="230"/>
      <x:c r="O1" s="230"/>
      <x:c r="P1" s="230"/>
      <x:c r="Q1" s="230"/>
      <x:c r="R1" s="230"/>
      <x:c r="S1" s="230"/>
      <x:c r="T1" s="230"/>
    </x:row>
    <x:row r="2" s="3" customFormat="1" ht="16.350000381469727" customHeight="1">
      <x:c r="A2" s="232" t="str">
        <x:v>Reusable company / benchmark resource library. Retain useful history; update verified rates with source, effective date, region, GST basis, inclusions/exclusions and supersession reason.</x:v>
      </x:c>
      <x:c r="B2" s="232"/>
      <x:c r="C2" s="232"/>
      <x:c r="D2" s="232"/>
      <x:c r="E2" s="232"/>
      <x:c r="F2" s="232"/>
      <x:c r="G2" s="232"/>
      <x:c r="H2" s="232"/>
      <x:c r="I2" s="232"/>
      <x:c r="J2" s="232"/>
      <x:c r="K2" s="232"/>
      <x:c r="L2" s="232"/>
      <x:c r="M2" s="232"/>
      <x:c r="N2" s="232"/>
      <x:c r="O2" s="232"/>
      <x:c r="P2" s="232"/>
      <x:c r="Q2" s="232"/>
      <x:c r="R2" s="232"/>
      <x:c r="S2" s="232"/>
      <x:c r="T2" s="232"/>
    </x:row>
    <x:row r="3" s="3" customFormat="1" ht="16.350000381469727" customHeight="1">
      <x:c r="A3" s="233" t="str">
        <x:v>Enter verified actual company/supplier rates with source, date, region, GST basis, inclusions and exclusions. Mark replaced rates superseded/inactive rather than deleting useful history.</x:v>
      </x:c>
      <x:c r="B3" s="233"/>
      <x:c r="C3" s="233"/>
      <x:c r="D3" s="233"/>
      <x:c r="E3" s="233"/>
      <x:c r="F3" s="233"/>
      <x:c r="G3" s="233"/>
      <x:c r="H3" s="233"/>
      <x:c r="I3" s="233"/>
      <x:c r="J3" s="233"/>
      <x:c r="K3" s="233"/>
      <x:c r="L3" s="233"/>
      <x:c r="M3" s="233"/>
      <x:c r="N3" s="233"/>
      <x:c r="O3" s="233"/>
      <x:c r="P3" s="233"/>
      <x:c r="Q3" s="233"/>
      <x:c r="R3" s="233"/>
      <x:c r="S3" s="233"/>
      <x:c r="T3" s="233"/>
    </x:row>
    <x:row r="4" s="3" customFormat="1" ht="29.25" customHeight="1">
      <x:c r="A4" s="31" t="s">
        <x:v>254</x:v>
      </x:c>
      <x:c r="B4" s="31" t="s">
        <x:v>255</x:v>
      </x:c>
      <x:c r="C4" s="31" t="s">
        <x:v>256</x:v>
      </x:c>
      <x:c r="D4" s="31" t="s">
        <x:v>257</x:v>
      </x:c>
      <x:c r="E4" s="31" t="s">
        <x:v>214</x:v>
      </x:c>
      <x:c r="F4" s="31" t="s">
        <x:v>258</x:v>
      </x:c>
      <x:c r="G4" s="31" t="s">
        <x:v>259</x:v>
      </x:c>
      <x:c r="H4" s="31" t="s">
        <x:v>260</x:v>
      </x:c>
      <x:c r="I4" s="31" t="s">
        <x:v>261</x:v>
      </x:c>
      <x:c r="J4" s="31" t="s">
        <x:v>262</x:v>
      </x:c>
      <x:c r="K4" s="31" t="s">
        <x:v>263</x:v>
      </x:c>
      <x:c r="L4" s="31" t="s">
        <x:v>222</x:v>
      </x:c>
      <x:c r="M4" s="31" t="s">
        <x:v>264</x:v>
      </x:c>
      <x:c r="N4" s="31" t="s">
        <x:v>265</x:v>
      </x:c>
      <x:c r="O4" s="31" t="s">
        <x:v>266</x:v>
      </x:c>
      <x:c r="P4" s="31" t="s">
        <x:v>267</x:v>
      </x:c>
      <x:c r="Q4" s="31" t="s">
        <x:v>268</x:v>
      </x:c>
      <x:c r="R4" s="31" t="s">
        <x:v>269</x:v>
      </x:c>
      <x:c r="S4" s="31" t="s">
        <x:v>226</x:v>
      </x:c>
      <x:c r="T4" s="31" t="s">
        <x:v>16</x:v>
      </x:c>
    </x:row>
    <x:row r="5" ht="19.200000762939453" customHeight="1">
      <x:c r="A5" s="45" t="s">
        <x:v>270</x:v>
      </x:c>
      <x:c r="B5" s="46" t="s">
        <x:v>271</x:v>
      </x:c>
      <x:c r="C5" s="46" t="s">
        <x:v>272</x:v>
      </x:c>
      <x:c r="D5" s="46" t="s">
        <x:v>271</x:v>
      </x:c>
      <x:c r="E5" s="46" t="s">
        <x:v>273</x:v>
      </x:c>
      <x:c r="F5" s="46" t="s">
        <x:v>274</x:v>
      </x:c>
      <x:c r="G5" s="46" t="s">
        <x:v>275</x:v>
      </x:c>
      <x:c r="H5" s="46" t="s">
        <x:v>275</x:v>
      </x:c>
      <x:c r="I5" s="49">
        <x:v>64</x:v>
      </x:c>
      <x:c r="J5" s="50" t="s">
        <x:v>276</x:v>
      </x:c>
      <x:c r="K5" s="58" t="s">
        <x:v>277</x:v>
      </x:c>
      <x:c r="L5" s="50" t="s">
        <x:v>278</x:v>
      </x:c>
      <x:c r="M5" s="50" t="s">
        <x:v>279</x:v>
      </x:c>
      <x:c r="N5" s="50" t="s">
        <x:v>280</x:v>
      </x:c>
      <x:c r="O5" s="50"/>
      <x:c r="P5" s="50" t="s">
        <x:v>281</x:v>
      </x:c>
      <x:c r="Q5" s="50" t="s">
        <x:v>282</x:v>
      </x:c>
      <x:c r="R5" s="50" t="s">
        <x:v>283</x:v>
      </x:c>
      <x:c r="S5" s="50" t="s">
        <x:v>284</x:v>
      </x:c>
      <x:c r="T5" s="51" t="s">
        <x:v>285</x:v>
      </x:c>
    </x:row>
    <x:row r="6" ht="19.200000762939453" customHeight="1">
      <x:c r="A6" s="47" t="s">
        <x:v>286</x:v>
      </x:c>
      <x:c r="B6" s="48" t="s">
        <x:v>271</x:v>
      </x:c>
      <x:c r="C6" s="48" t="s">
        <x:v>287</x:v>
      </x:c>
      <x:c r="D6" s="48" t="s">
        <x:v>271</x:v>
      </x:c>
      <x:c r="E6" s="48" t="s">
        <x:v>273</x:v>
      </x:c>
      <x:c r="F6" s="48" t="s">
        <x:v>274</x:v>
      </x:c>
      <x:c r="G6" s="48" t="s">
        <x:v>275</x:v>
      </x:c>
      <x:c r="H6" s="48" t="s">
        <x:v>275</x:v>
      </x:c>
      <x:c r="I6" s="52">
        <x:v>73</x:v>
      </x:c>
      <x:c r="J6" s="53" t="s">
        <x:v>276</x:v>
      </x:c>
      <x:c r="K6" s="59" t="s">
        <x:v>277</x:v>
      </x:c>
      <x:c r="L6" s="53" t="s">
        <x:v>278</x:v>
      </x:c>
      <x:c r="M6" s="53" t="s">
        <x:v>279</x:v>
      </x:c>
      <x:c r="N6" s="53" t="s">
        <x:v>280</x:v>
      </x:c>
      <x:c r="O6" s="53"/>
      <x:c r="P6" s="53" t="s">
        <x:v>281</x:v>
      </x:c>
      <x:c r="Q6" s="53" t="s">
        <x:v>282</x:v>
      </x:c>
      <x:c r="R6" s="53" t="s">
        <x:v>283</x:v>
      </x:c>
      <x:c r="S6" s="53" t="s">
        <x:v>284</x:v>
      </x:c>
      <x:c r="T6" s="54" t="s">
        <x:v>285</x:v>
      </x:c>
    </x:row>
    <x:row r="7" ht="19.200000762939453" customHeight="1">
      <x:c r="A7" s="47" t="s">
        <x:v>288</x:v>
      </x:c>
      <x:c r="B7" s="48" t="s">
        <x:v>271</x:v>
      </x:c>
      <x:c r="C7" s="48" t="s">
        <x:v>289</x:v>
      </x:c>
      <x:c r="D7" s="48" t="s">
        <x:v>271</x:v>
      </x:c>
      <x:c r="E7" s="48" t="s">
        <x:v>273</x:v>
      </x:c>
      <x:c r="F7" s="48" t="s">
        <x:v>274</x:v>
      </x:c>
      <x:c r="G7" s="48" t="s">
        <x:v>275</x:v>
      </x:c>
      <x:c r="H7" s="48" t="s">
        <x:v>275</x:v>
      </x:c>
      <x:c r="I7" s="52">
        <x:v>45</x:v>
      </x:c>
      <x:c r="J7" s="53" t="s">
        <x:v>276</x:v>
      </x:c>
      <x:c r="K7" s="59" t="s">
        <x:v>277</x:v>
      </x:c>
      <x:c r="L7" s="53" t="s">
        <x:v>278</x:v>
      </x:c>
      <x:c r="M7" s="53" t="s">
        <x:v>290</x:v>
      </x:c>
      <x:c r="N7" s="53" t="s">
        <x:v>280</x:v>
      </x:c>
      <x:c r="O7" s="53"/>
      <x:c r="P7" s="53" t="s">
        <x:v>281</x:v>
      </x:c>
      <x:c r="Q7" s="53" t="s">
        <x:v>291</x:v>
      </x:c>
      <x:c r="R7" s="53" t="s">
        <x:v>283</x:v>
      </x:c>
      <x:c r="S7" s="53" t="s">
        <x:v>284</x:v>
      </x:c>
      <x:c r="T7" s="54"/>
    </x:row>
    <x:row r="8" ht="19.200000762939453" customHeight="1">
      <x:c r="A8" s="47" t="s">
        <x:v>292</x:v>
      </x:c>
      <x:c r="B8" s="48" t="s">
        <x:v>271</x:v>
      </x:c>
      <x:c r="C8" s="48" t="s">
        <x:v>293</x:v>
      </x:c>
      <x:c r="D8" s="48" t="s">
        <x:v>271</x:v>
      </x:c>
      <x:c r="E8" s="48" t="s">
        <x:v>273</x:v>
      </x:c>
      <x:c r="F8" s="48" t="s">
        <x:v>274</x:v>
      </x:c>
      <x:c r="G8" s="48" t="s">
        <x:v>275</x:v>
      </x:c>
      <x:c r="H8" s="48" t="s">
        <x:v>275</x:v>
      </x:c>
      <x:c r="I8" s="52">
        <x:v>51</x:v>
      </x:c>
      <x:c r="J8" s="53" t="s">
        <x:v>276</x:v>
      </x:c>
      <x:c r="K8" s="59" t="s">
        <x:v>277</x:v>
      </x:c>
      <x:c r="L8" s="53" t="s">
        <x:v>278</x:v>
      </x:c>
      <x:c r="M8" s="53" t="s">
        <x:v>290</x:v>
      </x:c>
      <x:c r="N8" s="53" t="s">
        <x:v>280</x:v>
      </x:c>
      <x:c r="O8" s="53"/>
      <x:c r="P8" s="53" t="s">
        <x:v>281</x:v>
      </x:c>
      <x:c r="Q8" s="53" t="s">
        <x:v>294</x:v>
      </x:c>
      <x:c r="R8" s="53" t="s">
        <x:v>283</x:v>
      </x:c>
      <x:c r="S8" s="53" t="s">
        <x:v>284</x:v>
      </x:c>
      <x:c r="T8" s="54"/>
    </x:row>
    <x:row r="9" ht="19.200000762939453" customHeight="1">
      <x:c r="A9" s="47" t="s">
        <x:v>295</x:v>
      </x:c>
      <x:c r="B9" s="48" t="s">
        <x:v>271</x:v>
      </x:c>
      <x:c r="C9" s="48" t="s">
        <x:v>296</x:v>
      </x:c>
      <x:c r="D9" s="48" t="s">
        <x:v>271</x:v>
      </x:c>
      <x:c r="E9" s="48" t="s">
        <x:v>273</x:v>
      </x:c>
      <x:c r="F9" s="48" t="s">
        <x:v>274</x:v>
      </x:c>
      <x:c r="G9" s="48" t="s">
        <x:v>275</x:v>
      </x:c>
      <x:c r="H9" s="48" t="s">
        <x:v>275</x:v>
      </x:c>
      <x:c r="I9" s="52">
        <x:v>38</x:v>
      </x:c>
      <x:c r="J9" s="53" t="s">
        <x:v>276</x:v>
      </x:c>
      <x:c r="K9" s="59" t="s">
        <x:v>277</x:v>
      </x:c>
      <x:c r="L9" s="53" t="s">
        <x:v>278</x:v>
      </x:c>
      <x:c r="M9" s="53" t="s">
        <x:v>290</x:v>
      </x:c>
      <x:c r="N9" s="53" t="s">
        <x:v>280</x:v>
      </x:c>
      <x:c r="O9" s="53"/>
      <x:c r="P9" s="53" t="s">
        <x:v>281</x:v>
      </x:c>
      <x:c r="Q9" s="53" t="s">
        <x:v>297</x:v>
      </x:c>
      <x:c r="R9" s="53" t="s">
        <x:v>283</x:v>
      </x:c>
      <x:c r="S9" s="53" t="s">
        <x:v>284</x:v>
      </x:c>
      <x:c r="T9" s="54"/>
    </x:row>
    <x:row r="10" ht="19.200000762939453" customHeight="1">
      <x:c r="A10" s="47" t="s">
        <x:v>298</x:v>
      </x:c>
      <x:c r="B10" s="48" t="s">
        <x:v>271</x:v>
      </x:c>
      <x:c r="C10" s="48" t="s">
        <x:v>299</x:v>
      </x:c>
      <x:c r="D10" s="48" t="s">
        <x:v>271</x:v>
      </x:c>
      <x:c r="E10" s="48" t="s">
        <x:v>273</x:v>
      </x:c>
      <x:c r="F10" s="48" t="s">
        <x:v>274</x:v>
      </x:c>
      <x:c r="G10" s="48" t="s">
        <x:v>275</x:v>
      </x:c>
      <x:c r="H10" s="48" t="s">
        <x:v>275</x:v>
      </x:c>
      <x:c r="I10" s="52">
        <x:v>44</x:v>
      </x:c>
      <x:c r="J10" s="53" t="s">
        <x:v>276</x:v>
      </x:c>
      <x:c r="K10" s="59" t="s">
        <x:v>277</x:v>
      </x:c>
      <x:c r="L10" s="53" t="s">
        <x:v>278</x:v>
      </x:c>
      <x:c r="M10" s="53" t="s">
        <x:v>290</x:v>
      </x:c>
      <x:c r="N10" s="53" t="s">
        <x:v>280</x:v>
      </x:c>
      <x:c r="O10" s="53"/>
      <x:c r="P10" s="53" t="s">
        <x:v>281</x:v>
      </x:c>
      <x:c r="Q10" s="53" t="s">
        <x:v>300</x:v>
      </x:c>
      <x:c r="R10" s="53" t="s">
        <x:v>283</x:v>
      </x:c>
      <x:c r="S10" s="53" t="s">
        <x:v>284</x:v>
      </x:c>
      <x:c r="T10" s="54"/>
    </x:row>
    <x:row r="11" ht="19.200000762939453" customHeight="1">
      <x:c r="A11" s="47" t="s">
        <x:v>301</x:v>
      </x:c>
      <x:c r="B11" s="48" t="s">
        <x:v>302</x:v>
      </x:c>
      <x:c r="C11" s="48" t="s">
        <x:v>303</x:v>
      </x:c>
      <x:c r="D11" s="48" t="s">
        <x:v>302</x:v>
      </x:c>
      <x:c r="E11" s="48" t="s">
        <x:v>273</x:v>
      </x:c>
      <x:c r="F11" s="48" t="s">
        <x:v>304</x:v>
      </x:c>
      <x:c r="G11" s="48" t="s">
        <x:v>305</x:v>
      </x:c>
      <x:c r="H11" s="48" t="s">
        <x:v>305</x:v>
      </x:c>
      <x:c r="I11" s="52">
        <x:v>85</x:v>
      </x:c>
      <x:c r="J11" s="53" t="s">
        <x:v>306</x:v>
      </x:c>
      <x:c r="K11" s="59" t="s">
        <x:v>277</x:v>
      </x:c>
      <x:c r="L11" s="53" t="s">
        <x:v>307</x:v>
      </x:c>
      <x:c r="M11" s="53" t="s">
        <x:v>308</x:v>
      </x:c>
      <x:c r="N11" s="53" t="s">
        <x:v>309</x:v>
      </x:c>
      <x:c r="O11" s="53" t="s">
        <x:v>310</x:v>
      </x:c>
      <x:c r="P11" s="53" t="s">
        <x:v>311</x:v>
      </x:c>
      <x:c r="Q11" s="53" t="s">
        <x:v>312</x:v>
      </x:c>
      <x:c r="R11" s="53" t="s">
        <x:v>313</x:v>
      </x:c>
      <x:c r="S11" s="53" t="s">
        <x:v>314</x:v>
      </x:c>
      <x:c r="T11" s="54" t="s">
        <x:v>315</x:v>
      </x:c>
    </x:row>
    <x:row r="12" ht="19.200000762939453" customHeight="1">
      <x:c r="A12" s="47" t="s">
        <x:v>316</x:v>
      </x:c>
      <x:c r="B12" s="48" t="s">
        <x:v>302</x:v>
      </x:c>
      <x:c r="C12" s="48" t="s">
        <x:v>317</x:v>
      </x:c>
      <x:c r="D12" s="48" t="s">
        <x:v>302</x:v>
      </x:c>
      <x:c r="E12" s="48" t="s">
        <x:v>273</x:v>
      </x:c>
      <x:c r="F12" s="48" t="s">
        <x:v>304</x:v>
      </x:c>
      <x:c r="G12" s="48" t="s">
        <x:v>305</x:v>
      </x:c>
      <x:c r="H12" s="48" t="s">
        <x:v>305</x:v>
      </x:c>
      <x:c r="I12" s="52">
        <x:v>110</x:v>
      </x:c>
      <x:c r="J12" s="53" t="s">
        <x:v>306</x:v>
      </x:c>
      <x:c r="K12" s="59" t="s">
        <x:v>277</x:v>
      </x:c>
      <x:c r="L12" s="53" t="s">
        <x:v>307</x:v>
      </x:c>
      <x:c r="M12" s="53" t="s">
        <x:v>308</x:v>
      </x:c>
      <x:c r="N12" s="53" t="s">
        <x:v>309</x:v>
      </x:c>
      <x:c r="O12" s="53" t="s">
        <x:v>310</x:v>
      </x:c>
      <x:c r="P12" s="53" t="s">
        <x:v>311</x:v>
      </x:c>
      <x:c r="Q12" s="53" t="s">
        <x:v>312</x:v>
      </x:c>
      <x:c r="R12" s="53" t="s">
        <x:v>313</x:v>
      </x:c>
      <x:c r="S12" s="53" t="s">
        <x:v>314</x:v>
      </x:c>
      <x:c r="T12" s="54" t="s">
        <x:v>318</x:v>
      </x:c>
    </x:row>
    <x:row r="13" ht="19.200000762939453" customHeight="1">
      <x:c r="A13" s="47" t="s">
        <x:v>319</x:v>
      </x:c>
      <x:c r="B13" s="48" t="s">
        <x:v>302</x:v>
      </x:c>
      <x:c r="C13" s="48" t="s">
        <x:v>320</x:v>
      </x:c>
      <x:c r="D13" s="48" t="s">
        <x:v>302</x:v>
      </x:c>
      <x:c r="E13" s="48" t="s">
        <x:v>273</x:v>
      </x:c>
      <x:c r="F13" s="48" t="s">
        <x:v>304</x:v>
      </x:c>
      <x:c r="G13" s="48" t="s">
        <x:v>305</x:v>
      </x:c>
      <x:c r="H13" s="48" t="s">
        <x:v>305</x:v>
      </x:c>
      <x:c r="I13" s="52">
        <x:v>150</x:v>
      </x:c>
      <x:c r="J13" s="53" t="s">
        <x:v>306</x:v>
      </x:c>
      <x:c r="K13" s="59" t="s">
        <x:v>277</x:v>
      </x:c>
      <x:c r="L13" s="53" t="s">
        <x:v>307</x:v>
      </x:c>
      <x:c r="M13" s="53" t="s">
        <x:v>308</x:v>
      </x:c>
      <x:c r="N13" s="53" t="s">
        <x:v>309</x:v>
      </x:c>
      <x:c r="O13" s="53" t="s">
        <x:v>310</x:v>
      </x:c>
      <x:c r="P13" s="53" t="s">
        <x:v>311</x:v>
      </x:c>
      <x:c r="Q13" s="53" t="s">
        <x:v>312</x:v>
      </x:c>
      <x:c r="R13" s="53" t="s">
        <x:v>313</x:v>
      </x:c>
      <x:c r="S13" s="53" t="s">
        <x:v>314</x:v>
      </x:c>
      <x:c r="T13" s="54" t="s">
        <x:v>321</x:v>
      </x:c>
    </x:row>
    <x:row r="14" ht="19.200000762939453" customHeight="1">
      <x:c r="A14" s="47" t="s">
        <x:v>322</x:v>
      </x:c>
      <x:c r="B14" s="48" t="s">
        <x:v>302</x:v>
      </x:c>
      <x:c r="C14" s="48" t="s">
        <x:v>323</x:v>
      </x:c>
      <x:c r="D14" s="48" t="s">
        <x:v>302</x:v>
      </x:c>
      <x:c r="E14" s="48" t="s">
        <x:v>273</x:v>
      </x:c>
      <x:c r="F14" s="48" t="s">
        <x:v>324</x:v>
      </x:c>
      <x:c r="G14" s="48" t="s">
        <x:v>305</x:v>
      </x:c>
      <x:c r="H14" s="48" t="s">
        <x:v>305</x:v>
      </x:c>
      <x:c r="I14" s="52">
        <x:v>110</x:v>
      </x:c>
      <x:c r="J14" s="53" t="s">
        <x:v>306</x:v>
      </x:c>
      <x:c r="K14" s="59" t="s">
        <x:v>277</x:v>
      </x:c>
      <x:c r="L14" s="53" t="s">
        <x:v>325</x:v>
      </x:c>
      <x:c r="M14" s="53" t="s">
        <x:v>326</x:v>
      </x:c>
      <x:c r="N14" s="53" t="s">
        <x:v>327</x:v>
      </x:c>
      <x:c r="O14" s="53" t="s">
        <x:v>328</x:v>
      </x:c>
      <x:c r="P14" s="53" t="s">
        <x:v>329</x:v>
      </x:c>
      <x:c r="Q14" s="53" t="s">
        <x:v>330</x:v>
      </x:c>
      <x:c r="R14" s="53" t="s">
        <x:v>283</x:v>
      </x:c>
      <x:c r="S14" s="53" t="s">
        <x:v>331</x:v>
      </x:c>
      <x:c r="T14" s="54" t="s">
        <x:v>332</x:v>
      </x:c>
    </x:row>
    <x:row r="15" ht="19.200000762939453" customHeight="1">
      <x:c r="A15" s="47" t="s">
        <x:v>333</x:v>
      </x:c>
      <x:c r="B15" s="48" t="s">
        <x:v>302</x:v>
      </x:c>
      <x:c r="C15" s="48" t="s">
        <x:v>334</x:v>
      </x:c>
      <x:c r="D15" s="48" t="s">
        <x:v>302</x:v>
      </x:c>
      <x:c r="E15" s="48" t="s">
        <x:v>273</x:v>
      </x:c>
      <x:c r="F15" s="48" t="s">
        <x:v>335</x:v>
      </x:c>
      <x:c r="G15" s="48" t="s">
        <x:v>159</x:v>
      </x:c>
      <x:c r="H15" s="48" t="s">
        <x:v>159</x:v>
      </x:c>
      <x:c r="I15" s="52">
        <x:v>120</x:v>
      </x:c>
      <x:c r="J15" s="53" t="s">
        <x:v>306</x:v>
      </x:c>
      <x:c r="K15" s="59" t="s">
        <x:v>277</x:v>
      </x:c>
      <x:c r="L15" s="53" t="s">
        <x:v>336</x:v>
      </x:c>
      <x:c r="M15" s="53" t="s">
        <x:v>337</x:v>
      </x:c>
      <x:c r="N15" s="53" t="s">
        <x:v>338</x:v>
      </x:c>
      <x:c r="O15" s="53"/>
      <x:c r="P15" s="53" t="s">
        <x:v>339</x:v>
      </x:c>
      <x:c r="Q15" s="53" t="s">
        <x:v>340</x:v>
      </x:c>
      <x:c r="R15" s="53" t="s">
        <x:v>283</x:v>
      </x:c>
      <x:c r="S15" s="53" t="s">
        <x:v>341</x:v>
      </x:c>
      <x:c r="T15" s="54"/>
    </x:row>
    <x:row r="16" ht="19.200000762939453" customHeight="1">
      <x:c r="A16" s="47" t="s">
        <x:v>342</x:v>
      </x:c>
      <x:c r="B16" s="48" t="s">
        <x:v>343</x:v>
      </x:c>
      <x:c r="C16" s="48" t="s">
        <x:v>344</x:v>
      </x:c>
      <x:c r="D16" s="48" t="s">
        <x:v>343</x:v>
      </x:c>
      <x:c r="E16" s="48" t="s">
        <x:v>345</x:v>
      </x:c>
      <x:c r="F16" s="48" t="s">
        <x:v>346</x:v>
      </x:c>
      <x:c r="G16" s="48" t="s">
        <x:v>275</x:v>
      </x:c>
      <x:c r="H16" s="48" t="s">
        <x:v>275</x:v>
      </x:c>
      <x:c r="I16" s="52">
        <x:v>65</x:v>
      </x:c>
      <x:c r="J16" s="53" t="s">
        <x:v>306</x:v>
      </x:c>
      <x:c r="K16" s="59" t="s">
        <x:v>277</x:v>
      </x:c>
      <x:c r="L16" s="53" t="s">
        <x:v>347</x:v>
      </x:c>
      <x:c r="M16" s="53" t="s">
        <x:v>348</x:v>
      </x:c>
      <x:c r="N16" s="53" t="s">
        <x:v>349</x:v>
      </x:c>
      <x:c r="O16" s="53"/>
      <x:c r="P16" s="53" t="s">
        <x:v>350</x:v>
      </x:c>
      <x:c r="Q16" s="53" t="s">
        <x:v>351</x:v>
      </x:c>
      <x:c r="R16" s="53" t="s">
        <x:v>352</x:v>
      </x:c>
      <x:c r="S16" s="53" t="s">
        <x:v>353</x:v>
      </x:c>
      <x:c r="T16" s="54" t="s">
        <x:v>354</x:v>
      </x:c>
    </x:row>
    <x:row r="17" ht="19.200000762939453" customHeight="1">
      <x:c r="A17" s="47" t="s">
        <x:v>355</x:v>
      </x:c>
      <x:c r="B17" s="48" t="s">
        <x:v>343</x:v>
      </x:c>
      <x:c r="C17" s="48" t="s">
        <x:v>356</x:v>
      </x:c>
      <x:c r="D17" s="48" t="s">
        <x:v>343</x:v>
      </x:c>
      <x:c r="E17" s="48" t="s">
        <x:v>357</x:v>
      </x:c>
      <x:c r="F17" s="48" t="s">
        <x:v>346</x:v>
      </x:c>
      <x:c r="G17" s="48" t="s">
        <x:v>275</x:v>
      </x:c>
      <x:c r="H17" s="48" t="s">
        <x:v>275</x:v>
      </x:c>
      <x:c r="I17" s="52">
        <x:v>30.5</x:v>
      </x:c>
      <x:c r="J17" s="53" t="s">
        <x:v>306</x:v>
      </x:c>
      <x:c r="K17" s="59" t="s">
        <x:v>277</x:v>
      </x:c>
      <x:c r="L17" s="53" t="s">
        <x:v>278</x:v>
      </x:c>
      <x:c r="M17" s="53" t="s">
        <x:v>358</x:v>
      </x:c>
      <x:c r="N17" s="53" t="s">
        <x:v>349</x:v>
      </x:c>
      <x:c r="O17" s="53"/>
      <x:c r="P17" s="53" t="s">
        <x:v>359</x:v>
      </x:c>
      <x:c r="Q17" s="53" t="s">
        <x:v>360</x:v>
      </x:c>
      <x:c r="R17" s="53" t="s">
        <x:v>313</x:v>
      </x:c>
      <x:c r="S17" s="53" t="s">
        <x:v>353</x:v>
      </x:c>
      <x:c r="T17" s="54" t="s">
        <x:v>361</x:v>
      </x:c>
    </x:row>
    <x:row r="18" ht="19.200000762939453" customHeight="1">
      <x:c r="A18" s="47" t="s">
        <x:v>362</x:v>
      </x:c>
      <x:c r="B18" s="48" t="s">
        <x:v>343</x:v>
      </x:c>
      <x:c r="C18" s="48" t="s">
        <x:v>363</x:v>
      </x:c>
      <x:c r="D18" s="48" t="s">
        <x:v>343</x:v>
      </x:c>
      <x:c r="E18" s="48" t="s">
        <x:v>357</x:v>
      </x:c>
      <x:c r="F18" s="48" t="s">
        <x:v>346</x:v>
      </x:c>
      <x:c r="G18" s="48" t="s">
        <x:v>275</x:v>
      </x:c>
      <x:c r="H18" s="48" t="s">
        <x:v>275</x:v>
      </x:c>
      <x:c r="I18" s="52">
        <x:v>31</x:v>
      </x:c>
      <x:c r="J18" s="53" t="s">
        <x:v>306</x:v>
      </x:c>
      <x:c r="K18" s="59" t="s">
        <x:v>277</x:v>
      </x:c>
      <x:c r="L18" s="53" t="s">
        <x:v>278</x:v>
      </x:c>
      <x:c r="M18" s="53" t="s">
        <x:v>358</x:v>
      </x:c>
      <x:c r="N18" s="53" t="s">
        <x:v>349</x:v>
      </x:c>
      <x:c r="O18" s="53"/>
      <x:c r="P18" s="53" t="s">
        <x:v>359</x:v>
      </x:c>
      <x:c r="Q18" s="53" t="s">
        <x:v>360</x:v>
      </x:c>
      <x:c r="R18" s="53" t="s">
        <x:v>313</x:v>
      </x:c>
      <x:c r="S18" s="53" t="s">
        <x:v>353</x:v>
      </x:c>
      <x:c r="T18" s="54" t="s">
        <x:v>361</x:v>
      </x:c>
    </x:row>
    <x:row r="19" ht="19.200000762939453" customHeight="1">
      <x:c r="A19" s="47" t="s">
        <x:v>364</x:v>
      </x:c>
      <x:c r="B19" s="48" t="s">
        <x:v>343</x:v>
      </x:c>
      <x:c r="C19" s="48" t="s">
        <x:v>365</x:v>
      </x:c>
      <x:c r="D19" s="48" t="s">
        <x:v>343</x:v>
      </x:c>
      <x:c r="E19" s="48" t="s">
        <x:v>357</x:v>
      </x:c>
      <x:c r="F19" s="48" t="s">
        <x:v>346</x:v>
      </x:c>
      <x:c r="G19" s="48" t="s">
        <x:v>275</x:v>
      </x:c>
      <x:c r="H19" s="48" t="s">
        <x:v>275</x:v>
      </x:c>
      <x:c r="I19" s="52">
        <x:v>48.5</x:v>
      </x:c>
      <x:c r="J19" s="53" t="s">
        <x:v>306</x:v>
      </x:c>
      <x:c r="K19" s="59" t="s">
        <x:v>277</x:v>
      </x:c>
      <x:c r="L19" s="53" t="s">
        <x:v>278</x:v>
      </x:c>
      <x:c r="M19" s="53" t="s">
        <x:v>358</x:v>
      </x:c>
      <x:c r="N19" s="53" t="s">
        <x:v>366</x:v>
      </x:c>
      <x:c r="O19" s="53"/>
      <x:c r="P19" s="53" t="s">
        <x:v>367</x:v>
      </x:c>
      <x:c r="Q19" s="53" t="s">
        <x:v>360</x:v>
      </x:c>
      <x:c r="R19" s="53" t="s">
        <x:v>313</x:v>
      </x:c>
      <x:c r="S19" s="53" t="s">
        <x:v>353</x:v>
      </x:c>
      <x:c r="T19" s="54" t="s">
        <x:v>368</x:v>
      </x:c>
    </x:row>
    <x:row r="20" ht="19.200000762939453" customHeight="1">
      <x:c r="A20" s="47" t="s">
        <x:v>369</x:v>
      </x:c>
      <x:c r="B20" s="48" t="s">
        <x:v>343</x:v>
      </x:c>
      <x:c r="C20" s="48" t="s">
        <x:v>370</x:v>
      </x:c>
      <x:c r="D20" s="48" t="s">
        <x:v>343</x:v>
      </x:c>
      <x:c r="E20" s="48" t="s">
        <x:v>371</x:v>
      </x:c>
      <x:c r="F20" s="48" t="s">
        <x:v>346</x:v>
      </x:c>
      <x:c r="G20" s="48" t="s">
        <x:v>275</x:v>
      </x:c>
      <x:c r="H20" s="48" t="s">
        <x:v>275</x:v>
      </x:c>
      <x:c r="I20" s="52">
        <x:v>3.25</x:v>
      </x:c>
      <x:c r="J20" s="53" t="s">
        <x:v>306</x:v>
      </x:c>
      <x:c r="K20" s="59" t="s">
        <x:v>277</x:v>
      </x:c>
      <x:c r="L20" s="53" t="s">
        <x:v>278</x:v>
      </x:c>
      <x:c r="M20" s="53" t="s">
        <x:v>372</x:v>
      </x:c>
      <x:c r="N20" s="53" t="s">
        <x:v>373</x:v>
      </x:c>
      <x:c r="O20" s="53"/>
      <x:c r="P20" s="53" t="s">
        <x:v>374</x:v>
      </x:c>
      <x:c r="Q20" s="53" t="s">
        <x:v>375</x:v>
      </x:c>
      <x:c r="R20" s="53" t="s">
        <x:v>283</x:v>
      </x:c>
      <x:c r="S20" s="53" t="s">
        <x:v>341</x:v>
      </x:c>
      <x:c r="T20" s="54"/>
    </x:row>
    <x:row r="21" ht="19.200000762939453" customHeight="1">
      <x:c r="A21" s="47" t="s">
        <x:v>376</x:v>
      </x:c>
      <x:c r="B21" s="48" t="s">
        <x:v>343</x:v>
      </x:c>
      <x:c r="C21" s="48" t="s">
        <x:v>377</x:v>
      </x:c>
      <x:c r="D21" s="48" t="s">
        <x:v>343</x:v>
      </x:c>
      <x:c r="E21" s="48" t="s">
        <x:v>345</x:v>
      </x:c>
      <x:c r="F21" s="48" t="s">
        <x:v>378</x:v>
      </x:c>
      <x:c r="G21" s="48" t="s">
        <x:v>275</x:v>
      </x:c>
      <x:c r="H21" s="48" t="s">
        <x:v>275</x:v>
      </x:c>
      <x:c r="I21" s="52">
        <x:v>325</x:v>
      </x:c>
      <x:c r="J21" s="53" t="s">
        <x:v>306</x:v>
      </x:c>
      <x:c r="K21" s="59" t="s">
        <x:v>277</x:v>
      </x:c>
      <x:c r="L21" s="53" t="s">
        <x:v>278</x:v>
      </x:c>
      <x:c r="M21" s="53" t="s">
        <x:v>379</x:v>
      </x:c>
      <x:c r="N21" s="53" t="s">
        <x:v>373</x:v>
      </x:c>
      <x:c r="O21" s="53"/>
      <x:c r="P21" s="53" t="s">
        <x:v>380</x:v>
      </x:c>
      <x:c r="Q21" s="53" t="s">
        <x:v>381</x:v>
      </x:c>
      <x:c r="R21" s="53" t="s">
        <x:v>283</x:v>
      </x:c>
      <x:c r="S21" s="53" t="s">
        <x:v>341</x:v>
      </x:c>
      <x:c r="T21" s="54"/>
    </x:row>
    <x:row r="22" ht="19.200000762939453" customHeight="1">
      <x:c r="A22" s="47" t="s">
        <x:v>382</x:v>
      </x:c>
      <x:c r="B22" s="48" t="s">
        <x:v>343</x:v>
      </x:c>
      <x:c r="C22" s="48" t="s">
        <x:v>383</x:v>
      </x:c>
      <x:c r="D22" s="48" t="s">
        <x:v>343</x:v>
      </x:c>
      <x:c r="E22" s="48" t="s">
        <x:v>371</x:v>
      </x:c>
      <x:c r="F22" s="48" t="s">
        <x:v>346</x:v>
      </x:c>
      <x:c r="G22" s="48" t="s">
        <x:v>275</x:v>
      </x:c>
      <x:c r="H22" s="48" t="s">
        <x:v>275</x:v>
      </x:c>
      <x:c r="I22" s="52">
        <x:v>20</x:v>
      </x:c>
      <x:c r="J22" s="53" t="s">
        <x:v>306</x:v>
      </x:c>
      <x:c r="K22" s="59" t="s">
        <x:v>277</x:v>
      </x:c>
      <x:c r="L22" s="53" t="s">
        <x:v>278</x:v>
      </x:c>
      <x:c r="M22" s="53" t="s">
        <x:v>384</x:v>
      </x:c>
      <x:c r="N22" s="53" t="s">
        <x:v>373</x:v>
      </x:c>
      <x:c r="O22" s="53"/>
      <x:c r="P22" s="53" t="s">
        <x:v>385</x:v>
      </x:c>
      <x:c r="Q22" s="53" t="s">
        <x:v>386</x:v>
      </x:c>
      <x:c r="R22" s="53" t="s">
        <x:v>283</x:v>
      </x:c>
      <x:c r="S22" s="53" t="s">
        <x:v>341</x:v>
      </x:c>
      <x:c r="T22" s="54" t="str">
        <x:v>Confirm project-specific mesh grade and specification before order.</x:v>
      </x:c>
    </x:row>
    <x:row r="23" ht="19.200000762939453" customHeight="1">
      <x:c r="A23" s="47" t="s">
        <x:v>387</x:v>
      </x:c>
      <x:c r="B23" s="48" t="s">
        <x:v>343</x:v>
      </x:c>
      <x:c r="C23" s="48" t="s">
        <x:v>388</x:v>
      </x:c>
      <x:c r="D23" s="48" t="s">
        <x:v>343</x:v>
      </x:c>
      <x:c r="E23" s="48" t="s">
        <x:v>389</x:v>
      </x:c>
      <x:c r="F23" s="48" t="s">
        <x:v>346</x:v>
      </x:c>
      <x:c r="G23" s="48" t="s">
        <x:v>275</x:v>
      </x:c>
      <x:c r="H23" s="48" t="s">
        <x:v>275</x:v>
      </x:c>
      <x:c r="I23" s="52">
        <x:v>45</x:v>
      </x:c>
      <x:c r="J23" s="53" t="s">
        <x:v>306</x:v>
      </x:c>
      <x:c r="K23" s="59" t="s">
        <x:v>277</x:v>
      </x:c>
      <x:c r="L23" s="53" t="s">
        <x:v>347</x:v>
      </x:c>
      <x:c r="M23" s="53" t="s">
        <x:v>372</x:v>
      </x:c>
      <x:c r="N23" s="53" t="s">
        <x:v>390</x:v>
      </x:c>
      <x:c r="O23" s="53"/>
      <x:c r="P23" s="53" t="s">
        <x:v>391</x:v>
      </x:c>
      <x:c r="Q23" s="53" t="s">
        <x:v>392</x:v>
      </x:c>
      <x:c r="R23" s="53" t="s">
        <x:v>352</x:v>
      </x:c>
      <x:c r="S23" s="53" t="s">
        <x:v>341</x:v>
      </x:c>
      <x:c r="T23" s="54"/>
    </x:row>
    <x:row r="24" ht="19.200000762939453" customHeight="1">
      <x:c r="A24" s="47" t="s">
        <x:v>393</x:v>
      </x:c>
      <x:c r="B24" s="48" t="s">
        <x:v>343</x:v>
      </x:c>
      <x:c r="C24" s="48" t="s">
        <x:v>394</x:v>
      </x:c>
      <x:c r="D24" s="48" t="s">
        <x:v>343</x:v>
      </x:c>
      <x:c r="E24" s="48" t="s">
        <x:v>389</x:v>
      </x:c>
      <x:c r="F24" s="48" t="s">
        <x:v>346</x:v>
      </x:c>
      <x:c r="G24" s="48" t="s">
        <x:v>275</x:v>
      </x:c>
      <x:c r="H24" s="48" t="s">
        <x:v>275</x:v>
      </x:c>
      <x:c r="I24" s="52">
        <x:v>95</x:v>
      </x:c>
      <x:c r="J24" s="53" t="s">
        <x:v>306</x:v>
      </x:c>
      <x:c r="K24" s="59" t="s">
        <x:v>277</x:v>
      </x:c>
      <x:c r="L24" s="53" t="s">
        <x:v>347</x:v>
      </x:c>
      <x:c r="M24" s="53" t="s">
        <x:v>372</x:v>
      </x:c>
      <x:c r="N24" s="53" t="s">
        <x:v>390</x:v>
      </x:c>
      <x:c r="O24" s="53"/>
      <x:c r="P24" s="53" t="s">
        <x:v>391</x:v>
      </x:c>
      <x:c r="Q24" s="53" t="s">
        <x:v>392</x:v>
      </x:c>
      <x:c r="R24" s="53" t="s">
        <x:v>352</x:v>
      </x:c>
      <x:c r="S24" s="53" t="s">
        <x:v>341</x:v>
      </x:c>
      <x:c r="T24" s="54"/>
    </x:row>
    <x:row r="25" ht="19.200000762939453" customHeight="1">
      <x:c r="A25" s="47" t="s">
        <x:v>395</x:v>
      </x:c>
      <x:c r="B25" s="48" t="s">
        <x:v>343</x:v>
      </x:c>
      <x:c r="C25" s="48" t="s">
        <x:v>396</x:v>
      </x:c>
      <x:c r="D25" s="48" t="s">
        <x:v>343</x:v>
      </x:c>
      <x:c r="E25" s="48" t="s">
        <x:v>389</x:v>
      </x:c>
      <x:c r="F25" s="48" t="s">
        <x:v>346</x:v>
      </x:c>
      <x:c r="G25" s="48" t="s">
        <x:v>275</x:v>
      </x:c>
      <x:c r="H25" s="48" t="s">
        <x:v>275</x:v>
      </x:c>
      <x:c r="I25" s="52">
        <x:v>20</x:v>
      </x:c>
      <x:c r="J25" s="53" t="s">
        <x:v>306</x:v>
      </x:c>
      <x:c r="K25" s="59" t="s">
        <x:v>277</x:v>
      </x:c>
      <x:c r="L25" s="53" t="s">
        <x:v>347</x:v>
      </x:c>
      <x:c r="M25" s="53" t="s">
        <x:v>372</x:v>
      </x:c>
      <x:c r="N25" s="53" t="s">
        <x:v>390</x:v>
      </x:c>
      <x:c r="O25" s="53"/>
      <x:c r="P25" s="53" t="s">
        <x:v>397</x:v>
      </x:c>
      <x:c r="Q25" s="53" t="s">
        <x:v>398</x:v>
      </x:c>
      <x:c r="R25" s="53" t="s">
        <x:v>352</x:v>
      </x:c>
      <x:c r="S25" s="53" t="s">
        <x:v>341</x:v>
      </x:c>
      <x:c r="T25" s="54"/>
    </x:row>
    <x:row r="26" ht="19.200000762939453" customHeight="1">
      <x:c r="A26" s="47" t="s">
        <x:v>399</x:v>
      </x:c>
      <x:c r="B26" s="48" t="s">
        <x:v>343</x:v>
      </x:c>
      <x:c r="C26" s="48" t="s">
        <x:v>400</x:v>
      </x:c>
      <x:c r="D26" s="48" t="s">
        <x:v>343</x:v>
      </x:c>
      <x:c r="E26" s="48" t="s">
        <x:v>389</x:v>
      </x:c>
      <x:c r="F26" s="48" t="s">
        <x:v>346</x:v>
      </x:c>
      <x:c r="G26" s="48" t="s">
        <x:v>275</x:v>
      </x:c>
      <x:c r="H26" s="48" t="s">
        <x:v>275</x:v>
      </x:c>
      <x:c r="I26" s="52">
        <x:v>22</x:v>
      </x:c>
      <x:c r="J26" s="53" t="s">
        <x:v>306</x:v>
      </x:c>
      <x:c r="K26" s="59" t="s">
        <x:v>277</x:v>
      </x:c>
      <x:c r="L26" s="53" t="s">
        <x:v>347</x:v>
      </x:c>
      <x:c r="M26" s="53" t="s">
        <x:v>372</x:v>
      </x:c>
      <x:c r="N26" s="53" t="s">
        <x:v>390</x:v>
      </x:c>
      <x:c r="O26" s="53"/>
      <x:c r="P26" s="53" t="s">
        <x:v>401</x:v>
      </x:c>
      <x:c r="Q26" s="53" t="s">
        <x:v>402</x:v>
      </x:c>
      <x:c r="R26" s="53" t="s">
        <x:v>352</x:v>
      </x:c>
      <x:c r="S26" s="53" t="s">
        <x:v>341</x:v>
      </x:c>
      <x:c r="T26" s="54"/>
    </x:row>
    <x:row r="27" ht="19.200000762939453" customHeight="1">
      <x:c r="A27" s="47" t="s">
        <x:v>403</x:v>
      </x:c>
      <x:c r="B27" s="48" t="s">
        <x:v>343</x:v>
      </x:c>
      <x:c r="C27" s="48" t="s">
        <x:v>404</x:v>
      </x:c>
      <x:c r="D27" s="48" t="s">
        <x:v>343</x:v>
      </x:c>
      <x:c r="E27" s="48" t="s">
        <x:v>405</x:v>
      </x:c>
      <x:c r="F27" s="48" t="s">
        <x:v>406</x:v>
      </x:c>
      <x:c r="G27" s="48" t="s">
        <x:v>275</x:v>
      </x:c>
      <x:c r="H27" s="48" t="s">
        <x:v>275</x:v>
      </x:c>
      <x:c r="I27" s="52">
        <x:v>5500</x:v>
      </x:c>
      <x:c r="J27" s="53" t="s">
        <x:v>306</x:v>
      </x:c>
      <x:c r="K27" s="59" t="s">
        <x:v>277</x:v>
      </x:c>
      <x:c r="L27" s="53" t="s">
        <x:v>347</x:v>
      </x:c>
      <x:c r="M27" s="53" t="s">
        <x:v>406</x:v>
      </x:c>
      <x:c r="N27" s="53" t="s">
        <x:v>390</x:v>
      </x:c>
      <x:c r="O27" s="53"/>
      <x:c r="P27" s="53" t="s">
        <x:v>407</x:v>
      </x:c>
      <x:c r="Q27" s="53" t="s">
        <x:v>408</x:v>
      </x:c>
      <x:c r="R27" s="53" t="s">
        <x:v>352</x:v>
      </x:c>
      <x:c r="S27" s="53" t="s">
        <x:v>341</x:v>
      </x:c>
      <x:c r="T27" s="54"/>
    </x:row>
    <x:row r="28" ht="19.200000762939453" customHeight="1">
      <x:c r="A28" s="47" t="s">
        <x:v>409</x:v>
      </x:c>
      <x:c r="B28" s="48" t="s">
        <x:v>343</x:v>
      </x:c>
      <x:c r="C28" s="48" t="s">
        <x:v>410</x:v>
      </x:c>
      <x:c r="D28" s="48" t="s">
        <x:v>343</x:v>
      </x:c>
      <x:c r="E28" s="48" t="s">
        <x:v>405</x:v>
      </x:c>
      <x:c r="F28" s="48" t="s">
        <x:v>406</x:v>
      </x:c>
      <x:c r="G28" s="48" t="s">
        <x:v>275</x:v>
      </x:c>
      <x:c r="H28" s="48" t="s">
        <x:v>275</x:v>
      </x:c>
      <x:c r="I28" s="52">
        <x:v>7000</x:v>
      </x:c>
      <x:c r="J28" s="53" t="s">
        <x:v>306</x:v>
      </x:c>
      <x:c r="K28" s="59" t="s">
        <x:v>277</x:v>
      </x:c>
      <x:c r="L28" s="53" t="s">
        <x:v>347</x:v>
      </x:c>
      <x:c r="M28" s="53" t="s">
        <x:v>406</x:v>
      </x:c>
      <x:c r="N28" s="53" t="s">
        <x:v>390</x:v>
      </x:c>
      <x:c r="O28" s="53"/>
      <x:c r="P28" s="53" t="s">
        <x:v>407</x:v>
      </x:c>
      <x:c r="Q28" s="53" t="s">
        <x:v>411</x:v>
      </x:c>
      <x:c r="R28" s="53" t="s">
        <x:v>352</x:v>
      </x:c>
      <x:c r="S28" s="53" t="s">
        <x:v>341</x:v>
      </x:c>
      <x:c r="T28" s="54"/>
    </x:row>
    <x:row r="29" ht="19.200000762939453" customHeight="1">
      <x:c r="A29" s="47" t="s">
        <x:v>412</x:v>
      </x:c>
      <x:c r="B29" s="48" t="s">
        <x:v>343</x:v>
      </x:c>
      <x:c r="C29" s="48" t="s">
        <x:v>413</x:v>
      </x:c>
      <x:c r="D29" s="48" t="s">
        <x:v>343</x:v>
      </x:c>
      <x:c r="E29" s="48" t="s">
        <x:v>405</x:v>
      </x:c>
      <x:c r="F29" s="48" t="s">
        <x:v>346</x:v>
      </x:c>
      <x:c r="G29" s="48" t="s">
        <x:v>275</x:v>
      </x:c>
      <x:c r="H29" s="48" t="s">
        <x:v>275</x:v>
      </x:c>
      <x:c r="I29" s="52">
        <x:v>1800</x:v>
      </x:c>
      <x:c r="J29" s="53" t="s">
        <x:v>306</x:v>
      </x:c>
      <x:c r="K29" s="59" t="s">
        <x:v>277</x:v>
      </x:c>
      <x:c r="L29" s="53" t="s">
        <x:v>347</x:v>
      </x:c>
      <x:c r="M29" s="53" t="s">
        <x:v>372</x:v>
      </x:c>
      <x:c r="N29" s="53" t="s">
        <x:v>390</x:v>
      </x:c>
      <x:c r="O29" s="53"/>
      <x:c r="P29" s="53" t="s">
        <x:v>414</x:v>
      </x:c>
      <x:c r="Q29" s="53" t="s">
        <x:v>415</x:v>
      </x:c>
      <x:c r="R29" s="53" t="s">
        <x:v>352</x:v>
      </x:c>
      <x:c r="S29" s="53" t="s">
        <x:v>341</x:v>
      </x:c>
      <x:c r="T29" s="54"/>
    </x:row>
    <x:row r="30" ht="19.200000762939453" customHeight="1">
      <x:c r="A30" s="47" t="s">
        <x:v>416</x:v>
      </x:c>
      <x:c r="B30" s="48" t="s">
        <x:v>343</x:v>
      </x:c>
      <x:c r="C30" s="48" t="s">
        <x:v>417</x:v>
      </x:c>
      <x:c r="D30" s="48" t="s">
        <x:v>343</x:v>
      </x:c>
      <x:c r="E30" s="48" t="s">
        <x:v>405</x:v>
      </x:c>
      <x:c r="F30" s="48" t="s">
        <x:v>406</x:v>
      </x:c>
      <x:c r="G30" s="48" t="s">
        <x:v>275</x:v>
      </x:c>
      <x:c r="H30" s="48" t="s">
        <x:v>275</x:v>
      </x:c>
      <x:c r="I30" s="52">
        <x:v>1800</x:v>
      </x:c>
      <x:c r="J30" s="53" t="s">
        <x:v>306</x:v>
      </x:c>
      <x:c r="K30" s="59" t="s">
        <x:v>277</x:v>
      </x:c>
      <x:c r="L30" s="53" t="s">
        <x:v>347</x:v>
      </x:c>
      <x:c r="M30" s="53" t="s">
        <x:v>406</x:v>
      </x:c>
      <x:c r="N30" s="53" t="s">
        <x:v>390</x:v>
      </x:c>
      <x:c r="O30" s="53"/>
      <x:c r="P30" s="53" t="s">
        <x:v>418</x:v>
      </x:c>
      <x:c r="Q30" s="53" t="s">
        <x:v>415</x:v>
      </x:c>
      <x:c r="R30" s="53" t="s">
        <x:v>352</x:v>
      </x:c>
      <x:c r="S30" s="53" t="s">
        <x:v>341</x:v>
      </x:c>
      <x:c r="T30" s="54"/>
    </x:row>
    <x:row r="31" ht="19.200000762939453" customHeight="1">
      <x:c r="A31" s="47" t="s">
        <x:v>419</x:v>
      </x:c>
      <x:c r="B31" s="48" t="s">
        <x:v>343</x:v>
      </x:c>
      <x:c r="C31" s="48" t="s">
        <x:v>420</x:v>
      </x:c>
      <x:c r="D31" s="48" t="s">
        <x:v>343</x:v>
      </x:c>
      <x:c r="E31" s="48" t="s">
        <x:v>405</x:v>
      </x:c>
      <x:c r="F31" s="48" t="s">
        <x:v>406</x:v>
      </x:c>
      <x:c r="G31" s="48" t="s">
        <x:v>275</x:v>
      </x:c>
      <x:c r="H31" s="48" t="s">
        <x:v>275</x:v>
      </x:c>
      <x:c r="I31" s="52">
        <x:v>4500</x:v>
      </x:c>
      <x:c r="J31" s="53" t="s">
        <x:v>306</x:v>
      </x:c>
      <x:c r="K31" s="59" t="s">
        <x:v>277</x:v>
      </x:c>
      <x:c r="L31" s="53" t="s">
        <x:v>347</x:v>
      </x:c>
      <x:c r="M31" s="53" t="s">
        <x:v>406</x:v>
      </x:c>
      <x:c r="N31" s="53" t="s">
        <x:v>390</x:v>
      </x:c>
      <x:c r="O31" s="53"/>
      <x:c r="P31" s="53" t="s">
        <x:v>421</x:v>
      </x:c>
      <x:c r="Q31" s="53" t="s">
        <x:v>415</x:v>
      </x:c>
      <x:c r="R31" s="53" t="s">
        <x:v>352</x:v>
      </x:c>
      <x:c r="S31" s="53" t="s">
        <x:v>341</x:v>
      </x:c>
      <x:c r="T31" s="54"/>
    </x:row>
    <x:row r="32" ht="19.200000762939453" customHeight="1">
      <x:c r="A32" s="47" t="s">
        <x:v>422</x:v>
      </x:c>
      <x:c r="B32" s="48" t="s">
        <x:v>423</x:v>
      </x:c>
      <x:c r="C32" s="48" t="s">
        <x:v>424</x:v>
      </x:c>
      <x:c r="D32" s="48" t="s">
        <x:v>423</x:v>
      </x:c>
      <x:c r="E32" s="48" t="s">
        <x:v>371</x:v>
      </x:c>
      <x:c r="F32" s="48" t="s">
        <x:v>425</x:v>
      </x:c>
      <x:c r="G32" s="48" t="s">
        <x:v>305</x:v>
      </x:c>
      <x:c r="H32" s="48" t="s">
        <x:v>305</x:v>
      </x:c>
      <x:c r="I32" s="52">
        <x:v>55</x:v>
      </x:c>
      <x:c r="J32" s="53" t="s">
        <x:v>306</x:v>
      </x:c>
      <x:c r="K32" s="59" t="s">
        <x:v>277</x:v>
      </x:c>
      <x:c r="L32" s="53" t="s">
        <x:v>426</x:v>
      </x:c>
      <x:c r="M32" s="53" t="s">
        <x:v>427</x:v>
      </x:c>
      <x:c r="N32" s="53" t="s">
        <x:v>390</x:v>
      </x:c>
      <x:c r="O32" s="53"/>
      <x:c r="P32" s="53" t="s">
        <x:v>428</x:v>
      </x:c>
      <x:c r="Q32" s="53" t="s">
        <x:v>429</x:v>
      </x:c>
      <x:c r="R32" s="53" t="s">
        <x:v>352</x:v>
      </x:c>
      <x:c r="S32" s="53" t="s">
        <x:v>430</x:v>
      </x:c>
      <x:c r="T32" s="54"/>
    </x:row>
    <x:row r="33" ht="19.200000762939453" customHeight="1">
      <x:c r="A33" s="47" t="s">
        <x:v>431</x:v>
      </x:c>
      <x:c r="B33" s="48" t="s">
        <x:v>423</x:v>
      </x:c>
      <x:c r="C33" s="48" t="s">
        <x:v>432</x:v>
      </x:c>
      <x:c r="D33" s="48" t="s">
        <x:v>423</x:v>
      </x:c>
      <x:c r="E33" s="48" t="s">
        <x:v>389</x:v>
      </x:c>
      <x:c r="F33" s="48" t="s">
        <x:v>425</x:v>
      </x:c>
      <x:c r="G33" s="48" t="s">
        <x:v>305</x:v>
      </x:c>
      <x:c r="H33" s="48" t="s">
        <x:v>305</x:v>
      </x:c>
      <x:c r="I33" s="52">
        <x:v>145</x:v>
      </x:c>
      <x:c r="J33" s="53" t="s">
        <x:v>306</x:v>
      </x:c>
      <x:c r="K33" s="59" t="s">
        <x:v>277</x:v>
      </x:c>
      <x:c r="L33" s="53" t="s">
        <x:v>426</x:v>
      </x:c>
      <x:c r="M33" s="53" t="s">
        <x:v>433</x:v>
      </x:c>
      <x:c r="N33" s="53" t="s">
        <x:v>390</x:v>
      </x:c>
      <x:c r="O33" s="53"/>
      <x:c r="P33" s="53" t="s">
        <x:v>434</x:v>
      </x:c>
      <x:c r="Q33" s="53" t="s">
        <x:v>435</x:v>
      </x:c>
      <x:c r="R33" s="53" t="s">
        <x:v>352</x:v>
      </x:c>
      <x:c r="S33" s="53" t="s">
        <x:v>430</x:v>
      </x:c>
      <x:c r="T33" s="54"/>
    </x:row>
    <x:row r="34" ht="19.200000762939453" customHeight="1">
      <x:c r="A34" s="47" t="s">
        <x:v>436</x:v>
      </x:c>
      <x:c r="B34" s="48" t="s">
        <x:v>423</x:v>
      </x:c>
      <x:c r="C34" s="48" t="s">
        <x:v>437</x:v>
      </x:c>
      <x:c r="D34" s="48" t="s">
        <x:v>423</x:v>
      </x:c>
      <x:c r="E34" s="48" t="s">
        <x:v>389</x:v>
      </x:c>
      <x:c r="F34" s="48" t="s">
        <x:v>425</x:v>
      </x:c>
      <x:c r="G34" s="48" t="s">
        <x:v>305</x:v>
      </x:c>
      <x:c r="H34" s="48" t="s">
        <x:v>305</x:v>
      </x:c>
      <x:c r="I34" s="52">
        <x:v>115</x:v>
      </x:c>
      <x:c r="J34" s="53" t="s">
        <x:v>306</x:v>
      </x:c>
      <x:c r="K34" s="59" t="s">
        <x:v>277</x:v>
      </x:c>
      <x:c r="L34" s="53" t="s">
        <x:v>426</x:v>
      </x:c>
      <x:c r="M34" s="53" t="s">
        <x:v>433</x:v>
      </x:c>
      <x:c r="N34" s="53" t="s">
        <x:v>390</x:v>
      </x:c>
      <x:c r="O34" s="53"/>
      <x:c r="P34" s="53" t="s">
        <x:v>438</x:v>
      </x:c>
      <x:c r="Q34" s="53" t="s">
        <x:v>435</x:v>
      </x:c>
      <x:c r="R34" s="53" t="s">
        <x:v>352</x:v>
      </x:c>
      <x:c r="S34" s="53" t="s">
        <x:v>430</x:v>
      </x:c>
      <x:c r="T34" s="54"/>
    </x:row>
    <x:row r="35" ht="19.200000762939453" customHeight="1">
      <x:c r="A35" s="47" t="s">
        <x:v>439</x:v>
      </x:c>
      <x:c r="B35" s="48" t="s">
        <x:v>423</x:v>
      </x:c>
      <x:c r="C35" s="48" t="s">
        <x:v>440</x:v>
      </x:c>
      <x:c r="D35" s="48" t="s">
        <x:v>423</x:v>
      </x:c>
      <x:c r="E35" s="48" t="s">
        <x:v>389</x:v>
      </x:c>
      <x:c r="F35" s="48" t="s">
        <x:v>425</x:v>
      </x:c>
      <x:c r="G35" s="48" t="s">
        <x:v>305</x:v>
      </x:c>
      <x:c r="H35" s="48" t="s">
        <x:v>305</x:v>
      </x:c>
      <x:c r="I35" s="52">
        <x:v>275</x:v>
      </x:c>
      <x:c r="J35" s="53" t="s">
        <x:v>306</x:v>
      </x:c>
      <x:c r="K35" s="59" t="s">
        <x:v>277</x:v>
      </x:c>
      <x:c r="L35" s="53" t="s">
        <x:v>426</x:v>
      </x:c>
      <x:c r="M35" s="53" t="s">
        <x:v>441</x:v>
      </x:c>
      <x:c r="N35" s="53" t="s">
        <x:v>390</x:v>
      </x:c>
      <x:c r="O35" s="53"/>
      <x:c r="P35" s="53" t="s">
        <x:v>442</x:v>
      </x:c>
      <x:c r="Q35" s="53" t="s">
        <x:v>443</x:v>
      </x:c>
      <x:c r="R35" s="53" t="s">
        <x:v>352</x:v>
      </x:c>
      <x:c r="S35" s="53" t="s">
        <x:v>430</x:v>
      </x:c>
      <x:c r="T35" s="54"/>
    </x:row>
    <x:row r="36" ht="19.200000762939453" customHeight="1">
      <x:c r="A36" s="47" t="s">
        <x:v>444</x:v>
      </x:c>
      <x:c r="B36" s="48" t="s">
        <x:v>423</x:v>
      </x:c>
      <x:c r="C36" s="48" t="s">
        <x:v>445</x:v>
      </x:c>
      <x:c r="D36" s="48" t="s">
        <x:v>423</x:v>
      </x:c>
      <x:c r="E36" s="48" t="s">
        <x:v>446</x:v>
      </x:c>
      <x:c r="F36" s="48" t="s">
        <x:v>425</x:v>
      </x:c>
      <x:c r="G36" s="48" t="s">
        <x:v>275</x:v>
      </x:c>
      <x:c r="H36" s="48" t="s">
        <x:v>275</x:v>
      </x:c>
      <x:c r="I36" s="52">
        <x:v>1</x:v>
      </x:c>
      <x:c r="J36" s="53" t="s">
        <x:v>447</x:v>
      </x:c>
      <x:c r="K36" s="59" t="s">
        <x:v>277</x:v>
      </x:c>
      <x:c r="L36" s="53" t="s">
        <x:v>448</x:v>
      </x:c>
      <x:c r="M36" s="53" t="s">
        <x:v>449</x:v>
      </x:c>
      <x:c r="N36" s="53" t="s">
        <x:v>450</x:v>
      </x:c>
      <x:c r="O36" s="53"/>
      <x:c r="P36" s="53" t="s">
        <x:v>451</x:v>
      </x:c>
      <x:c r="Q36" s="53" t="s">
        <x:v>452</x:v>
      </x:c>
      <x:c r="R36" s="53" t="s">
        <x:v>352</x:v>
      </x:c>
      <x:c r="S36" s="53" t="s">
        <x:v>430</x:v>
      </x:c>
      <x:c r="T36" s="54" t="s">
        <x:v>453</x:v>
      </x:c>
    </x:row>
    <x:row r="37" ht="19.200000762939453" customHeight="1">
      <x:c r="A37" s="47" t="s">
        <x:v>454</x:v>
      </x:c>
      <x:c r="B37" s="48" t="s">
        <x:v>455</x:v>
      </x:c>
      <x:c r="C37" s="48" t="s">
        <x:v>456</x:v>
      </x:c>
      <x:c r="D37" s="48" t="s">
        <x:v>455</x:v>
      </x:c>
      <x:c r="E37" s="48" t="s">
        <x:v>446</x:v>
      </x:c>
      <x:c r="F37" s="48" t="s">
        <x:v>457</x:v>
      </x:c>
      <x:c r="G37" s="48" t="s">
        <x:v>275</x:v>
      </x:c>
      <x:c r="H37" s="48" t="s">
        <x:v>275</x:v>
      </x:c>
      <x:c r="I37" s="52">
        <x:v>1</x:v>
      </x:c>
      <x:c r="J37" s="53" t="s">
        <x:v>447</x:v>
      </x:c>
      <x:c r="K37" s="59" t="s">
        <x:v>277</x:v>
      </x:c>
      <x:c r="L37" s="53" t="s">
        <x:v>448</x:v>
      </x:c>
      <x:c r="M37" s="53" t="s">
        <x:v>458</x:v>
      </x:c>
      <x:c r="N37" s="53" t="s">
        <x:v>459</x:v>
      </x:c>
      <x:c r="O37" s="53"/>
      <x:c r="P37" s="53" t="s">
        <x:v>451</x:v>
      </x:c>
      <x:c r="Q37" s="53" t="s">
        <x:v>452</x:v>
      </x:c>
      <x:c r="R37" s="53" t="s">
        <x:v>283</x:v>
      </x:c>
      <x:c r="S37" s="53" t="s">
        <x:v>430</x:v>
      </x:c>
      <x:c r="T37" s="54" t="s">
        <x:v>453</x:v>
      </x:c>
    </x:row>
    <x:row r="38" ht="19.200000762939453" customHeight="1">
      <x:c r="A38" s="47" t="s">
        <x:v>460</x:v>
      </x:c>
      <x:c r="B38" s="48" t="s">
        <x:v>455</x:v>
      </x:c>
      <x:c r="C38" s="48" t="s">
        <x:v>461</x:v>
      </x:c>
      <x:c r="D38" s="48" t="s">
        <x:v>455</x:v>
      </x:c>
      <x:c r="E38" s="48" t="s">
        <x:v>357</x:v>
      </x:c>
      <x:c r="F38" s="48" t="s">
        <x:v>462</x:v>
      </x:c>
      <x:c r="G38" s="48" t="s">
        <x:v>275</x:v>
      </x:c>
      <x:c r="H38" s="48" t="s">
        <x:v>275</x:v>
      </x:c>
      <x:c r="I38" s="52">
        <x:v>22</x:v>
      </x:c>
      <x:c r="J38" s="53" t="s">
        <x:v>306</x:v>
      </x:c>
      <x:c r="K38" s="59" t="s">
        <x:v>277</x:v>
      </x:c>
      <x:c r="L38" s="53" t="s">
        <x:v>278</x:v>
      </x:c>
      <x:c r="M38" s="53" t="s">
        <x:v>463</x:v>
      </x:c>
      <x:c r="N38" s="53" t="s">
        <x:v>373</x:v>
      </x:c>
      <x:c r="O38" s="53"/>
      <x:c r="P38" s="53" t="s">
        <x:v>464</x:v>
      </x:c>
      <x:c r="Q38" s="53" t="s">
        <x:v>465</x:v>
      </x:c>
      <x:c r="R38" s="53" t="s">
        <x:v>313</x:v>
      </x:c>
      <x:c r="S38" s="53" t="s">
        <x:v>341</x:v>
      </x:c>
      <x:c r="T38" s="54"/>
    </x:row>
    <x:row r="39" ht="19.200000762939453" customHeight="1">
      <x:c r="A39" s="47" t="str">
        <x:v>LAB-RIGGER</x:v>
      </x:c>
      <x:c r="B39" s="48" t="str">
        <x:v>Labour</x:v>
      </x:c>
      <x:c r="C39" s="48" t="str">
        <x:v>Certified crane rigger / dogman / lifting crew</x:v>
      </x:c>
      <x:c r="D39" s="48" t="str">
        <x:v>Labour</x:v>
      </x:c>
      <x:c r="E39" s="48" t="str">
        <x:v>hr</x:v>
      </x:c>
      <x:c r="F39" s="48" t="str">
        <x:v>Specialist labour / subcontract</x:v>
      </x:c>
      <x:c r="G39" s="48" t="str">
        <x:v>N/A</x:v>
      </x:c>
      <x:c r="H39" s="48" t="str">
        <x:v>N/A</x:v>
      </x:c>
      <x:c r="I39" s="52" t="n">
        <x:v>1</x:v>
      </x:c>
      <x:c r="J39" s="53" t="str">
        <x:v>NZ / AU project-specific</x:v>
      </x:c>
      <x:c r="K39" s="59" t="str">
        <x:v>15-Aug-2026</x:v>
      </x:c>
      <x:c r="L39" s="53" t="str">
        <x:v>Job override required</x:v>
      </x:c>
      <x:c r="M39" s="53" t="str">
        <x:v>Crane / rigging subcontractor</x:v>
      </x:c>
      <x:c r="N39" s="53" t="str">
        <x:v>Quote required</x:v>
      </x:c>
      <x:c r="O39" s="53" t="str">
        <x:v>Minimum call-out by quote</x:v>
      </x:c>
      <x:c r="P39" s="53" t="str">
        <x:v>Certified rigger/dogman labour to stated lift methodology</x:v>
      </x:c>
      <x:c r="Q39" s="53" t="str">
        <x:v>Crane, rigging gear, travel and overtime unless specifically included</x:v>
      </x:c>
      <x:c r="R39" s="53" t="str">
        <x:v>Low</x:v>
      </x:c>
      <x:c r="S39" s="53" t="str">
        <x:v>RED - quote or job-specific evidence required</x:v>
      </x:c>
      <x:c r="T39" s="54" t="str">
        <x:v>Base $1 forces explicit job-rate override; verify competency and crew composition.</x:v>
      </x:c>
    </x:row>
    <x:row r="40" ht="19.200000762939453" customHeight="1">
      <x:c r="A40" s="47" t="str">
        <x:v>PL-CRANE-70AT</x:v>
      </x:c>
      <x:c r="B40" s="48" t="str">
        <x:v>Plant</x:v>
      </x:c>
      <x:c r="C40" s="48" t="str">
        <x:v>70 t all-terrain mobile crane wet hire</x:v>
      </x:c>
      <x:c r="D40" s="48" t="str">
        <x:v>Plant</x:v>
      </x:c>
      <x:c r="E40" s="48" t="str">
        <x:v>hr</x:v>
      </x:c>
      <x:c r="F40" s="48" t="str">
        <x:v>Specialist crane hire</x:v>
      </x:c>
      <x:c r="G40" s="48" t="str">
        <x:v>Yes</x:v>
      </x:c>
      <x:c r="H40" s="48" t="str">
        <x:v>Yes</x:v>
      </x:c>
      <x:c r="I40" s="52" t="n">
        <x:v>1</x:v>
      </x:c>
      <x:c r="J40" s="53" t="str">
        <x:v>NZ / AU project-specific</x:v>
      </x:c>
      <x:c r="K40" s="59" t="str">
        <x:v>15-Aug-2026</x:v>
      </x:c>
      <x:c r="L40" s="53" t="str">
        <x:v>Job override required</x:v>
      </x:c>
      <x:c r="M40" s="53" t="str">
        <x:v>Mobile crane supplier</x:v>
      </x:c>
      <x:c r="N40" s="53" t="str">
        <x:v>Quote required</x:v>
      </x:c>
      <x:c r="O40" s="53" t="str">
        <x:v>Minimum hire + mobilisation by quote</x:v>
      </x:c>
      <x:c r="P40" s="53" t="str">
        <x:v>Crane, operator and normal fuel subject to supplier quote</x:v>
      </x:c>
      <x:c r="Q40" s="53" t="str">
        <x:v>Mobilisation, ballast transport, rigging, dogman, mats, travel/overtime unless included</x:v>
      </x:c>
      <x:c r="R40" s="53" t="str">
        <x:v>Low</x:v>
      </x:c>
      <x:c r="S40" s="53" t="str">
        <x:v>RED - quote or job-specific evidence required</x:v>
      </x:c>
      <x:c r="T40" s="54" t="str">
        <x:v>Capacity class only. Verify certified load chart, lift radius, ballast, outrigger reactions, access and minimum hire.</x:v>
      </x:c>
    </x:row>
    <x:row r="41" ht="19.200000762939453" customHeight="1">
      <x:c r="A41" s="47" t="str">
        <x:v>PL-CRANE-90AT</x:v>
      </x:c>
      <x:c r="B41" s="48" t="str">
        <x:v>Plant</x:v>
      </x:c>
      <x:c r="C41" s="48" t="str">
        <x:v>90 t all-terrain mobile crane wet hire</x:v>
      </x:c>
      <x:c r="D41" s="48" t="str">
        <x:v>Plant</x:v>
      </x:c>
      <x:c r="E41" s="48" t="str">
        <x:v>hr</x:v>
      </x:c>
      <x:c r="F41" s="48" t="str">
        <x:v>Specialist crane hire</x:v>
      </x:c>
      <x:c r="G41" s="48" t="str">
        <x:v>Yes</x:v>
      </x:c>
      <x:c r="H41" s="48" t="str">
        <x:v>Yes</x:v>
      </x:c>
      <x:c r="I41" s="52" t="n">
        <x:v>1</x:v>
      </x:c>
      <x:c r="J41" s="53" t="str">
        <x:v>NZ / AU project-specific</x:v>
      </x:c>
      <x:c r="K41" s="59" t="str">
        <x:v>15-Aug-2026</x:v>
      </x:c>
      <x:c r="L41" s="53" t="str">
        <x:v>Job override required</x:v>
      </x:c>
      <x:c r="M41" s="53" t="str">
        <x:v>Mobile crane supplier</x:v>
      </x:c>
      <x:c r="N41" s="53" t="str">
        <x:v>Quote required</x:v>
      </x:c>
      <x:c r="O41" s="53" t="str">
        <x:v>Minimum hire + mobilisation by quote</x:v>
      </x:c>
      <x:c r="P41" s="53" t="str">
        <x:v>Crane, operator and normal fuel subject to supplier quote</x:v>
      </x:c>
      <x:c r="Q41" s="53" t="str">
        <x:v>Mobilisation, ballast transport, rigging, dogman, mats, travel/overtime unless included</x:v>
      </x:c>
      <x:c r="R41" s="53" t="str">
        <x:v>Low</x:v>
      </x:c>
      <x:c r="S41" s="53" t="str">
        <x:v>RED - quote or job-specific evidence required</x:v>
      </x:c>
      <x:c r="T41" s="54" t="str">
        <x:v>Capacity class only. Verify certified load chart, lift radius, ballast, outrigger reactions, access and minimum hire.</x:v>
      </x:c>
    </x:row>
    <x:row r="42" ht="19.200000762939453" customHeight="1">
      <x:c r="A42" s="47" t="str">
        <x:v>PL-CRANE-120AT</x:v>
      </x:c>
      <x:c r="B42" s="48" t="str">
        <x:v>Plant</x:v>
      </x:c>
      <x:c r="C42" s="48" t="str">
        <x:v>120 t all-terrain mobile crane wet hire</x:v>
      </x:c>
      <x:c r="D42" s="48" t="str">
        <x:v>Plant</x:v>
      </x:c>
      <x:c r="E42" s="48" t="str">
        <x:v>hr</x:v>
      </x:c>
      <x:c r="F42" s="48" t="str">
        <x:v>Specialist crane hire</x:v>
      </x:c>
      <x:c r="G42" s="48" t="str">
        <x:v>Yes</x:v>
      </x:c>
      <x:c r="H42" s="48" t="str">
        <x:v>Yes</x:v>
      </x:c>
      <x:c r="I42" s="52" t="n">
        <x:v>1</x:v>
      </x:c>
      <x:c r="J42" s="53" t="str">
        <x:v>NZ / AU project-specific</x:v>
      </x:c>
      <x:c r="K42" s="59" t="str">
        <x:v>15-Aug-2026</x:v>
      </x:c>
      <x:c r="L42" s="53" t="str">
        <x:v>Job override required</x:v>
      </x:c>
      <x:c r="M42" s="53" t="str">
        <x:v>Mobile crane supplier</x:v>
      </x:c>
      <x:c r="N42" s="53" t="str">
        <x:v>Quote required</x:v>
      </x:c>
      <x:c r="O42" s="53" t="str">
        <x:v>Minimum hire + mobilisation by quote</x:v>
      </x:c>
      <x:c r="P42" s="53" t="str">
        <x:v>Crane, operator and normal fuel subject to supplier quote</x:v>
      </x:c>
      <x:c r="Q42" s="53" t="str">
        <x:v>Mobilisation, ballast transport, rigging, dogman, mats, travel/overtime unless included</x:v>
      </x:c>
      <x:c r="R42" s="53" t="str">
        <x:v>Low</x:v>
      </x:c>
      <x:c r="S42" s="53" t="str">
        <x:v>RED - quote or job-specific evidence required</x:v>
      </x:c>
      <x:c r="T42" s="54" t="str">
        <x:v>Capacity class only. Verify certified load chart, lift radius, ballast, outrigger reactions, access and minimum hire.</x:v>
      </x:c>
    </x:row>
    <x:row r="43" ht="19.200000762939453" customHeight="1">
      <x:c r="A43" s="47" t="str">
        <x:v>PL-CRANE-MATS</x:v>
      </x:c>
      <x:c r="B43" s="48" t="str">
        <x:v>Plant</x:v>
      </x:c>
      <x:c r="C43" s="48" t="str">
        <x:v>Crane mats / outrigger spreader mats hire set</x:v>
      </x:c>
      <x:c r="D43" s="48" t="str">
        <x:v>Plant</x:v>
      </x:c>
      <x:c r="E43" s="48" t="str">
        <x:v>day</x:v>
      </x:c>
      <x:c r="F43" s="48" t="str">
        <x:v>Specialist hire</x:v>
      </x:c>
      <x:c r="G43" s="48" t="str">
        <x:v>N/A</x:v>
      </x:c>
      <x:c r="H43" s="48" t="str">
        <x:v>N/A</x:v>
      </x:c>
      <x:c r="I43" s="52" t="n">
        <x:v>1</x:v>
      </x:c>
      <x:c r="J43" s="53" t="str">
        <x:v>NZ / AU project-specific</x:v>
      </x:c>
      <x:c r="K43" s="59" t="str">
        <x:v>15-Aug-2026</x:v>
      </x:c>
      <x:c r="L43" s="53" t="str">
        <x:v>Job override required</x:v>
      </x:c>
      <x:c r="M43" s="53" t="str">
        <x:v>Crane / temporary works supplier</x:v>
      </x:c>
      <x:c r="N43" s="53" t="str">
        <x:v>Quote required</x:v>
      </x:c>
      <x:c r="O43" s="53" t="str">
        <x:v>Minimum hire / transport by quote</x:v>
      </x:c>
      <x:c r="P43" s="53" t="str">
        <x:v>Mats/spreader set to supplier/temp-works requirement</x:v>
      </x:c>
      <x:c r="Q43" s="53" t="str">
        <x:v>Transport, placement, design/certification and abnormal ground treatment unless included</x:v>
      </x:c>
      <x:c r="R43" s="53" t="str">
        <x:v>Low</x:v>
      </x:c>
      <x:c r="S43" s="53" t="str">
        <x:v>RED - quote or job-specific evidence required</x:v>
      </x:c>
      <x:c r="T43" s="54" t="str">
        <x:v>Base $1 forces explicit job override. Check whether crane supplier already includes mats to avoid duplication.</x:v>
      </x:c>
    </x:row>
    <x:row r="44" ht="19.200000762939453" customHeight="1">
      <x:c r="A44" s="47" t="str">
        <x:v>PL-RIGGING-SET</x:v>
      </x:c>
      <x:c r="B44" s="48" t="str">
        <x:v>Plant</x:v>
      </x:c>
      <x:c r="C44" s="48" t="str">
        <x:v>Certified crane rigging / lifting gear set</x:v>
      </x:c>
      <x:c r="D44" s="48" t="str">
        <x:v>Plant</x:v>
      </x:c>
      <x:c r="E44" s="48" t="str">
        <x:v>day</x:v>
      </x:c>
      <x:c r="F44" s="48" t="str">
        <x:v>Specialist hire</x:v>
      </x:c>
      <x:c r="G44" s="48" t="str">
        <x:v>N/A</x:v>
      </x:c>
      <x:c r="H44" s="48" t="str">
        <x:v>N/A</x:v>
      </x:c>
      <x:c r="I44" s="52" t="n">
        <x:v>1</x:v>
      </x:c>
      <x:c r="J44" s="53" t="str">
        <x:v>NZ / AU project-specific</x:v>
      </x:c>
      <x:c r="K44" s="59" t="str">
        <x:v>15-Aug-2026</x:v>
      </x:c>
      <x:c r="L44" s="53" t="str">
        <x:v>Job override required</x:v>
      </x:c>
      <x:c r="M44" s="53" t="str">
        <x:v>Crane / rigging supplier</x:v>
      </x:c>
      <x:c r="N44" s="53" t="str">
        <x:v>Quote required</x:v>
      </x:c>
      <x:c r="O44" s="53" t="str">
        <x:v>Minimum hire / mobilisation by quote</x:v>
      </x:c>
      <x:c r="P44" s="53" t="str">
        <x:v>Certified slings, shackles and stated lifting gear set</x:v>
      </x:c>
      <x:c r="Q44" s="53" t="str">
        <x:v>Project-specific lifting beam, proprietary clutches, engineered lifting frame and rigger labour unless included</x:v>
      </x:c>
      <x:c r="R44" s="53" t="str">
        <x:v>Low</x:v>
      </x:c>
      <x:c r="S44" s="53" t="str">
        <x:v>RED - quote or job-specific evidence required</x:v>
      </x:c>
      <x:c r="T44" s="54" t="str">
        <x:v>Base $1 forces explicit job override; reconcile with crane quote and precaster lifting requirements.</x:v>
      </x:c>
    </x:row>
    <x:row r="45" ht="19.200000762939453" customHeight="1">
      <x:c r="A45" s="47" t="str">
        <x:v>PL-TRUCK-6W</x:v>
      </x:c>
      <x:c r="B45" s="48" t="str">
        <x:v>Plant</x:v>
      </x:c>
      <x:c r="C45" s="48" t="str">
        <x:v>6-wheel tip truck wet hire</x:v>
      </x:c>
      <x:c r="D45" s="48" t="str">
        <x:v>Plant</x:v>
      </x:c>
      <x:c r="E45" s="48" t="str">
        <x:v>hr</x:v>
      </x:c>
      <x:c r="F45" s="48" t="str">
        <x:v>Wet hire / cartage</x:v>
      </x:c>
      <x:c r="G45" s="48" t="str">
        <x:v>Yes</x:v>
      </x:c>
      <x:c r="H45" s="48" t="str">
        <x:v>Yes</x:v>
      </x:c>
      <x:c r="I45" s="52" t="n">
        <x:v>1</x:v>
      </x:c>
      <x:c r="J45" s="53" t="str">
        <x:v>NZ / AU project-specific</x:v>
      </x:c>
      <x:c r="K45" s="59" t="str">
        <x:v>15-Aug-2026</x:v>
      </x:c>
      <x:c r="L45" s="53" t="str">
        <x:v>Job override required</x:v>
      </x:c>
      <x:c r="M45" s="53" t="str">
        <x:v>Civil cartage supplier</x:v>
      </x:c>
      <x:c r="N45" s="53" t="str">
        <x:v>Quote required</x:v>
      </x:c>
      <x:c r="O45" s="53" t="str">
        <x:v>Minimum hours / travel by quote</x:v>
      </x:c>
      <x:c r="P45" s="53" t="str">
        <x:v>Truck, driver and normal fuel subject to quote</x:v>
      </x:c>
      <x:c r="Q45" s="53" t="str">
        <x:v>Tipping fees, material supply, permits and abnormal waiting unless included</x:v>
      </x:c>
      <x:c r="R45" s="53" t="str">
        <x:v>Low</x:v>
      </x:c>
      <x:c r="S45" s="53" t="str">
        <x:v>RED - quote or job-specific evidence required</x:v>
      </x:c>
      <x:c r="T45" s="54" t="str">
        <x:v>Use for internal/site cartage where hourly wet hire is the truthful basis; do not duplicate supplier-delivery charges.</x:v>
      </x:c>
    </x:row>
    <x:row r="46" ht="19.200000762939453" customHeight="1">
      <x:c r="A46" s="47" t="str">
        <x:v>PL-TRANSPORT-HEAVY</x:v>
      </x:c>
      <x:c r="B46" s="48" t="str">
        <x:v>Plant</x:v>
      </x:c>
      <x:c r="C46" s="48" t="str">
        <x:v>Heavy / oversize transporter or precast internal haul</x:v>
      </x:c>
      <x:c r="D46" s="48" t="str">
        <x:v>Plant</x:v>
      </x:c>
      <x:c r="E46" s="48" t="str">
        <x:v>trip</x:v>
      </x:c>
      <x:c r="F46" s="48" t="str">
        <x:v>Specialist transport</x:v>
      </x:c>
      <x:c r="G46" s="48" t="str">
        <x:v>Yes</x:v>
      </x:c>
      <x:c r="H46" s="48" t="str">
        <x:v>Yes</x:v>
      </x:c>
      <x:c r="I46" s="52" t="n">
        <x:v>1</x:v>
      </x:c>
      <x:c r="J46" s="53" t="str">
        <x:v>NZ / AU project-specific</x:v>
      </x:c>
      <x:c r="K46" s="59" t="str">
        <x:v>15-Aug-2026</x:v>
      </x:c>
      <x:c r="L46" s="53" t="str">
        <x:v>Job override required</x:v>
      </x:c>
      <x:c r="M46" s="53" t="str">
        <x:v>Heavy transport / precast carrier</x:v>
      </x:c>
      <x:c r="N46" s="53" t="str">
        <x:v>Quote required</x:v>
      </x:c>
      <x:c r="O46" s="53" t="str">
        <x:v>Mobilisation, permits and escort by quote</x:v>
      </x:c>
      <x:c r="P46" s="53" t="str">
        <x:v>Transport vehicle and driver to stated route/load</x:v>
      </x:c>
      <x:c r="Q46" s="53" t="str">
        <x:v>Craneage, loading/unloading, permits/escorts and route strengthening unless included</x:v>
      </x:c>
      <x:c r="R46" s="53" t="str">
        <x:v>Low</x:v>
      </x:c>
      <x:c r="S46" s="53" t="str">
        <x:v>RED - quote or job-specific evidence required</x:v>
      </x:c>
      <x:c r="T46" s="54" t="str">
        <x:v>Use only where contractor transport scope is confirmed. Verify route, axle/load limits, turning and delivery responsibility.</x:v>
      </x:c>
    </x:row>
    <x:row r="47" ht="19.200000762939453" customHeight="1">
      <x:c r="A47" s="47" t="str">
        <x:v>OTH-CARTAGE-LOAD</x:v>
      </x:c>
      <x:c r="B47" s="48" t="str">
        <x:v>Other</x:v>
      </x:c>
      <x:c r="C47" s="48" t="str">
        <x:v>Supplier delivery / cartage charge per load</x:v>
      </x:c>
      <x:c r="D47" s="48" t="str">
        <x:v>Other</x:v>
      </x:c>
      <x:c r="E47" s="48" t="str">
        <x:v>load</x:v>
      </x:c>
      <x:c r="F47" s="48" t="str">
        <x:v>Job-specific supplier delivery</x:v>
      </x:c>
      <x:c r="G47" s="48" t="str">
        <x:v>N/A</x:v>
      </x:c>
      <x:c r="H47" s="48" t="str">
        <x:v>N/A</x:v>
      </x:c>
      <x:c r="I47" s="52" t="n">
        <x:v>1</x:v>
      </x:c>
      <x:c r="J47" s="53" t="str">
        <x:v>Project-specific</x:v>
      </x:c>
      <x:c r="K47" s="59" t="str">
        <x:v>15-Aug-2026</x:v>
      </x:c>
      <x:c r="L47" s="53" t="str">
        <x:v>Job override required</x:v>
      </x:c>
      <x:c r="M47" s="53" t="str">
        <x:v>Material supplier / carrier</x:v>
      </x:c>
      <x:c r="N47" s="53" t="str">
        <x:v>Quote required</x:v>
      </x:c>
      <x:c r="O47" s="53" t="str">
        <x:v>Load size / zone / minimum by quote</x:v>
      </x:c>
      <x:c r="P47" s="53" t="str">
        <x:v>Delivery/cartage charge only to stated site and load size</x:v>
      </x:c>
      <x:c r="Q47" s="53" t="str">
        <x:v>Material supply, waiting time, tipping, permits and rehandling unless included</x:v>
      </x:c>
      <x:c r="R47" s="53" t="str">
        <x:v>Low</x:v>
      </x:c>
      <x:c r="S47" s="53" t="str">
        <x:v>RED - quote or job-specific evidence required</x:v>
      </x:c>
      <x:c r="T47" s="54" t="str">
        <x:v>Reusable cost code only; project location, load size and delivered rate must be overridden from current evidence.</x:v>
      </x:c>
    </x:row>
    <x:row r="48" ht="19.200000762939453" customHeight="1">
      <x:c r="A48" s="47" t="str">
        <x:v>SUB-PROOFROLL</x:v>
      </x:c>
      <x:c r="B48" s="48" t="str">
        <x:v>Subcontract</x:v>
      </x:c>
      <x:c r="C48" s="48" t="str">
        <x:v>Proof-roll / working-platform verification / field testing attendance</x:v>
      </x:c>
      <x:c r="D48" s="48" t="str">
        <x:v>Subcontract</x:v>
      </x:c>
      <x:c r="E48" s="48" t="str">
        <x:v>LS</x:v>
      </x:c>
      <x:c r="F48" s="48" t="str">
        <x:v>Specialist subcontract</x:v>
      </x:c>
      <x:c r="G48" s="48" t="str">
        <x:v>N/A</x:v>
      </x:c>
      <x:c r="H48" s="48" t="str">
        <x:v>N/A</x:v>
      </x:c>
      <x:c r="I48" s="52" t="n">
        <x:v>1</x:v>
      </x:c>
      <x:c r="J48" s="53" t="str">
        <x:v>NZ / AU project-specific</x:v>
      </x:c>
      <x:c r="K48" s="59" t="str">
        <x:v>15-Aug-2026</x:v>
      </x:c>
      <x:c r="L48" s="53" t="str">
        <x:v>Job override required</x:v>
      </x:c>
      <x:c r="M48" s="53" t="str">
        <x:v>Geotech / testing provider</x:v>
      </x:c>
      <x:c r="N48" s="53" t="str">
        <x:v>Quote required</x:v>
      </x:c>
      <x:c r="O48" s="53" t="str">
        <x:v>Attendance / testing scope by quote</x:v>
      </x:c>
      <x:c r="P48" s="53" t="str">
        <x:v>Proof-roll or stated field-verification/testing attendance</x:v>
      </x:c>
      <x:c r="Q48" s="53" t="str">
        <x:v>Temporary works design, geotech design certification, remediation and repeat visits unless included</x:v>
      </x:c>
      <x:c r="R48" s="53" t="str">
        <x:v>Low</x:v>
      </x:c>
      <x:c r="S48" s="53" t="str">
        <x:v>RED - quote or job-specific evidence required</x:v>
      </x:c>
      <x:c r="T48" s="54" t="str">
        <x:v>Keep testing/verification separate from temporary-works design and from physical platform construction.</x:v>
      </x:c>
    </x:row>
    <x:row r="49" ht="19.200000762939453" customHeight="1">
      <x:c r="A49" s="47" t="str">
        <x:v>MAT-GEOGRID</x:v>
      </x:c>
      <x:c r="B49" s="48" t="str">
        <x:v>Material</x:v>
      </x:c>
      <x:c r="C49" s="48" t="str">
        <x:v>Geogrid / ground-stabilisation reinforcement - project specified</x:v>
      </x:c>
      <x:c r="D49" s="48" t="str">
        <x:v>Material</x:v>
      </x:c>
      <x:c r="E49" s="48" t="str">
        <x:v>m2</x:v>
      </x:c>
      <x:c r="F49" s="48" t="str">
        <x:v>Merchant supply</x:v>
      </x:c>
      <x:c r="G49" s="48" t="str">
        <x:v>N/A</x:v>
      </x:c>
      <x:c r="H49" s="48" t="str">
        <x:v>N/A</x:v>
      </x:c>
      <x:c r="I49" s="52" t="n">
        <x:v>1</x:v>
      </x:c>
      <x:c r="J49" s="53" t="str">
        <x:v>NZ / AU project-specific</x:v>
      </x:c>
      <x:c r="K49" s="59" t="str">
        <x:v>15-Aug-2026</x:v>
      </x:c>
      <x:c r="L49" s="53" t="str">
        <x:v>Job override required</x:v>
      </x:c>
      <x:c r="M49" s="53" t="str">
        <x:v>Civil merchant / geosynthetics supplier</x:v>
      </x:c>
      <x:c r="N49" s="53" t="str">
        <x:v>Quote required</x:v>
      </x:c>
      <x:c r="O49" s="53" t="str">
        <x:v>Product/specification by quote</x:v>
      </x:c>
      <x:c r="P49" s="53" t="str">
        <x:v>Specified geogrid material only</x:v>
      </x:c>
      <x:c r="Q49" s="53" t="str">
        <x:v>Design, geotextile, aggregate, installation and laps/waste unless included</x:v>
      </x:c>
      <x:c r="R49" s="53" t="str">
        <x:v>Low</x:v>
      </x:c>
      <x:c r="S49" s="53" t="str">
        <x:v>RED - quote or job-specific evidence required</x:v>
      </x:c>
      <x:c r="T49" s="54" t="str">
        <x:v>No generic rate. Select product from temporary works/geotech design and obtain project-specific quote.</x:v>
      </x:c>
    </x:row>
    <x:row r="50" ht="34" customHeight="1">
      <x:c r="A50" s="47" t="str">
        <x:v>HIST-LAB-FOREMAN-01</x:v>
      </x:c>
      <x:c r="B50" s="48" t="str">
        <x:v>Labour</x:v>
      </x:c>
      <x:c r="C50" s="48" t="str">
        <x:v>Civil foreman / working foreman - historical contractor benchmark</x:v>
      </x:c>
      <x:c r="D50" s="48" t="str">
        <x:v>Labour</x:v>
      </x:c>
      <x:c r="E50" s="48" t="str">
        <x:v>hr</x:v>
      </x:c>
      <x:c r="F50" s="48" t="str">
        <x:v>Internal / agency</x:v>
      </x:c>
      <x:c r="G50" s="48" t="str">
        <x:v>N/A</x:v>
      </x:c>
      <x:c r="H50" s="48" t="str">
        <x:v>N/A</x:v>
      </x:c>
      <x:c r="I50" s="52" t="n">
        <x:v>65</x:v>
      </x:c>
      <x:c r="J50" s="53" t="str">
        <x:v>Auckland / NZ</x:v>
      </x:c>
      <x:c r="K50" s="59" t="str">
        <x:v>17-Aug-2026</x:v>
      </x:c>
      <x:c r="L50" s="53" t="str">
        <x:v>Historical contractor benchmark (AMBER)</x:v>
      </x:c>
      <x:c r="M50" s="53" t="str">
        <x:v>Internal historical contractor benchmark</x:v>
      </x:c>
      <x:c r="N50" s="53" t="str">
        <x:v>HBR-001; comparison baseline LAB-FOREMAN = $64.00/hr</x:v>
      </x:c>
      <x:c r="O50" s="53"/>
      <x:c r="P50" s="53" t="str">
        <x:v>Direct employment allowance</x:v>
      </x:c>
      <x:c r="Q50" s="53" t="str">
        <x:v>Margin, vehicle, overtime</x:v>
      </x:c>
      <x:c r="R50" s="53" t="str">
        <x:v>Medium</x:v>
      </x:c>
      <x:c r="S50" s="53" t="str">
        <x:v>AMBER - historical benchmark only</x:v>
      </x:c>
      <x:c r="T50" s="54" t="str">
        <x:v>Verify against current project/company/supplier evidence before use.</x:v>
      </x:c>
    </x:row>
    <x:row r="51" ht="34" customHeight="1">
      <x:c r="A51" s="47" t="str">
        <x:v>HIST-LAB-SUPERVISOR-01</x:v>
      </x:c>
      <x:c r="B51" s="48" t="str">
        <x:v>Labour</x:v>
      </x:c>
      <x:c r="C51" s="48" t="str">
        <x:v>Site supervisor / project manager - historical contractor benchmark</x:v>
      </x:c>
      <x:c r="D51" s="48" t="str">
        <x:v>Labour</x:v>
      </x:c>
      <x:c r="E51" s="48" t="str">
        <x:v>hr</x:v>
      </x:c>
      <x:c r="F51" s="48" t="str">
        <x:v>Internal / agency</x:v>
      </x:c>
      <x:c r="G51" s="48" t="str">
        <x:v>N/A</x:v>
      </x:c>
      <x:c r="H51" s="48" t="str">
        <x:v>N/A</x:v>
      </x:c>
      <x:c r="I51" s="52" t="n">
        <x:v>70</x:v>
      </x:c>
      <x:c r="J51" s="53" t="str">
        <x:v>Auckland / NZ</x:v>
      </x:c>
      <x:c r="K51" s="59" t="str">
        <x:v>17-Aug-2026</x:v>
      </x:c>
      <x:c r="L51" s="53" t="str">
        <x:v>Historical contractor benchmark (AMBER)</x:v>
      </x:c>
      <x:c r="M51" s="53" t="str">
        <x:v>Internal historical contractor benchmark</x:v>
      </x:c>
      <x:c r="N51" s="53" t="str">
        <x:v>HBR-002; comparison baseline LAB-SUPERVISOR = $73.00/hr</x:v>
      </x:c>
      <x:c r="O51" s="53"/>
      <x:c r="P51" s="53" t="str">
        <x:v>Direct employment allowance</x:v>
      </x:c>
      <x:c r="Q51" s="53" t="str">
        <x:v>Margin, vehicle, overtime</x:v>
      </x:c>
      <x:c r="R51" s="53" t="str">
        <x:v>Medium</x:v>
      </x:c>
      <x:c r="S51" s="53" t="str">
        <x:v>AMBER - historical benchmark only</x:v>
      </x:c>
      <x:c r="T51" s="54" t="str">
        <x:v>Verify against current project/company/supplier evidence before use.</x:v>
      </x:c>
    </x:row>
    <x:row r="52" ht="34" customHeight="1">
      <x:c r="A52" s="47" t="str">
        <x:v>HIST-LAB-DRAINLAYER-01</x:v>
      </x:c>
      <x:c r="B52" s="48" t="str">
        <x:v>Labour</x:v>
      </x:c>
      <x:c r="C52" s="48" t="str">
        <x:v>Registered drainlayer / pipe layer - historical contractor benchmark</x:v>
      </x:c>
      <x:c r="D52" s="48" t="str">
        <x:v>Labour</x:v>
      </x:c>
      <x:c r="E52" s="48" t="str">
        <x:v>hr</x:v>
      </x:c>
      <x:c r="F52" s="48" t="str">
        <x:v>Internal / agency</x:v>
      </x:c>
      <x:c r="G52" s="48" t="str">
        <x:v>N/A</x:v>
      </x:c>
      <x:c r="H52" s="48" t="str">
        <x:v>N/A</x:v>
      </x:c>
      <x:c r="I52" s="52" t="n">
        <x:v>45</x:v>
      </x:c>
      <x:c r="J52" s="53" t="str">
        <x:v>Auckland / NZ</x:v>
      </x:c>
      <x:c r="K52" s="59" t="str">
        <x:v>17-Aug-2026</x:v>
      </x:c>
      <x:c r="L52" s="53" t="str">
        <x:v>Historical contractor benchmark (AMBER)</x:v>
      </x:c>
      <x:c r="M52" s="53" t="str">
        <x:v>Internal historical contractor benchmark</x:v>
      </x:c>
      <x:c r="N52" s="53" t="str">
        <x:v>HBR-003; comparison baseline LAB-DRAINLAYER = $51.00/hr</x:v>
      </x:c>
      <x:c r="O52" s="53"/>
      <x:c r="P52" s="53" t="str">
        <x:v>Direct employment allowance</x:v>
      </x:c>
      <x:c r="Q52" s="53" t="str">
        <x:v>Vehicle and overtime</x:v>
      </x:c>
      <x:c r="R52" s="53" t="str">
        <x:v>Medium</x:v>
      </x:c>
      <x:c r="S52" s="53" t="str">
        <x:v>AMBER - historical benchmark only</x:v>
      </x:c>
      <x:c r="T52" s="54" t="str">
        <x:v>Verify against current project/company/supplier evidence before use.</x:v>
      </x:c>
    </x:row>
    <x:row r="53" ht="34" customHeight="1">
      <x:c r="A53" s="47" t="str">
        <x:v>HIST-PL-EXC-1.7-01</x:v>
      </x:c>
      <x:c r="B53" s="48" t="str">
        <x:v>Plant</x:v>
      </x:c>
      <x:c r="C53" s="48" t="str">
        <x:v>1.7 t excavator wet hire - historical contractor benchmark</x:v>
      </x:c>
      <x:c r="D53" s="48" t="str">
        <x:v>Plant</x:v>
      </x:c>
      <x:c r="E53" s="48" t="str">
        <x:v>hr</x:v>
      </x:c>
      <x:c r="F53" s="48" t="str">
        <x:v>Wet hire</x:v>
      </x:c>
      <x:c r="G53" s="48" t="str">
        <x:v>Yes</x:v>
      </x:c>
      <x:c r="H53" s="48" t="str">
        <x:v>Yes</x:v>
      </x:c>
      <x:c r="I53" s="52" t="n">
        <x:v>75</x:v>
      </x:c>
      <x:c r="J53" s="53" t="str">
        <x:v>Auckland</x:v>
      </x:c>
      <x:c r="K53" s="59" t="str">
        <x:v>17-Aug-2026</x:v>
      </x:c>
      <x:c r="L53" s="53" t="str">
        <x:v>Historical contractor benchmark (AMBER)</x:v>
      </x:c>
      <x:c r="M53" s="53" t="str">
        <x:v>Internal historical contractor benchmark</x:v>
      </x:c>
      <x:c r="N53" s="53" t="str">
        <x:v>HBR-004; comparison baseline PL-EXC-1.7 = $85.00/hr</x:v>
      </x:c>
      <x:c r="O53" s="53" t="str">
        <x:v>Delivery by quote</x:v>
      </x:c>
      <x:c r="P53" s="53" t="str">
        <x:v>Machine, operator, fuel and normal buckets</x:v>
      </x:c>
      <x:c r="Q53" s="53" t="str">
        <x:v>Delivery, overtime and specialist attachments</x:v>
      </x:c>
      <x:c r="R53" s="53" t="str">
        <x:v>Medium</x:v>
      </x:c>
      <x:c r="S53" s="53" t="str">
        <x:v>AMBER - historical benchmark only</x:v>
      </x:c>
      <x:c r="T53" s="54" t="str">
        <x:v>Verify against current project/company/supplier evidence before use.</x:v>
      </x:c>
    </x:row>
    <x:row r="54" ht="34" customHeight="1">
      <x:c r="A54" s="47" t="str">
        <x:v>HIST-MAT-AP65-01</x:v>
      </x:c>
      <x:c r="B54" s="48" t="str">
        <x:v>Material</x:v>
      </x:c>
      <x:c r="C54" s="48" t="str">
        <x:v>AP65 subbase aggregate - historical contractor benchmark</x:v>
      </x:c>
      <x:c r="D54" s="48" t="str">
        <x:v>Material</x:v>
      </x:c>
      <x:c r="E54" s="48" t="str">
        <x:v>t</x:v>
      </x:c>
      <x:c r="F54" s="48" t="str">
        <x:v>Merchant supply</x:v>
      </x:c>
      <x:c r="G54" s="48" t="str">
        <x:v>N/A</x:v>
      </x:c>
      <x:c r="H54" s="48" t="str">
        <x:v>N/A</x:v>
      </x:c>
      <x:c r="I54" s="52" t="n">
        <x:v>29</x:v>
      </x:c>
      <x:c r="J54" s="53" t="str">
        <x:v>Auckland</x:v>
      </x:c>
      <x:c r="K54" s="59" t="str">
        <x:v>17-Aug-2026</x:v>
      </x:c>
      <x:c r="L54" s="53" t="str">
        <x:v>Historical supplier benchmark (AMBER)</x:v>
      </x:c>
      <x:c r="M54" s="53" t="str">
        <x:v>Auckland quarry historical contractor basis</x:v>
      </x:c>
      <x:c r="N54" s="53" t="str">
        <x:v>HBR-005; comparison baseline MAT-AP65 = $30.50/t</x:v>
      </x:c>
      <x:c r="O54" s="53"/>
      <x:c r="P54" s="53" t="str">
        <x:v>Ex-quarry / base material allowance</x:v>
      </x:c>
      <x:c r="Q54" s="53" t="str">
        <x:v>Haul and placement; confirm whether historical contractor $/t basis includes T&amp;T direct delivery</x:v>
      </x:c>
      <x:c r="R54" s="53" t="str">
        <x:v>Medium</x:v>
      </x:c>
      <x:c r="S54" s="53" t="str">
        <x:v>AMBER - historical benchmark only</x:v>
      </x:c>
      <x:c r="T54" s="54" t="str">
        <x:v>Verify against current project/company/supplier evidence before use.</x:v>
      </x:c>
    </x:row>
    <x:row r="55" ht="34" customHeight="1">
      <x:c r="A55" s="47" t="str">
        <x:v>HIST-MAT-AP40-01</x:v>
      </x:c>
      <x:c r="B55" s="48" t="str">
        <x:v>Material</x:v>
      </x:c>
      <x:c r="C55" s="48" t="str">
        <x:v>AP40 / GAP40 basecourse aggregate - historical contractor benchmark</x:v>
      </x:c>
      <x:c r="D55" s="48" t="str">
        <x:v>Material</x:v>
      </x:c>
      <x:c r="E55" s="48" t="str">
        <x:v>t</x:v>
      </x:c>
      <x:c r="F55" s="48" t="str">
        <x:v>Merchant supply</x:v>
      </x:c>
      <x:c r="G55" s="48" t="str">
        <x:v>N/A</x:v>
      </x:c>
      <x:c r="H55" s="48" t="str">
        <x:v>N/A</x:v>
      </x:c>
      <x:c r="I55" s="52" t="n">
        <x:v>29</x:v>
      </x:c>
      <x:c r="J55" s="53" t="str">
        <x:v>Auckland</x:v>
      </x:c>
      <x:c r="K55" s="59" t="str">
        <x:v>17-Aug-2026</x:v>
      </x:c>
      <x:c r="L55" s="53" t="str">
        <x:v>Historical supplier benchmark (AMBER)</x:v>
      </x:c>
      <x:c r="M55" s="53" t="str">
        <x:v>Auckland quarry historical contractor basis</x:v>
      </x:c>
      <x:c r="N55" s="53" t="str">
        <x:v>HBR-006; comparison baseline MAT-AP40 = $31.00/t</x:v>
      </x:c>
      <x:c r="O55" s="53"/>
      <x:c r="P55" s="53" t="str">
        <x:v>Ex-quarry / base material allowance</x:v>
      </x:c>
      <x:c r="Q55" s="53" t="str">
        <x:v>Haul and placement; confirm whether historical contractor $/t basis includes T&amp;T direct delivery</x:v>
      </x:c>
      <x:c r="R55" s="53" t="str">
        <x:v>Medium</x:v>
      </x:c>
      <x:c r="S55" s="53" t="str">
        <x:v>AMBER - historical benchmark only</x:v>
      </x:c>
      <x:c r="T55" s="54" t="str">
        <x:v>Verify against current project/company/supplier evidence before use.</x:v>
      </x:c>
    </x:row>
    <x:row r="56" ht="34" customHeight="1">
      <x:c r="A56" s="47" t="str">
        <x:v>HIST-MAT-DRAINAGG-01</x:v>
      </x:c>
      <x:c r="B56" s="48" t="str">
        <x:v>Material</x:v>
      </x:c>
      <x:c r="C56" s="48" t="str">
        <x:v>Drainage aggregate - historical contractor benchmark</x:v>
      </x:c>
      <x:c r="D56" s="48" t="str">
        <x:v>Material</x:v>
      </x:c>
      <x:c r="E56" s="48" t="str">
        <x:v>t</x:v>
      </x:c>
      <x:c r="F56" s="48" t="str">
        <x:v>Merchant supply</x:v>
      </x:c>
      <x:c r="G56" s="48" t="str">
        <x:v>N/A</x:v>
      </x:c>
      <x:c r="H56" s="48" t="str">
        <x:v>N/A</x:v>
      </x:c>
      <x:c r="I56" s="52" t="n">
        <x:v>36</x:v>
      </x:c>
      <x:c r="J56" s="53" t="str">
        <x:v>Auckland</x:v>
      </x:c>
      <x:c r="K56" s="59" t="str">
        <x:v>17-Aug-2026</x:v>
      </x:c>
      <x:c r="L56" s="53" t="str">
        <x:v>Historical supplier benchmark (AMBER)</x:v>
      </x:c>
      <x:c r="M56" s="53" t="str">
        <x:v>Auckland quarry historical contractor basis</x:v>
      </x:c>
      <x:c r="N56" s="53" t="str">
        <x:v>HBR-007; comparison baseline MAT-DRAINAGG = $48.50/t</x:v>
      </x:c>
      <x:c r="O56" s="53"/>
      <x:c r="P56" s="53" t="str">
        <x:v>Aggregate</x:v>
      </x:c>
      <x:c r="Q56" s="53" t="str">
        <x:v>Haul and placement; confirm whether historical contractor $/t basis includes T&amp;T direct delivery</x:v>
      </x:c>
      <x:c r="R56" s="53" t="str">
        <x:v>Medium</x:v>
      </x:c>
      <x:c r="S56" s="53" t="str">
        <x:v>AMBER - historical benchmark only</x:v>
      </x:c>
      <x:c r="T56" s="54" t="str">
        <x:v>Verify against current project/company/supplier evidence before use.</x:v>
      </x:c>
    </x:row>
    <x:row r="57" ht="34" customHeight="1">
      <x:c r="A57" s="47" t="str">
        <x:v>HIST-MAT-SWMH-01</x:v>
      </x:c>
      <x:c r="B57" s="48" t="str">
        <x:v>Material</x:v>
      </x:c>
      <x:c r="C57" s="48" t="str">
        <x:v>Precast stormwater manhole set - historical contractor benchmark</x:v>
      </x:c>
      <x:c r="D57" s="48" t="str">
        <x:v>Material</x:v>
      </x:c>
      <x:c r="E57" s="48" t="str">
        <x:v>ea</x:v>
      </x:c>
      <x:c r="F57" s="48" t="str">
        <x:v>Precast supplier</x:v>
      </x:c>
      <x:c r="G57" s="48" t="str">
        <x:v>N/A</x:v>
      </x:c>
      <x:c r="H57" s="48" t="str">
        <x:v>N/A</x:v>
      </x:c>
      <x:c r="I57" s="52" t="n">
        <x:v>7000</x:v>
      </x:c>
      <x:c r="J57" s="53" t="str">
        <x:v>Auckland</x:v>
      </x:c>
      <x:c r="K57" s="59" t="str">
        <x:v>17-Aug-2026</x:v>
      </x:c>
      <x:c r="L57" s="53" t="str">
        <x:v>Historical contractor benchmark (AMBER)</x:v>
      </x:c>
      <x:c r="M57" s="53" t="str">
        <x:v>Internal historical contractor benchmark / authority requirement</x:v>
      </x:c>
      <x:c r="N57" s="53" t="str">
        <x:v>HBR-008; comparison baseline MAT-SWMH = $5,500/ea</x:v>
      </x:c>
      <x:c r="O57" s="53"/>
      <x:c r="P57" s="53" t="str">
        <x:v>Chamber, riser, lid and safety grate allowance</x:v>
      </x:c>
      <x:c r="Q57" s="53" t="str">
        <x:v>Excavation, concrete and installation</x:v>
      </x:c>
      <x:c r="R57" s="53" t="str">
        <x:v>Medium</x:v>
      </x:c>
      <x:c r="S57" s="53" t="str">
        <x:v>AMBER - historical benchmark only</x:v>
      </x:c>
      <x:c r="T57" s="54" t="str">
        <x:v>Verify against current project/company/supplier evidence before use.</x:v>
      </x:c>
    </x:row>
    <x:row r="58" ht="34" customHeight="1">
      <x:c r="A58" s="47" t="str">
        <x:v>HIST-OTH-FACILITIES-01</x:v>
      </x:c>
      <x:c r="B58" s="48" t="str">
        <x:v>Other</x:v>
      </x:c>
      <x:c r="C58" s="48" t="str">
        <x:v>Temporary facilities, utilities and welfare weekly allowance - historical benchmark</x:v>
      </x:c>
      <x:c r="D58" s="48" t="str">
        <x:v>Other</x:v>
      </x:c>
      <x:c r="E58" s="48" t="str">
        <x:v>week</x:v>
      </x:c>
      <x:c r="F58" s="48" t="str">
        <x:v>Job-specific / hire allowance</x:v>
      </x:c>
      <x:c r="G58" s="48" t="str">
        <x:v>N/A</x:v>
      </x:c>
      <x:c r="H58" s="48" t="str">
        <x:v>N/A</x:v>
      </x:c>
      <x:c r="I58" s="52" t="n">
        <x:v>410</x:v>
      </x:c>
      <x:c r="J58" s="53" t="str">
        <x:v>Auckland</x:v>
      </x:c>
      <x:c r="K58" s="59" t="str">
        <x:v>17-Aug-2026</x:v>
      </x:c>
      <x:c r="L58" s="53" t="str">
        <x:v>Historical contractor benchmark (AMBER)</x:v>
      </x:c>
      <x:c r="M58" s="53" t="str">
        <x:v>Internal historical contractor benchmark</x:v>
      </x:c>
      <x:c r="N58" s="53" t="str">
        <x:v>HBR-009; 20-week historical control = $8,200</x:v>
      </x:c>
      <x:c r="O58" s="53" t="str">
        <x:v>Confirm hire minimums and mobilisation</x:v>
      </x:c>
      <x:c r="P58" s="53" t="str">
        <x:v>Weekly facilities, toilet, temporary power/water and consumables allowance</x:v>
      </x:c>
      <x:c r="Q58" s="53" t="str">
        <x:v>Mobilisation, site-specific setup and abnormal servicing unless confirmed</x:v>
      </x:c>
      <x:c r="R58" s="53" t="str">
        <x:v>Medium</x:v>
      </x:c>
      <x:c r="S58" s="53" t="str">
        <x:v>AMBER - historical benchmark only</x:v>
      </x:c>
      <x:c r="T58" s="54" t="str">
        <x:v>Verify against current project/company/supplier evidence before use.</x:v>
      </x:c>
    </x:row>
    <x:row r="59" ht="34" customHeight="1">
      <x:c r="A59" s="47" t="str">
        <x:v>HIST-SUB-SURVEY-SET-01</x:v>
      </x:c>
      <x:c r="B59" s="48" t="str">
        <x:v>Subcontract</x:v>
      </x:c>
      <x:c r="C59" s="48" t="str">
        <x:v>Drainage construction setout package - historical benchmark</x:v>
      </x:c>
      <x:c r="D59" s="48" t="str">
        <x:v>Subcontract</x:v>
      </x:c>
      <x:c r="E59" s="48" t="str">
        <x:v>LS</x:v>
      </x:c>
      <x:c r="F59" s="48" t="str">
        <x:v>Specialist subcontract</x:v>
      </x:c>
      <x:c r="G59" s="48" t="str">
        <x:v>N/A</x:v>
      </x:c>
      <x:c r="H59" s="48" t="str">
        <x:v>N/A</x:v>
      </x:c>
      <x:c r="I59" s="52" t="n">
        <x:v>1500</x:v>
      </x:c>
      <x:c r="J59" s="53" t="str">
        <x:v>Auckland</x:v>
      </x:c>
      <x:c r="K59" s="59" t="str">
        <x:v>17-Aug-2026</x:v>
      </x:c>
      <x:c r="L59" s="53" t="str">
        <x:v>Historical supplier benchmark (AMBER)</x:v>
      </x:c>
      <x:c r="M59" s="53" t="str">
        <x:v>Historical survey supplier - identity withheld in client issue</x:v>
      </x:c>
      <x:c r="N59" s="53" t="str">
        <x:v>HBR-010; historical rate recorded excl. GST</x:v>
      </x:c>
      <x:c r="O59" s="53" t="str">
        <x:v>One drainage setout package</x:v>
      </x:c>
      <x:c r="P59" s="53" t="str">
        <x:v>Drainage construction setout</x:v>
      </x:c>
      <x:c r="Q59" s="53" t="str">
        <x:v>Other survey, rework, as-builts and additional visits</x:v>
      </x:c>
      <x:c r="R59" s="53" t="str">
        <x:v>Medium</x:v>
      </x:c>
      <x:c r="S59" s="53" t="str">
        <x:v>AMBER - historical benchmark only</x:v>
      </x:c>
      <x:c r="T59" s="54" t="str">
        <x:v>Verify against current project/company/supplier evidence before use.</x:v>
      </x:c>
    </x:row>
    <x:row r="60" ht="34" customHeight="1">
      <x:c r="A60" s="47" t="str">
        <x:v>HIST-SUB-SURVEY-ASB-01</x:v>
      </x:c>
      <x:c r="B60" s="48" t="str">
        <x:v>Subcontract</x:v>
      </x:c>
      <x:c r="C60" s="48" t="str">
        <x:v>Drainage as-built survey package - historical benchmark</x:v>
      </x:c>
      <x:c r="D60" s="48" t="str">
        <x:v>Subcontract</x:v>
      </x:c>
      <x:c r="E60" s="48" t="str">
        <x:v>LS</x:v>
      </x:c>
      <x:c r="F60" s="48" t="str">
        <x:v>Specialist subcontract</x:v>
      </x:c>
      <x:c r="G60" s="48" t="str">
        <x:v>N/A</x:v>
      </x:c>
      <x:c r="H60" s="48" t="str">
        <x:v>N/A</x:v>
      </x:c>
      <x:c r="I60" s="52" t="n">
        <x:v>2500</x:v>
      </x:c>
      <x:c r="J60" s="53" t="str">
        <x:v>Auckland</x:v>
      </x:c>
      <x:c r="K60" s="59" t="str">
        <x:v>17-Aug-2026</x:v>
      </x:c>
      <x:c r="L60" s="53" t="str">
        <x:v>Historical supplier benchmark (AMBER)</x:v>
      </x:c>
      <x:c r="M60" s="53" t="str">
        <x:v>Historical survey supplier - identity withheld in client issue</x:v>
      </x:c>
      <x:c r="N60" s="53" t="str">
        <x:v>HBR-011; historical rate recorded excl. GST</x:v>
      </x:c>
      <x:c r="O60" s="53" t="str">
        <x:v>One drainage as-built package</x:v>
      </x:c>
      <x:c r="P60" s="53" t="str">
        <x:v>Drainage as-built survey</x:v>
      </x:c>
      <x:c r="Q60" s="53" t="str">
        <x:v>Setout, other survey, rework and additional visits</x:v>
      </x:c>
      <x:c r="R60" s="53" t="str">
        <x:v>Medium</x:v>
      </x:c>
      <x:c r="S60" s="53" t="str">
        <x:v>AMBER - historical benchmark only</x:v>
      </x:c>
      <x:c r="T60" s="54" t="str">
        <x:v>Verify against current project/company/supplier evidence before use.</x:v>
      </x:c>
    </x:row>
    <x:row r="61" ht="34" customHeight="1">
      <x:c r="A61" s="47" t="str">
        <x:v>HIST-SUB-GPR-VISIT-01</x:v>
      </x:c>
      <x:c r="B61" s="48" t="str">
        <x:v>Subcontract</x:v>
      </x:c>
      <x:c r="C61" s="48" t="str">
        <x:v>GPR utility-locating visit - historical benchmark</x:v>
      </x:c>
      <x:c r="D61" s="48" t="str">
        <x:v>Subcontract</x:v>
      </x:c>
      <x:c r="E61" s="48" t="str">
        <x:v>visit</x:v>
      </x:c>
      <x:c r="F61" s="48" t="str">
        <x:v>Specialist subcontract</x:v>
      </x:c>
      <x:c r="G61" s="48" t="str">
        <x:v>N/A</x:v>
      </x:c>
      <x:c r="H61" s="48" t="str">
        <x:v>N/A</x:v>
      </x:c>
      <x:c r="I61" s="52" t="n">
        <x:v>250</x:v>
      </x:c>
      <x:c r="J61" s="53" t="str">
        <x:v>Auckland</x:v>
      </x:c>
      <x:c r="K61" s="59" t="str">
        <x:v>17-Aug-2026</x:v>
      </x:c>
      <x:c r="L61" s="53" t="str">
        <x:v>Historical supplier benchmark (AMBER)</x:v>
      </x:c>
      <x:c r="M61" s="53" t="str">
        <x:v>Historical utility-locating supplier - identity withheld in client issue</x:v>
      </x:c>
      <x:c r="N61" s="53" t="str">
        <x:v>HBR-012; historical commercial basis requires verification</x:v>
      </x:c>
      <x:c r="O61" s="53" t="str">
        <x:v>Per visit; minimums and mobilisation to confirm</x:v>
      </x:c>
      <x:c r="P61" s="53" t="str">
        <x:v>GPR utility-locating visit</x:v>
      </x:c>
      <x:c r="Q61" s="53" t="str">
        <x:v>Potholing, traffic management, additional visits and formal report unless confirmed</x:v>
      </x:c>
      <x:c r="R61" s="53" t="str">
        <x:v>Medium</x:v>
      </x:c>
      <x:c r="S61" s="53" t="str">
        <x:v>AMBER - historical benchmark only</x:v>
      </x:c>
      <x:c r="T61" s="54" t="str">
        <x:v>Verify against current project/company/supplier evidence before use.</x:v>
      </x:c>
    </x:row>
    <x:row r="62" ht="34" customHeight="1">
      <x:c r="A62" s="65" t="str">
        <x:v>HIST-SUB-TMP-DAY-01</x:v>
      </x:c>
      <x:c r="B62" s="66" t="str">
        <x:v>Subcontract</x:v>
      </x:c>
      <x:c r="C62" s="66" t="str">
        <x:v>Traffic management delivery day - historical benchmark</x:v>
      </x:c>
      <x:c r="D62" s="66" t="str">
        <x:v>Subcontract</x:v>
      </x:c>
      <x:c r="E62" s="66" t="str">
        <x:v>day</x:v>
      </x:c>
      <x:c r="F62" s="66" t="str">
        <x:v>Specialist subcontract</x:v>
      </x:c>
      <x:c r="G62" s="66" t="str">
        <x:v>Yes</x:v>
      </x:c>
      <x:c r="H62" s="66" t="str">
        <x:v>Yes</x:v>
      </x:c>
      <x:c r="I62" s="72" t="n">
        <x:v>1600</x:v>
      </x:c>
      <x:c r="J62" s="73" t="str">
        <x:v>Auckland</x:v>
      </x:c>
      <x:c r="K62" s="74" t="str">
        <x:v>17-Aug-2026</x:v>
      </x:c>
      <x:c r="L62" s="73" t="str">
        <x:v>Historical supplier benchmark (AMBER)</x:v>
      </x:c>
      <x:c r="M62" s="73" t="str">
        <x:v>Historical traffic-management supplier - identity withheld in client issue</x:v>
      </x:c>
      <x:c r="N62" s="73" t="str">
        <x:v>HBR-013; TMP plan/design additional</x:v>
      </x:c>
      <x:c r="O62" s="73" t="str">
        <x:v>Daily minimum; confirm working hours</x:v>
      </x:c>
      <x:c r="P62" s="73" t="str">
        <x:v>On-site traffic management delivery day</x:v>
      </x:c>
      <x:c r="Q62" s="73" t="str">
        <x:v>TMP plan/design, approvals, after-hours, fees and extensions</x:v>
      </x:c>
      <x:c r="R62" s="73" t="str">
        <x:v>Medium</x:v>
      </x:c>
      <x:c r="S62" s="73" t="str">
        <x:v>AMBER - historical benchmark only</x:v>
      </x:c>
      <x:c r="T62" s="75" t="str">
        <x:v>Verify against current project/company/supplier evidence before use.</x:v>
      </x:c>
    </x:row>
    <x:row r="63" ht="34" customHeight="1">
      <x:c r="A63" s="65" t="str">
        <x:v>HIST-SUB-LINEMARK-01</x:v>
      </x:c>
      <x:c r="B63" s="66" t="str">
        <x:v>Subcontract</x:v>
      </x:c>
      <x:c r="C63" s="66" t="str">
        <x:v>Standard line marking - historical benchmark</x:v>
      </x:c>
      <x:c r="D63" s="66" t="str">
        <x:v>Subcontract</x:v>
      </x:c>
      <x:c r="E63" s="66" t="str">
        <x:v>lm</x:v>
      </x:c>
      <x:c r="F63" s="66" t="str">
        <x:v>Specialist subcontract</x:v>
      </x:c>
      <x:c r="G63" s="66" t="str">
        <x:v>Yes</x:v>
      </x:c>
      <x:c r="H63" s="66" t="str">
        <x:v>Yes</x:v>
      </x:c>
      <x:c r="I63" s="72" t="n">
        <x:v>22</x:v>
      </x:c>
      <x:c r="J63" s="73" t="str">
        <x:v>Auckland</x:v>
      </x:c>
      <x:c r="K63" s="74" t="str">
        <x:v>17-Aug-2026</x:v>
      </x:c>
      <x:c r="L63" s="73" t="str">
        <x:v>Historical supplier benchmark (AMBER)</x:v>
      </x:c>
      <x:c r="M63" s="73" t="str">
        <x:v>Historical line-marking supplier - identity withheld in client issue</x:v>
      </x:c>
      <x:c r="N63" s="73" t="str">
        <x:v>HBR-014; historical line-marking benchmark</x:v>
      </x:c>
      <x:c r="O63" s="73" t="str">
        <x:v>Minimum job charge to confirm</x:v>
      </x:c>
      <x:c r="P63" s="73" t="str">
        <x:v>Standard line marking per lineal metre</x:v>
      </x:c>
      <x:c r="Q63" s="73" t="str">
        <x:v>Arrows, symbols, accessible markings, signs, preparation and traffic management unless quoted</x:v>
      </x:c>
      <x:c r="R63" s="73" t="str">
        <x:v>Medium</x:v>
      </x:c>
      <x:c r="S63" s="73" t="str">
        <x:v>AMBER - historical benchmark only</x:v>
      </x:c>
      <x:c r="T63" s="75" t="str">
        <x:v>Verify against current project/company/supplier evidence before use.</x:v>
      </x:c>
    </x:row>
    <x:row r="64" ht="19.200000762939453" customHeight="1">
      <x:c r="A64" s="65" t="str">
        <x:v>MAT-AP20</x:v>
      </x:c>
      <x:c r="B64" s="66" t="str">
        <x:v>Material</x:v>
      </x:c>
      <x:c r="C64" s="66" t="str">
        <x:v>AP20 / GAP20 basecourse aggregate</x:v>
      </x:c>
      <x:c r="D64" s="66" t="str">
        <x:v>Material</x:v>
      </x:c>
      <x:c r="E64" s="66" t="str">
        <x:v>t</x:v>
      </x:c>
      <x:c r="F64" s="66" t="str">
        <x:v>Merchant supply</x:v>
      </x:c>
      <x:c r="G64" s="66" t="str">
        <x:v>N/A</x:v>
      </x:c>
      <x:c r="H64" s="66" t="str">
        <x:v>N/A</x:v>
      </x:c>
      <x:c r="I64" s="72" t="n">
        <x:v>39.5</x:v>
      </x:c>
      <x:c r="J64" s="73" t="str">
        <x:v>Auckland</x:v>
      </x:c>
      <x:c r="K64" s="74" t="str">
        <x:v>11-May-2026</x:v>
      </x:c>
      <x:c r="L64" s="73" t="str">
        <x:v>Published supplier price</x:v>
      </x:c>
      <x:c r="M64" s="73" t="str">
        <x:v>The Urban Quarry - Onehunga</x:v>
      </x:c>
      <x:c r="N64" s="73" t="str">
        <x:v>https://www.urbanquarry.co.nz/pricelist-2-2</x:v>
      </x:c>
      <x:c r="O64" s="73"/>
      <x:c r="P64" s="73" t="str">
        <x:v>Ex-gate aggregate supply</x:v>
      </x:c>
      <x:c r="Q64" s="73" t="str">
        <x:v>GST, delivery/haul and placement</x:v>
      </x:c>
      <x:c r="R64" s="73" t="str">
        <x:v>High</x:v>
      </x:c>
      <x:c r="S64" s="73" t="str">
        <x:v>AMBER - current published price; delivered project quote required</x:v>
      </x:c>
      <x:c r="T64" s="75" t="str">
        <x:v>Valid from 11-May-2026 until further notice; current web check 06-Sep-2026.</x:v>
      </x:c>
    </x:row>
    <x:row r="65" ht="19.200000762939453" customHeight="1">
      <x:c r="A65" s="65" t="str">
        <x:v>MAT-MESH665</x:v>
      </x:c>
      <x:c r="B65" s="66" t="str">
        <x:v>Material</x:v>
      </x:c>
      <x:c r="C65" s="66" t="str">
        <x:v>665 reinforcing mesh 4.51m x 1.96m</x:v>
      </x:c>
      <x:c r="D65" s="66" t="str">
        <x:v>Material</x:v>
      </x:c>
      <x:c r="E65" s="66" t="str">
        <x:v>sheet</x:v>
      </x:c>
      <x:c r="F65" s="66" t="str">
        <x:v>Merchant supply</x:v>
      </x:c>
      <x:c r="G65" s="66" t="str">
        <x:v>N/A</x:v>
      </x:c>
      <x:c r="H65" s="66" t="str">
        <x:v>N/A</x:v>
      </x:c>
      <x:c r="I65" s="72" t="n">
        <x:v>62.5</x:v>
      </x:c>
      <x:c r="J65" s="73" t="str">
        <x:v>Auckland</x:v>
      </x:c>
      <x:c r="K65" s="74" t="str">
        <x:v>06-Sep-2026</x:v>
      </x:c>
      <x:c r="L65" s="73" t="str">
        <x:v>Current published supplier price</x:v>
      </x:c>
      <x:c r="M65" s="73" t="str">
        <x:v>Quality Steel Supplies Auckland</x:v>
      </x:c>
      <x:c r="N65" s="73" t="str">
        <x:v>https://qualitysteelsupplies.co.nz/shop/</x:v>
      </x:c>
      <x:c r="O65" s="73"/>
      <x:c r="P65" s="73" t="str">
        <x:v>665 mesh sheet supply</x:v>
      </x:c>
      <x:c r="Q65" s="73" t="str">
        <x:v>Delivery, laps/waste, chairs and installation</x:v>
      </x:c>
      <x:c r="R65" s="73" t="str">
        <x:v>High</x:v>
      </x:c>
      <x:c r="S65" s="73" t="str">
        <x:v>AMBER - current supplier price; project order/delivery quote required</x:v>
      </x:c>
      <x:c r="T65" s="75" t="str">
        <x:v>Current published price excl. GST. Effective cover/waste to be calculated in job build-up.</x:v>
      </x:c>
    </x:row>
    <x:row r="66" ht="19.200000762939453" customHeight="1">
      <x:c r="A66" s="65" t="str">
        <x:v>MAT-KEYSTONE-COMPAC</x:v>
      </x:c>
      <x:c r="B66" s="66" t="str">
        <x:v>Material</x:v>
      </x:c>
      <x:c r="C66" s="66" t="str">
        <x:v>Firth Keystone Compac III straight-face block</x:v>
      </x:c>
      <x:c r="D66" s="66" t="str">
        <x:v>Material</x:v>
      </x:c>
      <x:c r="E66" s="66" t="str">
        <x:v>ea</x:v>
      </x:c>
      <x:c r="F66" s="66" t="str">
        <x:v>Merchant / manufacturer supply</x:v>
      </x:c>
      <x:c r="G66" s="66" t="str">
        <x:v>N/A</x:v>
      </x:c>
      <x:c r="H66" s="66" t="str">
        <x:v>N/A</x:v>
      </x:c>
      <x:c r="I66" s="72" t="n">
        <x:v>19.35</x:v>
      </x:c>
      <x:c r="J66" s="73" t="str">
        <x:v>Auckland / NZ</x:v>
      </x:c>
      <x:c r="K66" s="74" t="str">
        <x:v>06-Sep-2026</x:v>
      </x:c>
      <x:c r="L66" s="73" t="str">
        <x:v>Current published market benchmark</x:v>
      </x:c>
      <x:c r="M66" s="73" t="str">
        <x:v>Mighty Outdoor; Firth technical cross-check</x:v>
      </x:c>
      <x:c r="N66" s="73" t="str">
        <x:v>https://www.mightyoutdoor.co.nz/retaining-wall-selection/firth-retaining-blocks/keycomiii.html | https://www.firth.co.nz/paving-and-retaining/retaining-and-fences/compac-iii</x:v>
      </x:c>
      <x:c r="O66" s="73"/>
      <x:c r="P66" s="73" t="str">
        <x:v>Straight-face Compac III block supply</x:v>
      </x:c>
      <x:c r="Q66" s="73" t="str">
        <x:v>Freight, pins, caps, corners, no-fines concrete and installation</x:v>
      </x:c>
      <x:c r="R66" s="73" t="str">
        <x:v>Medium</x:v>
      </x:c>
      <x:c r="S66" s="73" t="str">
        <x:v>AMBER - published market benchmark; project supplier quote required</x:v>
      </x:c>
      <x:c r="T66" s="75" t="str">
        <x:v>$22.25 incl. GST converted to $19.35 excl. GST; Bunnings current independent price is higher.</x:v>
      </x:c>
    </x:row>
    <x:row r="67" ht="19.200000762939453" customHeight="1">
      <x:c r="A67" s="65" t="str">
        <x:v>MAT-KEYSTONE-CAP</x:v>
      </x:c>
      <x:c r="B67" s="66" t="str">
        <x:v>Material</x:v>
      </x:c>
      <x:c r="C67" s="66" t="str">
        <x:v>Firth Keystone Compac III capping unit</x:v>
      </x:c>
      <x:c r="D67" s="66" t="str">
        <x:v>Material</x:v>
      </x:c>
      <x:c r="E67" s="66" t="str">
        <x:v>ea</x:v>
      </x:c>
      <x:c r="F67" s="66" t="str">
        <x:v>Merchant / manufacturer supply</x:v>
      </x:c>
      <x:c r="G67" s="66" t="str">
        <x:v>N/A</x:v>
      </x:c>
      <x:c r="H67" s="66" t="str">
        <x:v>N/A</x:v>
      </x:c>
      <x:c r="I67" s="72" t="n">
        <x:v>12.57</x:v>
      </x:c>
      <x:c r="J67" s="73" t="str">
        <x:v>Auckland / NZ</x:v>
      </x:c>
      <x:c r="K67" s="74" t="str">
        <x:v>06-Sep-2026</x:v>
      </x:c>
      <x:c r="L67" s="73" t="str">
        <x:v>Current published market benchmark</x:v>
      </x:c>
      <x:c r="M67" s="73" t="str">
        <x:v>Bunnings NZ; Firth technical cross-check</x:v>
      </x:c>
      <x:c r="N67" s="73" t="str">
        <x:v>https://www.bunnings.co.nz/firth-100-x-457-x-270mm-compac-iii-rockface-keystone-retaining-cap_p0271202 | https://www.firth.co.nz/paving-and-retaining/retaining-and-fences/compac-iii</x:v>
      </x:c>
      <x:c r="O67" s="73"/>
      <x:c r="P67" s="73" t="str">
        <x:v>Compac III cap supply</x:v>
      </x:c>
      <x:c r="Q67" s="73" t="str">
        <x:v>Freight, adhesive, blocks, corners and installation</x:v>
      </x:c>
      <x:c r="R67" s="73" t="str">
        <x:v>Medium</x:v>
      </x:c>
      <x:c r="S67" s="73" t="str">
        <x:v>AMBER - published market benchmark; project supplier quote required</x:v>
      </x:c>
      <x:c r="T67" s="75" t="str">
        <x:v>$14.45 incl. GST converted to $12.57 excl. GST. Confirm actual trade/supplier rate and colour.</x:v>
      </x:c>
    </x:row>
    <x:row r="68" ht="19.200000762939453" customHeight="1">
      <x:c r="A68" s="65" t="str">
        <x:v>PL-EXC-3-INHOUSE</x:v>
      </x:c>
      <x:c r="B68" s="66" t="str">
        <x:v>Plant</x:v>
      </x:c>
      <x:c r="C68" s="66" t="str">
        <x:v>3.0 t excavator in-house historical project rate - operator included</x:v>
      </x:c>
      <x:c r="D68" s="66" t="str">
        <x:v>Plant</x:v>
      </x:c>
      <x:c r="E68" s="66" t="str">
        <x:v>hr</x:v>
      </x:c>
      <x:c r="F68" s="66" t="str">
        <x:v>In-house / historical company-project control</x:v>
      </x:c>
      <x:c r="G68" s="66" t="str">
        <x:v>Yes</x:v>
      </x:c>
      <x:c r="H68" s="66" t="str">
        <x:v>Unclear - historical rate treated all-in; no separate fuel added</x:v>
      </x:c>
      <x:c r="I68" s="72" t="n">
        <x:v>97.5</x:v>
      </x:c>
      <x:c r="J68" s="73" t="str">
        <x:v>Auckland</x:v>
      </x:c>
      <x:c r="K68" s="74" t="str">
        <x:v>19-Mar-2026</x:v>
      </x:c>
      <x:c r="L68" s="73" t="str">
        <x:v>Historical project estimate / company control</x:v>
      </x:c>
      <x:c r="M68" s="73" t="str">
        <x:v>48 Eastglen Road - Blackline estimate cost tracker</x:v>
      </x:c>
      <x:c r="N68" s="73" t="str">
        <x:v>Blackline_Estimate_Cost_Tracker_48_Eastglen.xlsx / 48 Eastglen project</x:v>
      </x:c>
      <x:c r="O68" s="73"/>
      <x:c r="P68" s="73" t="str">
        <x:v>3.0t excavator historical direct project rate incl. operator</x:v>
      </x:c>
      <x:c r="Q68" s="73" t="str">
        <x:v>Specialist auger attachment, mobilisation, overtime; fuel basis not separately evidenced</x:v>
      </x:c>
      <x:c r="R68" s="73" t="str">
        <x:v>Medium</x:v>
      </x:c>
      <x:c r="S68" s="73" t="str">
        <x:v>AMBER - company comparable; current-project productivity/plant availability to verify</x:v>
      </x:c>
      <x:c r="T68" s="75" t="str">
        <x:v>Use only as an in-house self-perform control. Independent reasonableness check: current 5.5t wet hire = $110/hr; do not add a separate operator.</x:v>
      </x:c>
    </x:row>
    <x:row r="69" ht="19.200000762939453" customHeight="1">
      <x:c r="A69" s="65" t="str">
        <x:v>PL-AUGER-3T-INHOUSE</x:v>
      </x:c>
      <x:c r="B69" s="66" t="str">
        <x:v>Plant</x:v>
      </x:c>
      <x:c r="C69" s="66" t="str">
        <x:v>3 t excavator auger / drill attachment in-house historical project rate</x:v>
      </x:c>
      <x:c r="D69" s="66" t="str">
        <x:v>Plant</x:v>
      </x:c>
      <x:c r="E69" s="66" t="str">
        <x:v>hr</x:v>
      </x:c>
      <x:c r="F69" s="66" t="str">
        <x:v>In-house / historical company-project control</x:v>
      </x:c>
      <x:c r="G69" s="66" t="str">
        <x:v>N/A</x:v>
      </x:c>
      <x:c r="H69" s="66" t="str">
        <x:v>N/A</x:v>
      </x:c>
      <x:c r="I69" s="72" t="n">
        <x:v>22.5</x:v>
      </x:c>
      <x:c r="J69" s="73" t="str">
        <x:v>Auckland</x:v>
      </x:c>
      <x:c r="K69" s="74" t="str">
        <x:v>19-Mar-2026</x:v>
      </x:c>
      <x:c r="L69" s="73" t="str">
        <x:v>Historical project estimate / company control</x:v>
      </x:c>
      <x:c r="M69" s="73" t="str">
        <x:v>48 Eastglen Road - Blackline estimate cost tracker</x:v>
      </x:c>
      <x:c r="N69" s="73" t="str">
        <x:v>Blackline_Estimate_Cost_Tracker_48_Eastglen.xlsx / 48 Eastglen project</x:v>
      </x:c>
      <x:c r="O69" s="73"/>
      <x:c r="P69" s="73" t="str">
        <x:v>Auger / drill attachment historical project rate</x:v>
      </x:c>
      <x:c r="Q69" s="73" t="str">
        <x:v>Excavator, operator, mobilisation, extraordinary wear, specialist casing/formtube</x:v>
      </x:c>
      <x:c r="R69" s="73" t="str">
        <x:v>Medium</x:v>
      </x:c>
      <x:c r="S69" s="73" t="str">
        <x:v>AMBER - company comparable; confirm 450/500mm tooling and condition</x:v>
      </x:c>
      <x:c r="T69" s="75" t="str">
        <x:v>Eastglen comparable used 3t drill gear as a separate plant resource. Pair with PL-EXC-3-INHOUSE; do not duplicate machine/operator.</x:v>
      </x:c>
    </x:row>
    <x:row r="70" ht="19.200000762939453" customHeight="1">
      <x:c r="A70" s="65" t="str">
        <x:v>OTH-PORTABLE-TOILET</x:v>
      </x:c>
      <x:c r="B70" s="66" t="str">
        <x:v>Other</x:v>
      </x:c>
      <x:c r="C70" s="66" t="str">
        <x:v>Portable toilet hire and servicing - tender benchmark</x:v>
      </x:c>
      <x:c r="D70" s="66" t="str">
        <x:v>Other</x:v>
      </x:c>
      <x:c r="E70" s="66" t="str">
        <x:v>week</x:v>
      </x:c>
      <x:c r="F70" s="66" t="str">
        <x:v>Hire allowance</x:v>
      </x:c>
      <x:c r="G70" s="66" t="str">
        <x:v>N/A</x:v>
      </x:c>
      <x:c r="H70" s="66" t="str">
        <x:v>N/A</x:v>
      </x:c>
      <x:c r="I70" s="72" t="n">
        <x:v>120</x:v>
      </x:c>
      <x:c r="J70" s="73" t="str">
        <x:v>Auckland / NZ</x:v>
      </x:c>
      <x:c r="K70" s="74" t="str">
        <x:v>08-Sep-2026</x:v>
      </x:c>
      <x:c r="L70" s="73" t="str">
        <x:v>Reviewed comparable estimate allowance</x:v>
      </x:c>
      <x:c r="M70" s="73" t="str">
        <x:v>3Bears / Orion Point Stage 5</x:v>
      </x:c>
      <x:c r="N70" s="73" t="str">
        <x:v>Orion_Point_Stage5_Client_Estimate_Report_Draft.pdf</x:v>
      </x:c>
      <x:c r="O70" s="73" t="str">
        <x:v>Confirm delivery/pickup/servicing</x:v>
      </x:c>
      <x:c r="P70" s="73" t="str">
        <x:v>Portable toilet weekly hire/service allowance</x:v>
      </x:c>
      <x:c r="Q70" s="73" t="str">
        <x:v>Abnormal servicing, damage, relocation and project-specific supplier minimums</x:v>
      </x:c>
      <x:c r="R70" s="73" t="str">
        <x:v>Medium</x:v>
      </x:c>
      <x:c r="S70" s="73" t="str">
        <x:v>AMBER - comparable estimate benchmark</x:v>
      </x:c>
      <x:c r="T70" s="75" t="str">
        <x:v>Use as tender benchmark only; replace with Siteworks/supplier actual if provided.</x:v>
      </x:c>
    </x:row>
    <x:row r="71" ht="19.200000762939453" customHeight="1">
      <x:c r="A71" s="65" t="str">
        <x:v>OTH-SITE-LOCKUP</x:v>
      </x:c>
      <x:c r="B71" s="66" t="str">
        <x:v>Other</x:v>
      </x:c>
      <x:c r="C71" s="66" t="str">
        <x:v>20ft lockable container / site lockup - tender benchmark</x:v>
      </x:c>
      <x:c r="D71" s="66" t="str">
        <x:v>Other</x:v>
      </x:c>
      <x:c r="E71" s="66" t="str">
        <x:v>week</x:v>
      </x:c>
      <x:c r="F71" s="66" t="str">
        <x:v>Hire allowance</x:v>
      </x:c>
      <x:c r="G71" s="66" t="str">
        <x:v>N/A</x:v>
      </x:c>
      <x:c r="H71" s="66" t="str">
        <x:v>N/A</x:v>
      </x:c>
      <x:c r="I71" s="72" t="n">
        <x:v>175</x:v>
      </x:c>
      <x:c r="J71" s="73" t="str">
        <x:v>Auckland / NZ</x:v>
      </x:c>
      <x:c r="K71" s="74" t="str">
        <x:v>08-Sep-2026</x:v>
      </x:c>
      <x:c r="L71" s="73" t="str">
        <x:v>Reviewed comparable estimate allowance</x:v>
      </x:c>
      <x:c r="M71" s="73" t="str">
        <x:v>3Bears / Orion Point Stage 5</x:v>
      </x:c>
      <x:c r="N71" s="73" t="str">
        <x:v>Orion_Point_Stage5_Client_Estimate_Report_Draft.pdf</x:v>
      </x:c>
      <x:c r="O71" s="73" t="str">
        <x:v>Confirm delivery/pickup/minimum hire</x:v>
      </x:c>
      <x:c r="P71" s="73" t="str">
        <x:v>20ft lockable container / site lockup weekly allowance</x:v>
      </x:c>
      <x:c r="Q71" s="73" t="str">
        <x:v>Separate office cabin, abnormal delivery/craneage, power and security</x:v>
      </x:c>
      <x:c r="R71" s="73" t="str">
        <x:v>Medium</x:v>
      </x:c>
      <x:c r="S71" s="73" t="str">
        <x:v>AMBER - comparable estimate benchmark</x:v>
      </x:c>
      <x:c r="T71" s="75" t="str">
        <x:v>Use as tender benchmark only; replace with Siteworks/supplier actual if provided.</x:v>
      </x:c>
    </x:row>
    <x:row r="72" ht="19.200000762939453" customHeight="1">
      <x:c r="A72" s="65" t="str">
        <x:v>OTH-PLANT-TRANSPORT-PROXY</x:v>
      </x:c>
      <x:c r="B72" s="66" t="str">
        <x:v>Other</x:v>
      </x:c>
      <x:c r="C72" s="66" t="str">
        <x:v>Plant mobilisation / transporter wet-hire proxy</x:v>
      </x:c>
      <x:c r="D72" s="66" t="str">
        <x:v>Other</x:v>
      </x:c>
      <x:c r="E72" s="66" t="str">
        <x:v>hr</x:v>
      </x:c>
      <x:c r="F72" s="66" t="str">
        <x:v>Transport allowance</x:v>
      </x:c>
      <x:c r="G72" s="66" t="str">
        <x:v>Yes</x:v>
      </x:c>
      <x:c r="H72" s="66" t="str">
        <x:v>Yes</x:v>
      </x:c>
      <x:c r="I72" s="72" t="n">
        <x:v>175</x:v>
      </x:c>
      <x:c r="J72" s="73" t="str">
        <x:v>Auckland / NZ</x:v>
      </x:c>
      <x:c r="K72" s="74" t="str">
        <x:v>08-Sep-2026</x:v>
      </x:c>
      <x:c r="L72" s="73" t="str">
        <x:v>Current published supplier benchmark</x:v>
      </x:c>
      <x:c r="M72" s="73" t="str">
        <x:v>ASAP Machine Hire &amp; Earthworks</x:v>
      </x:c>
      <x:c r="N72" s="73" t="str">
        <x:v>https://www.asapmachinehire.co.nz/price-list</x:v>
      </x:c>
      <x:c r="O72" s="73" t="str">
        <x:v>Actual 5.5t+ transporter rates by quote</x:v>
      </x:c>
      <x:c r="P72" s="73" t="str">
        <x:v>Truck/trailer, driver and normal fuel benchmark</x:v>
      </x:c>
      <x:c r="Q72" s="73" t="str">
        <x:v>Heavy transporter premium, permits, escorts, waiting and abnormal access</x:v>
      </x:c>
      <x:c r="R72" s="73" t="str">
        <x:v>Medium</x:v>
      </x:c>
      <x:c r="S72" s="73" t="str">
        <x:v>AMBER - transport proxy / heavy transporter rate to verify</x:v>
      </x:c>
      <x:c r="T72" s="75" t="str">
        <x:v>Published truck-and-trailer wet-hire benchmark only. ASAP states 5.5t+ transporter rates are by quote.</x:v>
      </x:c>
    </x:row>
    <x:row r="73" ht="19.200000762939453" customHeight="1">
      <x:c r="A73" s="65" t="str">
        <x:v>MAT-SILTFENCE-50</x:v>
      </x:c>
      <x:c r="B73" s="66" t="str">
        <x:v>Material</x:v>
      </x:c>
      <x:c r="C73" s="66" t="str">
        <x:v>Cirtex premium silt fence 1.0 x 50m, code 76027</x:v>
      </x:c>
      <x:c r="D73" s="66" t="str">
        <x:v>Material</x:v>
      </x:c>
      <x:c r="E73" s="66" t="str">
        <x:v>roll</x:v>
      </x:c>
      <x:c r="F73" s="66" t="str">
        <x:v>Merchant supply</x:v>
      </x:c>
      <x:c r="G73" s="66" t="str">
        <x:v>N/A</x:v>
      </x:c>
      <x:c r="H73" s="66" t="str">
        <x:v>N/A</x:v>
      </x:c>
      <x:c r="I73" s="72" t="n">
        <x:v>87.07</x:v>
      </x:c>
      <x:c r="J73" s="73" t="str">
        <x:v>Auckland / NZ</x:v>
      </x:c>
      <x:c r="K73" s="74" t="str">
        <x:v>08-Sep-2026</x:v>
      </x:c>
      <x:c r="L73" s="73" t="str">
        <x:v>Current account pricebook</x:v>
      </x:c>
      <x:c r="M73" s="73" t="str">
        <x:v>CARTERS / Cirtex 76027</x:v>
      </x:c>
      <x:c r="N73" s="73" t="str">
        <x:v>CARTERS Standard Price Book export 08-Sep-2026</x:v>
      </x:c>
      <x:c r="O73" s="73" t="str">
        <x:v>50m roll</x:v>
      </x:c>
      <x:c r="P73" s="73" t="str">
        <x:v>Fabric supply only</x:v>
      </x:c>
      <x:c r="Q73" s="73" t="str">
        <x:v>Posts, wire, clips/pins, caps, delivery and installation</x:v>
      </x:c>
      <x:c r="R73" s="73" t="str">
        <x:v>High</x:v>
      </x:c>
      <x:c r="S73" s="73" t="str">
        <x:v>GREEN - current account rate + independent current retail + quantity check</x:v>
      </x:c>
      <x:c r="T73" s="75" t="str">
        <x:v>CARTERS $87.07/roll excl GST. Independent Mitre10 $72.98. https://www.mitre10.co.nz/shop/strol-cirtex-silt-fence-woven-silt-sediment-control-fabric-1m-x-50m-black/p/228126</x:v>
      </x:c>
    </x:row>
    <x:row r="74" ht="19.200000762939453" customHeight="1">
      <x:c r="A74" s="65" t="str">
        <x:v>MAT-YPOST-180</x:v>
      </x:c>
      <x:c r="B74" s="66" t="str">
        <x:v>Material</x:v>
      </x:c>
      <x:c r="C74" s="66" t="str">
        <x:v>Fencing standard Y post 1.80m</x:v>
      </x:c>
      <x:c r="D74" s="66" t="str">
        <x:v>Material</x:v>
      </x:c>
      <x:c r="E74" s="66" t="str">
        <x:v>ea</x:v>
      </x:c>
      <x:c r="F74" s="66" t="str">
        <x:v>Merchant supply</x:v>
      </x:c>
      <x:c r="G74" s="66" t="str">
        <x:v>N/A</x:v>
      </x:c>
      <x:c r="H74" s="66" t="str">
        <x:v>N/A</x:v>
      </x:c>
      <x:c r="I74" s="72" t="n">
        <x:v>12.8</x:v>
      </x:c>
      <x:c r="J74" s="73" t="str">
        <x:v>Auckland / NZ</x:v>
      </x:c>
      <x:c r="K74" s="74" t="str">
        <x:v>08-Sep-2026</x:v>
      </x:c>
      <x:c r="L74" s="73" t="str">
        <x:v>Current account pricebook</x:v>
      </x:c>
      <x:c r="M74" s="73" t="str">
        <x:v>CARTERS</x:v>
      </x:c>
      <x:c r="N74" s="73" t="str">
        <x:v>CARTERS Standard Price Book export 08-Sep-2026</x:v>
      </x:c>
      <x:c r="O74" s="73" t="str">
        <x:v>Each</x:v>
      </x:c>
      <x:c r="P74" s="73" t="str">
        <x:v>1.8m Y post supply</x:v>
      </x:c>
      <x:c r="Q74" s="73" t="str">
        <x:v>Safety cap, delivery and installation</x:v>
      </x:c>
      <x:c r="R74" s="73" t="str">
        <x:v>High</x:v>
      </x:c>
      <x:c r="S74" s="73" t="str">
        <x:v>GREEN - current account rate + independent retail + spacing check</x:v>
      </x:c>
      <x:c r="T74" s="75" t="str">
        <x:v>CARTERS $12.80/ea excl GST. Bunnings current $11.93. https://www.bunnings.co.nz/summit-steel-wire-1-8m-black-y-post_p0814015</x:v>
      </x:c>
    </x:row>
    <x:row r="75" ht="19.200000762939453" customHeight="1">
      <x:c r="A75" s="65" t="str">
        <x:v>MAT-YPOST-CAP</x:v>
      </x:c>
      <x:c r="B75" s="66" t="str">
        <x:v>Material</x:v>
      </x:c>
      <x:c r="C75" s="66" t="str">
        <x:v>Safety cap for starter / Y post</x:v>
      </x:c>
      <x:c r="D75" s="66" t="str">
        <x:v>Material</x:v>
      </x:c>
      <x:c r="E75" s="66" t="str">
        <x:v>ea</x:v>
      </x:c>
      <x:c r="F75" s="66" t="str">
        <x:v>Merchant supply</x:v>
      </x:c>
      <x:c r="G75" s="66" t="str">
        <x:v>N/A</x:v>
      </x:c>
      <x:c r="H75" s="66" t="str">
        <x:v>N/A</x:v>
      </x:c>
      <x:c r="I75" s="72" t="n">
        <x:v>0.98</x:v>
      </x:c>
      <x:c r="J75" s="73" t="str">
        <x:v>Auckland / NZ</x:v>
      </x:c>
      <x:c r="K75" s="74" t="str">
        <x:v>08-Sep-2026</x:v>
      </x:c>
      <x:c r="L75" s="73" t="str">
        <x:v>Current account pricebook</x:v>
      </x:c>
      <x:c r="M75" s="73" t="str">
        <x:v>CARTERS</x:v>
      </x:c>
      <x:c r="N75" s="73" t="str">
        <x:v>CARTERS Standard Price Book export 08-Sep-2026</x:v>
      </x:c>
      <x:c r="O75" s="73" t="str">
        <x:v>Each</x:v>
      </x:c>
      <x:c r="P75" s="73" t="str">
        <x:v>Safety cap supply</x:v>
      </x:c>
      <x:c r="Q75" s="73" t="str">
        <x:v>Post and installation</x:v>
      </x:c>
      <x:c r="R75" s="73" t="str">
        <x:v>Medium</x:v>
      </x:c>
      <x:c r="S75" s="73" t="str">
        <x:v>AMBER - current primary price / independent direct price incomplete</x:v>
      </x:c>
      <x:c r="T75" s="75" t="str">
        <x:v>One cap per Y post.</x:v>
      </x:c>
    </x:row>
    <x:row r="76" ht="19.200000762939453" customHeight="1">
      <x:c r="A76" s="65" t="str">
        <x:v>MAT-WIRE-HT650</x:v>
      </x:c>
      <x:c r="B76" s="66" t="str">
        <x:v>Material</x:v>
      </x:c>
      <x:c r="C76" s="66" t="str">
        <x:v>Premium fencing wire 2.5mm HT, 25kg / 650m coil</x:v>
      </x:c>
      <x:c r="D76" s="66" t="str">
        <x:v>Material</x:v>
      </x:c>
      <x:c r="E76" s="66" t="str">
        <x:v>coil</x:v>
      </x:c>
      <x:c r="F76" s="66" t="str">
        <x:v>Merchant supply</x:v>
      </x:c>
      <x:c r="G76" s="66" t="str">
        <x:v>N/A</x:v>
      </x:c>
      <x:c r="H76" s="66" t="str">
        <x:v>N/A</x:v>
      </x:c>
      <x:c r="I76" s="72" t="n">
        <x:v>114.91</x:v>
      </x:c>
      <x:c r="J76" s="73" t="str">
        <x:v>Auckland / NZ</x:v>
      </x:c>
      <x:c r="K76" s="74" t="str">
        <x:v>08-Sep-2026</x:v>
      </x:c>
      <x:c r="L76" s="73" t="str">
        <x:v>Current account pricebook</x:v>
      </x:c>
      <x:c r="M76" s="73" t="str">
        <x:v>CARTERS</x:v>
      </x:c>
      <x:c r="N76" s="73" t="str">
        <x:v>CARTERS Standard Price Book export 08-Sep-2026</x:v>
      </x:c>
      <x:c r="O76" s="73" t="str">
        <x:v>650m coil</x:v>
      </x:c>
      <x:c r="P76" s="73" t="str">
        <x:v>High-tensile support wire</x:v>
      </x:c>
      <x:c r="Q76" s="73" t="str">
        <x:v>Fixings and installation</x:v>
      </x:c>
      <x:c r="R76" s="73" t="str">
        <x:v>Medium</x:v>
      </x:c>
      <x:c r="S76" s="73" t="str">
        <x:v>AMBER - current primary price</x:v>
      </x:c>
      <x:c r="T76" s="75" t="str">
        <x:v>One coil exceeds current working fence length and leaves repair reserve.</x:v>
      </x:c>
    </x:row>
    <x:row r="77" ht="19.200000762939453" customHeight="1">
      <x:c r="A77" s="65" t="str">
        <x:v>MAT-SILTFENCE-PINS100</x:v>
      </x:c>
      <x:c r="B77" s="66" t="str">
        <x:v>Material</x:v>
      </x:c>
      <x:c r="C77" s="66" t="str">
        <x:v>Cirtex 75mm SiltFence pins - 100 pack</x:v>
      </x:c>
      <x:c r="D77" s="66" t="str">
        <x:v>Material</x:v>
      </x:c>
      <x:c r="E77" s="66" t="str">
        <x:v>bag</x:v>
      </x:c>
      <x:c r="F77" s="66" t="str">
        <x:v>Retail / merchant</x:v>
      </x:c>
      <x:c r="G77" s="66" t="str">
        <x:v>N/A</x:v>
      </x:c>
      <x:c r="H77" s="66" t="str">
        <x:v>N/A</x:v>
      </x:c>
      <x:c r="I77" s="72" t="n">
        <x:v>27</x:v>
      </x:c>
      <x:c r="J77" s="73" t="str">
        <x:v>NZ / Auckland</x:v>
      </x:c>
      <x:c r="K77" s="74" t="str">
        <x:v>09-Sep-2026</x:v>
      </x:c>
      <x:c r="L77" s="73" t="str">
        <x:v>Current published retail</x:v>
      </x:c>
      <x:c r="M77" s="73" t="str">
        <x:v>Bunnings NZ / Cirtex 76062</x:v>
      </x:c>
      <x:c r="N77" s="73" t="str">
        <x:v>https://www.bunnings.co.nz/search/products?q=siltfence+pack</x:v>
      </x:c>
      <x:c r="O77" s="73" t="str">
        <x:v>100 pins/bag</x:v>
      </x:c>
      <x:c r="P77" s="73" t="str">
        <x:v>Pins for fixing fence fabric to support wire</x:v>
      </x:c>
      <x:c r="Q77" s="73" t="str">
        <x:v>Delivery and installation</x:v>
      </x:c>
      <x:c r="R77" s="73" t="str">
        <x:v>Medium</x:v>
      </x:c>
      <x:c r="S77" s="73" t="str">
        <x:v>AMBER - current retail / project merchant quote not held</x:v>
      </x:c>
      <x:c r="T77" s="75" t="str">
        <x:v>Cirtex guidance permits pins/clips; high-tensile wire basis uses up to 500mm fixing spacing.</x:v>
      </x:c>
    </x:row>
    <x:row r="78" ht="19.200000762939453" customHeight="1">
      <x:c r="A78" s="65" t="str">
        <x:v>MAT-WIRE-STRAINER</x:v>
      </x:c>
      <x:c r="B78" s="66" t="str">
        <x:v>Material</x:v>
      </x:c>
      <x:c r="C78" s="66" t="str">
        <x:v>Wire strainer clip-lock type</x:v>
      </x:c>
      <x:c r="D78" s="66" t="str">
        <x:v>Material</x:v>
      </x:c>
      <x:c r="E78" s="66" t="str">
        <x:v>ea</x:v>
      </x:c>
      <x:c r="F78" s="66" t="str">
        <x:v>Merchant supply</x:v>
      </x:c>
      <x:c r="G78" s="66" t="str">
        <x:v>N/A</x:v>
      </x:c>
      <x:c r="H78" s="66" t="str">
        <x:v>N/A</x:v>
      </x:c>
      <x:c r="I78" s="72" t="n">
        <x:v>4.88</x:v>
      </x:c>
      <x:c r="J78" s="73" t="str">
        <x:v>Auckland / NZ</x:v>
      </x:c>
      <x:c r="K78" s="74" t="str">
        <x:v>08-Sep-2026</x:v>
      </x:c>
      <x:c r="L78" s="73" t="str">
        <x:v>Current account pricebook</x:v>
      </x:c>
      <x:c r="M78" s="73" t="str">
        <x:v>CARTERS / Strainrite</x:v>
      </x:c>
      <x:c r="N78" s="73" t="str">
        <x:v>CARTERS Standard Price Book export 08-Sep-2026</x:v>
      </x:c>
      <x:c r="O78" s="73" t="str">
        <x:v>Each</x:v>
      </x:c>
      <x:c r="P78" s="73" t="str">
        <x:v>Wire strainer supply</x:v>
      </x:c>
      <x:c r="Q78" s="73" t="str">
        <x:v>Installation</x:v>
      </x:c>
      <x:c r="R78" s="73" t="str">
        <x:v>Medium</x:v>
      </x:c>
      <x:c r="S78" s="73" t="str">
        <x:v>AMBER - current primary / functional equivalent</x:v>
      </x:c>
      <x:c r="T78" s="75" t="str">
        <x:v>Cirtex calculator calls for one wire strainer per 25m; exact proprietary strainer not project-specified.</x:v>
      </x:c>
    </x:row>
    <x:row r="79" ht="19.200000762939453" customHeight="1">
      <x:c r="A79" s="65" t="str">
        <x:v>MAT-GEOTEX-AS280ROLL</x:v>
      </x:c>
      <x:c r="B79" s="66" t="str">
        <x:v>Material</x:v>
      </x:c>
      <x:c r="C79" s="66" t="str">
        <x:v>Duraforce AS280 geotextile 1.9 x 50m roll, code 76021</x:v>
      </x:c>
      <x:c r="D79" s="66" t="str">
        <x:v>Material</x:v>
      </x:c>
      <x:c r="E79" s="66" t="str">
        <x:v>roll</x:v>
      </x:c>
      <x:c r="F79" s="66" t="str">
        <x:v>Merchant supply</x:v>
      </x:c>
      <x:c r="G79" s="66" t="str">
        <x:v>N/A</x:v>
      </x:c>
      <x:c r="H79" s="66" t="str">
        <x:v>N/A</x:v>
      </x:c>
      <x:c r="I79" s="72" t="n">
        <x:v>176.64</x:v>
      </x:c>
      <x:c r="J79" s="73" t="str">
        <x:v>Auckland / NZ</x:v>
      </x:c>
      <x:c r="K79" s="74" t="str">
        <x:v>08-Sep-2026</x:v>
      </x:c>
      <x:c r="L79" s="73" t="str">
        <x:v>Current account pricebook</x:v>
      </x:c>
      <x:c r="M79" s="73" t="str">
        <x:v>CARTERS / Cirtex</x:v>
      </x:c>
      <x:c r="N79" s="73" t="str">
        <x:v>CARTERS Standard Price Book export 08-Sep-2026</x:v>
      </x:c>
      <x:c r="O79" s="73" t="str">
        <x:v>95m2 roll</x:v>
      </x:c>
      <x:c r="P79" s="73" t="str">
        <x:v>Geotextile material</x:v>
      </x:c>
      <x:c r="Q79" s="73" t="str">
        <x:v>Delivery and placement</x:v>
      </x:c>
      <x:c r="R79" s="73" t="str">
        <x:v>Medium</x:v>
      </x:c>
      <x:c r="S79" s="73" t="str">
        <x:v>AMBER - current primary / final approved geotextile grade to confirm</x:v>
      </x:c>
      <x:c r="T79" s="75" t="str">
        <x:v>One roll covers 49m2 entrance including overlaps/cuts.</x:v>
      </x:c>
    </x:row>
    <x:row r="80" ht="19.200000762939453" customHeight="1">
      <x:c r="A80" s="65" t="str">
        <x:v>MAT-ESC-AGG15050</x:v>
      </x:c>
      <x:c r="B80" s="66" t="str">
        <x:v>Material</x:v>
      </x:c>
      <x:c r="C80" s="66" t="str">
        <x:v>SGC 150/50 aggregate - stabilised entrance size control</x:v>
      </x:c>
      <x:c r="D80" s="66" t="str">
        <x:v>Material</x:v>
      </x:c>
      <x:c r="E80" s="66" t="str">
        <x:v>t</x:v>
      </x:c>
      <x:c r="F80" s="66" t="str">
        <x:v>Quarry supply</x:v>
      </x:c>
      <x:c r="G80" s="66" t="str">
        <x:v>N/A</x:v>
      </x:c>
      <x:c r="H80" s="66" t="str">
        <x:v>N/A</x:v>
      </x:c>
      <x:c r="I80" s="72" t="n">
        <x:v>42</x:v>
      </x:c>
      <x:c r="J80" s="73" t="str">
        <x:v>Auckland / NZ</x:v>
      </x:c>
      <x:c r="K80" s="74" t="str">
        <x:v>09-Sep-2026</x:v>
      </x:c>
      <x:c r="L80" s="73" t="str">
        <x:v>Current published quarry price</x:v>
      </x:c>
      <x:c r="M80" s="73" t="str">
        <x:v>The Landing Quarry - Mangere</x:v>
      </x:c>
      <x:c r="N80" s="73" t="str">
        <x:v>https://www.thelandingquarry.co.nz/products</x:v>
      </x:c>
      <x:c r="O80" s="73" t="str">
        <x:v>Ex-gate; published density 1.05t/m3</x:v>
      </x:c>
      <x:c r="P80" s="73" t="str">
        <x:v>150/50 aggregate supply</x:v>
      </x:c>
      <x:c r="Q80" s="73" t="str">
        <x:v>Delivery, placement; washed status/project acceptance not explicitly confirmed</x:v>
      </x:c>
      <x:c r="R80" s="73" t="str">
        <x:v>Medium</x:v>
      </x:c>
      <x:c r="S80" s="73" t="str">
        <x:v>AMBER - exact size current / washed status and delivery to confirm</x:v>
      </x:c>
      <x:c r="T80" s="75" t="str">
        <x:v>DWG241 requires 50-150mm washed aggregate. Published SGC150/50 matches size; source warns engineering gradings require project testing/confirmation.</x:v>
      </x:c>
    </x:row>
    <x:row r="81" ht="19.200000762939453" customHeight="1">
      <x:c r="A81" s="65"/>
      <x:c r="B81" s="66"/>
      <x:c r="C81" s="66"/>
      <x:c r="D81" s="66"/>
      <x:c r="E81" s="66"/>
      <x:c r="F81" s="66"/>
      <x:c r="G81" s="66"/>
      <x:c r="H81" s="66"/>
      <x:c r="I81" s="72"/>
      <x:c r="J81" s="73"/>
      <x:c r="K81" s="74"/>
      <x:c r="L81" s="73"/>
      <x:c r="M81" s="73"/>
      <x:c r="N81" s="73"/>
      <x:c r="O81" s="73"/>
      <x:c r="P81" s="73"/>
      <x:c r="Q81" s="73"/>
      <x:c r="R81" s="73"/>
      <x:c r="S81" s="73"/>
      <x:c r="T81" s="75"/>
    </x:row>
    <x:row r="82" ht="19.200000762939453" customHeight="1">
      <x:c r="A82" s="65"/>
      <x:c r="B82" s="66"/>
      <x:c r="C82" s="66"/>
      <x:c r="D82" s="66"/>
      <x:c r="E82" s="66"/>
      <x:c r="F82" s="66"/>
      <x:c r="G82" s="66"/>
      <x:c r="H82" s="66"/>
      <x:c r="I82" s="72"/>
      <x:c r="J82" s="73"/>
      <x:c r="K82" s="74"/>
      <x:c r="L82" s="73"/>
      <x:c r="M82" s="73"/>
      <x:c r="N82" s="73"/>
      <x:c r="O82" s="73"/>
      <x:c r="P82" s="73"/>
      <x:c r="Q82" s="73"/>
      <x:c r="R82" s="73"/>
      <x:c r="S82" s="73"/>
      <x:c r="T82" s="75"/>
    </x:row>
    <x:row r="83" ht="19.200000762939453" customHeight="1">
      <x:c r="A83" s="65"/>
      <x:c r="B83" s="66"/>
      <x:c r="C83" s="66"/>
      <x:c r="D83" s="66"/>
      <x:c r="E83" s="66"/>
      <x:c r="F83" s="66"/>
      <x:c r="G83" s="66"/>
      <x:c r="H83" s="66"/>
      <x:c r="I83" s="72"/>
      <x:c r="J83" s="73"/>
      <x:c r="K83" s="74"/>
      <x:c r="L83" s="73"/>
      <x:c r="M83" s="73"/>
      <x:c r="N83" s="73"/>
      <x:c r="O83" s="73"/>
      <x:c r="P83" s="73"/>
      <x:c r="Q83" s="73"/>
      <x:c r="R83" s="73"/>
      <x:c r="S83" s="73"/>
      <x:c r="T83" s="75"/>
    </x:row>
    <x:row r="84" ht="19.200000762939453" customHeight="1">
      <x:c r="A84" s="65"/>
      <x:c r="B84" s="66"/>
      <x:c r="C84" s="66"/>
      <x:c r="D84" s="66"/>
      <x:c r="E84" s="66"/>
      <x:c r="F84" s="66"/>
      <x:c r="G84" s="66"/>
      <x:c r="H84" s="66"/>
      <x:c r="I84" s="72"/>
      <x:c r="J84" s="73"/>
      <x:c r="K84" s="74"/>
      <x:c r="L84" s="73"/>
      <x:c r="M84" s="73"/>
      <x:c r="N84" s="73"/>
      <x:c r="O84" s="73"/>
      <x:c r="P84" s="73"/>
      <x:c r="Q84" s="73"/>
      <x:c r="R84" s="73"/>
      <x:c r="S84" s="73"/>
      <x:c r="T84" s="75"/>
    </x:row>
    <x:row r="85" ht="19.200000762939453" customHeight="1">
      <x:c r="A85" s="67"/>
      <x:c r="B85" s="68"/>
      <x:c r="C85" s="68"/>
      <x:c r="D85" s="68"/>
      <x:c r="E85" s="68"/>
      <x:c r="F85" s="68"/>
      <x:c r="G85" s="68"/>
      <x:c r="H85" s="68"/>
      <x:c r="I85" s="76"/>
      <x:c r="J85" s="77"/>
      <x:c r="K85" s="78"/>
      <x:c r="L85" s="77"/>
      <x:c r="M85" s="77"/>
      <x:c r="N85" s="77"/>
      <x:c r="O85" s="77"/>
      <x:c r="P85" s="77"/>
      <x:c r="Q85" s="77"/>
      <x:c r="R85" s="77"/>
      <x:c r="S85" s="77"/>
      <x:c r="T85" s="79"/>
    </x:row>
  </x:sheetData>
  <x:mergeCells>
    <x:mergeCell ref="A1:T1"/>
    <x:mergeCell ref="A2:T2"/>
    <x:mergeCell ref="A3:T3"/>
  </x:mergeCells>
  <x:dataValidations count="4">
    <x:dataValidation type="list" sqref="D5:D85">
      <x:formula1>"Labour,Plant,Material,Subcontract,Cartage,Disposal,Testing,Other"</x:formula1>
    </x:dataValidation>
    <x:dataValidation type="list" sqref="G5:H85">
      <x:formula1>"Yes,No,N/A"</x:formula1>
    </x:dataValidation>
    <x:dataValidation type="list" sqref="R5:R85">
      <x:formula1>"High,Medium,Low,Quote-backed,Not assessed"</x:formula1>
    </x:dataValidation>
    <x:dataValidation type="list" sqref="S5:S85">
      <x:formula1>"Verified,Rate required,Quote required,Expired / Reverify,Do not use"</x:formula1>
    </x:dataValidation>
  </x:dataValidations>
  <x:pageMargins left="0.7" right="0.7" top="0.75" bottom="0.75" header="0.3" footer="0.3"/>
</x:worksheet>
</file>

<file path=xl/worksheets/sheet8.xml><?xml version="1.0" encoding="utf-8"?>
<x:worksheet xmlns:x="http://schemas.openxmlformats.org/spreadsheetml/2006/main">
  <x:sheetFormatPr defaultRowHeight="13.800000190734863"/>
  <x:cols>
    <x:col min="1" max="1" width="17" customWidth="1"/>
    <x:col min="2" max="2" width="12" customWidth="1"/>
    <x:col min="3" max="3" width="37.19921875" customWidth="1"/>
    <x:col min="4" max="4" width="55.19921875" customWidth="1"/>
    <x:col min="5" max="6" width="10" customWidth="1"/>
    <x:col min="7" max="7" width="14" customWidth="1"/>
    <x:col min="8" max="8" width="81.5" customWidth="1"/>
    <x:col min="9" max="13" width="14" customWidth="1"/>
    <x:col min="14" max="14" width="29.59765625" customWidth="1"/>
    <x:col min="15" max="16" width="15" customWidth="1"/>
    <x:col min="17" max="17" width="30" customWidth="1"/>
    <x:col min="18" max="19" width="15" customWidth="1"/>
    <x:col min="20" max="20" width="12" customWidth="1"/>
    <x:col min="21" max="22" width="11" customWidth="1"/>
    <x:col min="23" max="26" width="14" customWidth="1"/>
    <x:col min="27" max="27" width="27" customWidth="1"/>
    <x:col min="28" max="28" width="52.8984375" customWidth="1"/>
    <x:col min="29" max="32" width="13" customWidth="1"/>
    <x:col min="33" max="33" width="52.5" customWidth="1"/>
    <x:col min="34" max="34" width="12" customWidth="1"/>
    <x:col min="35" max="35" width="30" customWidth="1"/>
    <x:col min="36" max="36" width="24" customWidth="1"/>
    <x:col min="37" max="37" width="16" hidden="0" customWidth="1"/>
    <x:col min="38" max="38" width="34" hidden="0" customWidth="1"/>
    <x:col min="39" max="39" width="44" hidden="0" customWidth="1"/>
    <x:col min="40" max="40" width="20" hidden="0" customWidth="1"/>
  </x:cols>
  <x:sheetData>
    <x:row r="1" ht="22.5" customHeight="1">
      <x:c r="A1" s="234" t="str">
        <x:v>RESOURCE BUILD-UP - MASTER ESTIMATE WORKBOOK REV4 - LINKED COST / DURATION FORMULAS</x:v>
      </x:c>
      <x:c r="B1" s="234"/>
      <x:c r="C1" s="234"/>
      <x:c r="D1" s="234"/>
      <x:c r="E1" s="234"/>
      <x:c r="F1" s="234"/>
      <x:c r="G1" s="234"/>
      <x:c r="H1" s="234"/>
      <x:c r="I1" s="234"/>
      <x:c r="J1" s="234"/>
      <x:c r="K1" s="234"/>
      <x:c r="L1" s="234"/>
      <x:c r="M1" s="234"/>
      <x:c r="N1" s="234"/>
      <x:c r="O1" s="234"/>
      <x:c r="P1" s="234"/>
      <x:c r="Q1" s="234"/>
      <x:c r="R1" s="234"/>
      <x:c r="S1" s="234"/>
      <x:c r="T1" s="234"/>
      <x:c r="U1" s="234"/>
      <x:c r="V1" s="234"/>
      <x:c r="W1" s="234"/>
      <x:c r="X1" s="234"/>
      <x:c r="Y1" s="234"/>
      <x:c r="Z1" s="234"/>
      <x:c r="AA1" s="234"/>
      <x:c r="AB1" s="234"/>
      <x:c r="AC1" s="234"/>
      <x:c r="AD1" s="234"/>
      <x:c r="AE1" s="234"/>
      <x:c r="AF1" s="234"/>
      <x:c r="AG1" s="234"/>
      <x:c r="AH1" s="234"/>
      <x:c r="AI1" s="234"/>
      <x:c r="AJ1" s="234"/>
    </x:row>
    <x:row r="2" s="3" customFormat="1" ht="21.149999618530273" customHeight="1">
      <x:c r="A2" s="232" t="str">
        <x:v>Every active QS Code must have resource rows here. Extended Cost totals by QS Code are pulled into QS Takeoff; do not type a second QS rate or amount.</x:v>
      </x:c>
      <x:c r="B2" s="232"/>
      <x:c r="C2" s="232"/>
      <x:c r="D2" s="232"/>
      <x:c r="E2" s="232"/>
      <x:c r="F2" s="232"/>
      <x:c r="G2" s="232"/>
      <x:c r="H2" s="232"/>
      <x:c r="I2" s="232"/>
      <x:c r="J2" s="232"/>
      <x:c r="K2" s="232"/>
      <x:c r="L2" s="232"/>
      <x:c r="M2" s="232"/>
      <x:c r="N2" s="232"/>
      <x:c r="O2" s="232"/>
      <x:c r="P2" s="232"/>
      <x:c r="Q2" s="232"/>
      <x:c r="R2" s="232"/>
      <x:c r="S2" s="232"/>
      <x:c r="T2" s="232"/>
      <x:c r="U2" s="232"/>
      <x:c r="V2" s="232"/>
      <x:c r="W2" s="232"/>
      <x:c r="X2" s="232"/>
      <x:c r="Y2" s="232"/>
      <x:c r="Z2" s="232"/>
      <x:c r="AA2" s="232"/>
      <x:c r="AB2" s="232"/>
      <x:c r="AC2" s="232"/>
      <x:c r="AD2" s="232"/>
      <x:c r="AE2" s="232"/>
      <x:c r="AF2" s="232"/>
      <x:c r="AG2" s="232"/>
      <x:c r="AH2" s="232"/>
      <x:c r="AI2" s="232"/>
      <x:c r="AJ2" s="232"/>
    </x:row>
    <x:row r="3" s="3" customFormat="1" ht="21.149999618530273" customHeight="1">
      <x:c r="A3" s="233" t="s">
        <x:v>466</x:v>
      </x:c>
      <x:c r="B3" s="233"/>
      <x:c r="C3" s="233"/>
      <x:c r="D3" s="233"/>
      <x:c r="E3" s="233"/>
      <x:c r="F3" s="233"/>
      <x:c r="G3" s="233"/>
      <x:c r="H3" s="233"/>
      <x:c r="I3" s="233"/>
      <x:c r="J3" s="233"/>
      <x:c r="K3" s="233"/>
      <x:c r="L3" s="233"/>
      <x:c r="M3" s="233"/>
      <x:c r="N3" s="233"/>
      <x:c r="O3" s="233"/>
      <x:c r="P3" s="233"/>
      <x:c r="Q3" s="233"/>
      <x:c r="R3" s="233"/>
      <x:c r="S3" s="233"/>
      <x:c r="T3" s="233"/>
      <x:c r="U3" s="233"/>
      <x:c r="V3" s="233"/>
      <x:c r="W3" s="233"/>
      <x:c r="X3" s="233"/>
      <x:c r="Y3" s="233"/>
      <x:c r="Z3" s="233"/>
      <x:c r="AA3" s="233"/>
      <x:c r="AB3" s="233"/>
      <x:c r="AC3" s="233"/>
      <x:c r="AD3" s="233"/>
      <x:c r="AE3" s="233"/>
      <x:c r="AF3" s="233"/>
      <x:c r="AG3" s="233"/>
      <x:c r="AH3" s="233"/>
      <x:c r="AI3" s="233"/>
      <x:c r="AJ3" s="233"/>
    </x:row>
    <x:row r="4" s="3" customFormat="1" ht="21.149999618530273" customHeight="1">
      <x:c r="A4" s="235" t="str">
        <x:v>Calculation modes: Time x Count; QS Qty x Factor; Direct Qty; Lump Sum / Quote. Duration is derived from quantity/productivity or explicitly overridden where sequencing requires it.</x:v>
      </x:c>
      <x:c r="B4" s="235"/>
      <x:c r="C4" s="235"/>
      <x:c r="D4" s="235"/>
      <x:c r="E4" s="235"/>
      <x:c r="F4" s="235"/>
      <x:c r="G4" s="235"/>
      <x:c r="H4" s="235"/>
      <x:c r="I4" s="235"/>
      <x:c r="J4" s="235"/>
      <x:c r="K4" s="235"/>
      <x:c r="L4" s="235"/>
      <x:c r="M4" s="235"/>
      <x:c r="N4" s="235"/>
      <x:c r="O4" s="235"/>
      <x:c r="P4" s="235"/>
      <x:c r="Q4" s="235"/>
      <x:c r="R4" s="235"/>
      <x:c r="S4" s="235"/>
      <x:c r="T4" s="235"/>
      <x:c r="U4" s="235"/>
      <x:c r="V4" s="235"/>
      <x:c r="W4" s="235"/>
      <x:c r="X4" s="235"/>
      <x:c r="Y4" s="235"/>
      <x:c r="Z4" s="235"/>
      <x:c r="AA4" s="235"/>
      <x:c r="AB4" s="235"/>
      <x:c r="AC4" s="235"/>
      <x:c r="AD4" s="235"/>
      <x:c r="AE4" s="235"/>
      <x:c r="AF4" s="235"/>
      <x:c r="AG4" s="235"/>
      <x:c r="AH4" s="235"/>
      <x:c r="AI4" s="235"/>
      <x:c r="AJ4" s="235"/>
    </x:row>
    <x:row r="5" ht="34" customHeight="1">
      <x:c r="A5" s="467" t="str">
        <x:v>Weather controls: AK:AM are estimator inputs; AN is formula-controlled exposed Labour/Plant cost feeding Weather Risk. Materials, fixed subcontract and Other costs are excluded from direct weather productivity by default.</x:v>
      </x:c>
      <x:c r="B5" s="467"/>
      <x:c r="C5" s="467"/>
      <x:c r="D5" s="467"/>
      <x:c r="E5" s="467"/>
      <x:c r="F5" s="467"/>
      <x:c r="G5" s="467"/>
      <x:c r="H5" s="467"/>
      <x:c r="I5" s="467"/>
      <x:c r="J5" s="467"/>
      <x:c r="K5" s="467"/>
      <x:c r="L5" s="467"/>
      <x:c r="M5" s="467"/>
      <x:c r="N5" s="467"/>
      <x:c r="O5" s="467"/>
      <x:c r="P5" s="467"/>
      <x:c r="Q5" s="467"/>
      <x:c r="R5" s="467"/>
      <x:c r="S5" s="467"/>
      <x:c r="T5" s="467"/>
      <x:c r="U5" s="467"/>
      <x:c r="V5" s="467"/>
      <x:c r="W5" s="467"/>
      <x:c r="X5" s="467"/>
      <x:c r="Y5" s="467"/>
      <x:c r="Z5" s="467"/>
      <x:c r="AA5" s="467"/>
      <x:c r="AB5" s="467"/>
      <x:c r="AC5" s="467"/>
      <x:c r="AD5" s="467"/>
      <x:c r="AE5" s="467"/>
      <x:c r="AF5" s="467"/>
      <x:c r="AG5" s="467"/>
      <x:c r="AH5" s="467"/>
      <x:c r="AI5" s="467"/>
      <x:c r="AJ5" s="467"/>
      <x:c r="AK5" s="467"/>
      <x:c r="AL5" s="467"/>
      <x:c r="AM5" s="467"/>
      <x:c r="AN5" s="467"/>
    </x:row>
    <x:row r="6" s="3" customFormat="1" ht="25.950000762939453" customHeight="1">
      <x:c r="A6" s="173" t="s">
        <x:v>467</x:v>
      </x:c>
      <x:c r="B6" s="174" t="s">
        <x:v>468</x:v>
      </x:c>
      <x:c r="C6" s="174" t="s">
        <x:v>469</x:v>
      </x:c>
      <x:c r="D6" s="174" t="s">
        <x:v>470</x:v>
      </x:c>
      <x:c r="E6" s="174" t="s">
        <x:v>471</x:v>
      </x:c>
      <x:c r="F6" s="174" t="s">
        <x:v>472</x:v>
      </x:c>
      <x:c r="G6" s="174" t="s">
        <x:v>473</x:v>
      </x:c>
      <x:c r="H6" s="174" t="s">
        <x:v>474</x:v>
      </x:c>
      <x:c r="I6" s="174" t="s">
        <x:v>475</x:v>
      </x:c>
      <x:c r="J6" s="174" t="s">
        <x:v>476</x:v>
      </x:c>
      <x:c r="K6" s="174" t="s">
        <x:v>477</x:v>
      </x:c>
      <x:c r="L6" s="174" t="s">
        <x:v>478</x:v>
      </x:c>
      <x:c r="M6" s="174" t="s">
        <x:v>479</x:v>
      </x:c>
      <x:c r="N6" s="174" t="s">
        <x:v>480</x:v>
      </x:c>
      <x:c r="O6" s="174" t="s">
        <x:v>481</x:v>
      </x:c>
      <x:c r="P6" s="174" t="s">
        <x:v>254</x:v>
      </x:c>
      <x:c r="Q6" s="174" t="s">
        <x:v>256</x:v>
      </x:c>
      <x:c r="R6" s="174" t="s">
        <x:v>482</x:v>
      </x:c>
      <x:c r="S6" s="174" t="s">
        <x:v>483</x:v>
      </x:c>
      <x:c r="T6" s="174" t="s">
        <x:v>484</x:v>
      </x:c>
      <x:c r="U6" s="174" t="s">
        <x:v>485</x:v>
      </x:c>
      <x:c r="V6" s="174" t="s">
        <x:v>486</x:v>
      </x:c>
      <x:c r="W6" s="174" t="s">
        <x:v>487</x:v>
      </x:c>
      <x:c r="X6" s="174" t="s">
        <x:v>488</x:v>
      </x:c>
      <x:c r="Y6" s="174" t="s">
        <x:v>489</x:v>
      </x:c>
      <x:c r="Z6" s="174" t="s">
        <x:v>490</x:v>
      </x:c>
      <x:c r="AA6" s="174" t="s">
        <x:v>491</x:v>
      </x:c>
      <x:c r="AB6" s="174" t="s">
        <x:v>492</x:v>
      </x:c>
      <x:c r="AC6" s="174" t="s">
        <x:v>493</x:v>
      </x:c>
      <x:c r="AD6" s="174" t="s">
        <x:v>259</x:v>
      </x:c>
      <x:c r="AE6" s="174" t="s">
        <x:v>260</x:v>
      </x:c>
      <x:c r="AF6" s="174" t="s">
        <x:v>269</x:v>
      </x:c>
      <x:c r="AG6" s="174" t="s">
        <x:v>494</x:v>
      </x:c>
      <x:c r="AH6" s="174" t="s">
        <x:v>495</x:v>
      </x:c>
      <x:c r="AI6" s="174" t="s">
        <x:v>496</x:v>
      </x:c>
      <x:c r="AJ6" s="175" t="s">
        <x:v>16</x:v>
      </x:c>
      <x:c r="AK6" s="581" t="str">
        <x:v>Weather Exposed?</x:v>
      </x:c>
      <x:c r="AL6" s="581" t="str">
        <x:v>Weather Task Type</x:v>
      </x:c>
      <x:c r="AM6" s="581" t="str">
        <x:v>Weather Basis / Status</x:v>
      </x:c>
      <x:c r="AN6" s="581" t="str">
        <x:v>Weather-Exposed Labour + Plant Cost</x:v>
      </x:c>
    </x:row>
    <x:row r="7" ht="22.049999237060547" customHeight="1">
      <x:c r="A7" s="80" t="str">
        <x:f>IF(B7="","",B7&amp;"-"&amp;TEXT(COUNTIF($B$7:B7,B7),"000"))</x:f>
        <x:v>EW01-001</x:v>
      </x:c>
      <x:c r="B7" s="53" t="str">
        <x:v>EW01</x:v>
      </x:c>
      <x:c r="C7" s="81" t="str">
        <x:f>IFERROR(INDEX('QS Takeoff'!$A$3:$A$194,MATCH(B7,'QS Takeoff'!$B$3:$B$194,0)),"")</x:f>
        <x:v>Earthworks</x:v>
      </x:c>
      <x:c r="D7" s="81" t="str">
        <x:f>IFERROR(INDEX('QS Takeoff'!$C$3:$C$194,MATCH(B7,'QS Takeoff'!$B$3:$B$194,0)),"")</x:f>
        <x:v>Site clearance / surface strip within earthworks area</x:v>
      </x:c>
      <x:c r="E7" s="81" t="n">
        <x:f>IFERROR(INDEX('QS Takeoff'!$E$3:$E$194,MATCH(B7,'QS Takeoff'!$B$3:$B$194,0)),"")</x:f>
        <x:v>2105</x:v>
      </x:c>
      <x:c r="F7" s="81" t="str">
        <x:f>IFERROR(INDEX('QS Takeoff'!$D$3:$D$194,MATCH(B7,'QS Takeoff'!$B$3:$B$194,0)),"")</x:f>
        <x:v>m2</x:v>
      </x:c>
      <x:c r="G7" s="81" t="str">
        <x:f>IFERROR(INDEX('QS Takeoff'!$J$3:$J$194,MATCH(B7,'QS Takeoff'!$B$3:$B$194,0)),"")</x:f>
        <x:v>AMBER - CURRENT AREA / EARTHWORKS VOLUME CONFLICT RED</x:v>
      </x:c>
      <x:c r="H7" s="53" t="str">
        <x:v>Clear/surface strip workfront</x:v>
      </x:c>
      <x:c r="I7" s="60" t="n">
        <x:v>80</x:v>
      </x:c>
      <x:c r="J7" s="60" t="str">
        <x:v>m2/hr</x:v>
      </x:c>
      <x:c r="K7" s="82" t="n">
        <x:f t="shared" ref="K7:K70" si="0">IF(OR(B7="",I7="",I7=0),"",E7/I7)</x:f>
        <x:v>26.3125</x:v>
      </x:c>
      <x:c r="L7" s="60"/>
      <x:c r="M7" s="82" t="n">
        <x:f t="shared" ref="M7:M70" si="1">IF(L7&gt;0,L7,K7)</x:f>
        <x:v>26.3125</x:v>
      </x:c>
      <x:c r="N7" s="53" t="str">
        <x:v>Time x Count</x:v>
      </x:c>
      <x:c r="O7" s="53" t="str">
        <x:v>Plant</x:v>
      </x:c>
      <x:c r="P7" s="53" t="str">
        <x:v>PL-EXC-13</x:v>
      </x:c>
      <x:c r="Q7" s="81" t="str">
        <x:f>IFERROR(INDEX('Resource Rate Library'!$C$5:$C$85,MATCH(P7,'Resource Rate Library'!$A$5:$A$85,0)),"")</x:f>
        <x:v>14 t excavator wet hire</x:v>
      </x:c>
      <x:c r="R7" s="53" t="n">
        <x:v>1</x:v>
      </x:c>
      <x:c r="S7" s="53"/>
      <x:c r="T7" s="81" t="str">
        <x:f>IFERROR(INDEX('Resource Rate Library'!$E$5:$E$85,MATCH(P7,'Resource Rate Library'!$A$5:$A$85,0)),"")</x:f>
        <x:v>hr</x:v>
      </x:c>
      <x:c r="U7" s="62" t="n">
        <x:v>1</x:v>
      </x:c>
      <x:c r="V7" s="62" t="n">
        <x:v>0</x:v>
      </x:c>
      <x:c r="W7" s="83" t="n">
        <x:f>IFERROR(INDEX('Resource Rate Library'!$I$5:$I$85,MATCH(P7,'Resource Rate Library'!$A$5:$A$85,0)),0)</x:f>
        <x:v>150</x:v>
      </x:c>
      <x:c r="X7" s="52"/>
      <x:c r="Y7" s="83" t="n">
        <x:f t="shared" ref="Y7:Y70" si="2">IF(X7&gt;0,X7,W7)</x:f>
        <x:v>150</x:v>
      </x:c>
      <x:c r="Z7" s="83" t="n">
        <x:f t="shared" ref="Z7:Z70" si="3">IF(B7="","",IF(N7="Time x Count",M7*R7*IF(U7="",1,U7)*Y7,IF(N7="QS Qty x Factor",E7*R7*(1+IF(V7="",0,V7))*Y7,IF(N7="Direct Qty",S7*(1+IF(V7="",0,V7))*Y7,IF(N7="Lump Sum / Quote",S7*Y7,0)))))</x:f>
        <x:v>3946.875</x:v>
      </x:c>
      <x:c r="AA7" s="81" t="str">
        <x:f>IFERROR(INDEX('Resource Rate Library'!$N$5:$N$85,MATCH(P7,'Resource Rate Library'!$A$5:$A$85,0)),"")</x:f>
        <x:v>https://www.asapmachinehire.co.nz/price-list | https://www.nzmachinehire.co.nz/_files/ugd/d7f8c7_1379402df1a242f88fef70fc3ce1475c.pdf</x:v>
      </x:c>
      <x:c r="AB7" s="53" t="str">
        <x:v>Architectural A1 Rev17 11-Sep-2026: current earthworks area 2,105m2; productivity/rate basis otherwise unchanged.</x:v>
      </x:c>
      <x:c r="AC7" s="59" t="str">
        <x:v>11-Sep-2026</x:v>
      </x:c>
      <x:c r="AD7" s="81" t="str">
        <x:f>IFERROR(INDEX('Resource Rate Library'!$G$5:$G$85,MATCH(P7,'Resource Rate Library'!$A$5:$A$85,0)),"")</x:f>
        <x:v>Yes</x:v>
      </x:c>
      <x:c r="AE7" s="81" t="str">
        <x:f>IFERROR(INDEX('Resource Rate Library'!$H$5:$H$85,MATCH(P7,'Resource Rate Library'!$A$5:$A$85,0)),"")</x:f>
        <x:v>Yes</x:v>
      </x:c>
      <x:c r="AF7" s="53" t="str">
        <x:v>AMBER - CURRENT REV17 AREA / PRODUCTIVITY VERIFY</x:v>
      </x:c>
      <x:c r="AG7" s="53" t="str">
        <x:v>2,105m2 current area. Bulk cut/fill quantity conflict is tracked separately under RFI-15; do not alter this surface-strip method to force the mass balance.</x:v>
      </x:c>
      <x:c r="AH7" s="53" t="str">
        <x:v>No</x:v>
      </x:c>
      <x:c r="AI7" s="81" t="str">
        <x:f t="shared" ref="AI7:AI27" si="4">IF(B7="","",IF(AND(P7="",N7&lt;&gt;"Lump Sum / Quote"),"RESOURCE CODE",IF(Y7=0,"RATE MISSING",IF(AND(O7="Plant",AD7="Yes",COUNTIFS($B$7:$B$306,B7,$O$7:$O$306,"Labour",$Q$7:$Q$306,"*Operator*")&gt;0),"OPERATOR DOUBLE-COUNT",IF(AND(O7="Plant",AE7="Yes",COUNTIFS($B$7:$B$306,B7,$Q$7:$Q$306,"*Fuel*")&gt;0),"FUEL DOUBLE-COUNT",IF(AH7&lt;&gt;"Yes","VERIFY","OK"))))))</x:f>
        <x:v>VERIFY</x:v>
      </x:c>
      <x:c r="AJ7" s="54" t="str">
        <x:v>Rev17 supersedes Rev16 area quantity. Rate/productivity unchanged.</x:v>
      </x:c>
      <x:c r="AK7" s="473" t="str">
        <x:v>Yes</x:v>
      </x:c>
      <x:c r="AL7" s="473" t="str">
        <x:v>Earthworks</x:v>
      </x:c>
      <x:c r="AM7" s="473" t="str">
        <x:v>AMBER - weather exposed task</x:v>
      </x:c>
      <x:c r="AN7" s="500" t="n">
        <x:f>IF(AND(AK7="Yes",OR(O7="Labour",O7="Plant")),Z7,0)</x:f>
        <x:v>3946.875</x:v>
      </x:c>
    </x:row>
    <x:row r="8" ht="22.049999237060547" customHeight="1">
      <x:c r="A8" s="80" t="str">
        <x:f>IF(B8="","",B8&amp;"-"&amp;TEXT(COUNTIF($B$7:B8,B8),"000"))</x:f>
        <x:v>EW01-002</x:v>
      </x:c>
      <x:c r="B8" s="53" t="str">
        <x:v>EW01</x:v>
      </x:c>
      <x:c r="C8" s="81" t="str">
        <x:f>IFERROR(INDEX('QS Takeoff'!$A$3:$A$194,MATCH(B8,'QS Takeoff'!$B$3:$B$194,0)),"")</x:f>
        <x:v>Earthworks</x:v>
      </x:c>
      <x:c r="D8" s="81" t="str">
        <x:f>IFERROR(INDEX('QS Takeoff'!$C$3:$C$194,MATCH(B8,'QS Takeoff'!$B$3:$B$194,0)),"")</x:f>
        <x:v>Site clearance / surface strip within earthworks area</x:v>
      </x:c>
      <x:c r="E8" s="81" t="n">
        <x:f>IFERROR(INDEX('QS Takeoff'!$E$3:$E$194,MATCH(B8,'QS Takeoff'!$B$3:$B$194,0)),"")</x:f>
        <x:v>2105</x:v>
      </x:c>
      <x:c r="F8" s="81" t="str">
        <x:f>IFERROR(INDEX('QS Takeoff'!$D$3:$D$194,MATCH(B8,'QS Takeoff'!$B$3:$B$194,0)),"")</x:f>
        <x:v>m2</x:v>
      </x:c>
      <x:c r="G8" s="81" t="str">
        <x:f>IFERROR(INDEX('QS Takeoff'!$J$3:$J$194,MATCH(B8,'QS Takeoff'!$B$3:$B$194,0)),"")</x:f>
        <x:v>AMBER - CURRENT AREA / EARTHWORKS VOLUME CONFLICT RED</x:v>
      </x:c>
      <x:c r="H8" s="53" t="str">
        <x:v>Clear/surface strip labour support</x:v>
      </x:c>
      <x:c r="I8" s="60" t="n">
        <x:v>80</x:v>
      </x:c>
      <x:c r="J8" s="60" t="str">
        <x:v>m2/hr</x:v>
      </x:c>
      <x:c r="K8" s="82" t="n">
        <x:f t="shared" si="0">IF(OR(B8="",I8="",I8=0),"",E8/I8)</x:f>
        <x:v>26.3125</x:v>
      </x:c>
      <x:c r="L8" s="60"/>
      <x:c r="M8" s="82" t="n">
        <x:f t="shared" si="1">IF(L8&gt;0,L8,K8)</x:f>
        <x:v>26.3125</x:v>
      </x:c>
      <x:c r="N8" s="53" t="str">
        <x:v>Time x Count</x:v>
      </x:c>
      <x:c r="O8" s="53" t="str">
        <x:v>Labour</x:v>
      </x:c>
      <x:c r="P8" s="53" t="str">
        <x:v>LAB-LABOURER</x:v>
      </x:c>
      <x:c r="Q8" s="81" t="str">
        <x:f>IFERROR(INDEX('Resource Rate Library'!$C$5:$C$85,MATCH(P8,'Resource Rate Library'!$A$5:$A$85,0)),"")</x:f>
        <x:v>Civil labourer</x:v>
      </x:c>
      <x:c r="R8" s="53" t="n">
        <x:v>1</x:v>
      </x:c>
      <x:c r="S8" s="53"/>
      <x:c r="T8" s="81" t="str">
        <x:f>IFERROR(INDEX('Resource Rate Library'!$E$5:$E$85,MATCH(P8,'Resource Rate Library'!$A$5:$A$85,0)),"")</x:f>
        <x:v>hr</x:v>
      </x:c>
      <x:c r="U8" s="62" t="n">
        <x:v>1</x:v>
      </x:c>
      <x:c r="V8" s="62" t="n">
        <x:v>0</x:v>
      </x:c>
      <x:c r="W8" s="83" t="n">
        <x:f>IFERROR(INDEX('Resource Rate Library'!$I$5:$I$85,MATCH(P8,'Resource Rate Library'!$A$5:$A$85,0)),0)</x:f>
        <x:v>38</x:v>
      </x:c>
      <x:c r="X8" s="52"/>
      <x:c r="Y8" s="83" t="n">
        <x:f t="shared" si="2">IF(X8&gt;0,X8,W8)</x:f>
        <x:v>38</x:v>
      </x:c>
      <x:c r="Z8" s="83" t="n">
        <x:f t="shared" si="3">IF(B8="","",IF(N8="Time x Count",M8*R8*IF(U8="",1,U8)*Y8,IF(N8="QS Qty x Factor",E8*R8*(1+IF(V8="",0,V8))*Y8,IF(N8="Direct Qty",S8*(1+IF(V8="",0,V8))*Y8,IF(N8="Lump Sum / Quote",S8*Y8,0)))))</x:f>
        <x:v>999.875</x:v>
      </x:c>
      <x:c r="AA8" s="81" t="str">
        <x:f>IFERROR(INDEX('Resource Rate Library'!$N$5:$N$85,MATCH(P8,'Resource Rate Library'!$A$5:$A$85,0)),"")</x:f>
        <x:v>https://nz.seek.com/civil-drainage-jobs/in-All-Auckland | https://nz.seek.com/drainage-foreman-jobs/in-All-Auckland/full-time</x:v>
      </x:c>
      <x:c r="AB8" s="53" t="str">
        <x:v>Architectural A1 Rev17 11-Sep-2026: current earthworks area 2,105m2; productivity/rate basis otherwise unchanged.</x:v>
      </x:c>
      <x:c r="AC8" s="59" t="str">
        <x:v>11-Sep-2026</x:v>
      </x:c>
      <x:c r="AD8" s="81" t="str">
        <x:f>IFERROR(INDEX('Resource Rate Library'!$G$5:$G$85,MATCH(P8,'Resource Rate Library'!$A$5:$A$85,0)),"")</x:f>
        <x:v>N/A</x:v>
      </x:c>
      <x:c r="AE8" s="81" t="str">
        <x:f>IFERROR(INDEX('Resource Rate Library'!$H$5:$H$85,MATCH(P8,'Resource Rate Library'!$A$5:$A$85,0)),"")</x:f>
        <x:v>N/A</x:v>
      </x:c>
      <x:c r="AF8" s="53" t="str">
        <x:v>AMBER - CURRENT REV17 AREA / PRODUCTIVITY VERIFY</x:v>
      </x:c>
      <x:c r="AG8" s="53" t="str">
        <x:v>2,105m2 current area. Bulk cut/fill quantity conflict is tracked separately under RFI-15; do not alter this surface-strip method to force the mass balance.</x:v>
      </x:c>
      <x:c r="AH8" s="53" t="str">
        <x:v>No</x:v>
      </x:c>
      <x:c r="AI8" s="81" t="str">
        <x:f t="shared" si="4"/>
        <x:v>VERIFY</x:v>
      </x:c>
      <x:c r="AJ8" s="54" t="str">
        <x:v>Rev17 supersedes Rev16 area quantity. Rate/productivity unchanged.</x:v>
      </x:c>
      <x:c r="AK8" s="473" t="str">
        <x:v>Yes</x:v>
      </x:c>
      <x:c r="AL8" s="473" t="str">
        <x:v>Earthworks</x:v>
      </x:c>
      <x:c r="AM8" s="473" t="str">
        <x:v>AMBER - weather exposed task</x:v>
      </x:c>
      <x:c r="AN8" s="500" t="n">
        <x:f>IF(AND(AK8="Yes",OR(O8="Labour",O8="Plant")),Z8,0)</x:f>
        <x:v>999.875</x:v>
      </x:c>
    </x:row>
    <x:row r="9" ht="22.049999237060547" customHeight="1">
      <x:c r="A9" s="80" t="str">
        <x:f>IF(B9="","",B9&amp;"-"&amp;TEXT(COUNTIF($B$7:B9,B9),"000"))</x:f>
        <x:v>EW02-001</x:v>
      </x:c>
      <x:c r="B9" s="53" t="str">
        <x:v>EW02</x:v>
      </x:c>
      <x:c r="C9" s="81" t="str">
        <x:f>IFERROR(INDEX('QS Takeoff'!$A$3:$A$194,MATCH(B9,'QS Takeoff'!$B$3:$B$194,0)),"")</x:f>
        <x:v>Earthworks</x:v>
      </x:c>
      <x:c r="D9" s="81" t="str">
        <x:f>IFERROR(INDEX('QS Takeoff'!$C$3:$C$194,MATCH(B9,'QS Takeoff'!$B$3:$B$194,0)),"")</x:f>
        <x:v>Bulk fill placement / compaction - current Yodha RevB fill demand</x:v>
      </x:c>
      <x:c r="E9" s="81" t="n">
        <x:f>IFERROR(INDEX('QS Takeoff'!$E$3:$E$194,MATCH(B9,'QS Takeoff'!$B$3:$B$194,0)),"")</x:f>
        <x:v>1033</x:v>
      </x:c>
      <x:c r="F9" s="81" t="str">
        <x:f>IFERROR(INDEX('QS Takeoff'!$D$3:$D$194,MATCH(B9,'QS Takeoff'!$B$3:$B$194,0)),"")</x:f>
        <x:v>m3</x:v>
      </x:c>
      <x:c r="G9" s="81" t="str">
        <x:f>IFERROR(INDEX('QS Takeoff'!$J$3:$J$194,MATCH(B9,'QS Takeoff'!$B$3:$B$194,0)),"")</x:f>
        <x:v>AMBER - priced production control</x:v>
      </x:c>
      <x:c r="H9" s="53" t="str">
        <x:v>Bulk earthworks excavate / move / place</x:v>
      </x:c>
      <x:c r="I9" s="60" t="n">
        <x:v>15</x:v>
      </x:c>
      <x:c r="J9" s="60" t="str">
        <x:v>m3/hr</x:v>
      </x:c>
      <x:c r="K9" s="82" t="n">
        <x:f t="shared" si="0">IF(OR(B9="",I9="",I9=0),"",E9/I9)</x:f>
        <x:v>68.86666666666666</x:v>
      </x:c>
      <x:c r="L9" s="60"/>
      <x:c r="M9" s="82" t="n">
        <x:f t="shared" si="1">IF(L9&gt;0,L9,K9)</x:f>
        <x:v>68.86666666666666</x:v>
      </x:c>
      <x:c r="N9" s="53" t="str">
        <x:v>Time x Count</x:v>
      </x:c>
      <x:c r="O9" s="53" t="str">
        <x:v>Plant</x:v>
      </x:c>
      <x:c r="P9" s="53" t="str">
        <x:v>PL-EXC-13</x:v>
      </x:c>
      <x:c r="Q9" s="81" t="str">
        <x:f>IFERROR(INDEX('Resource Rate Library'!$C$5:$C$85,MATCH(P9,'Resource Rate Library'!$A$5:$A$85,0)),"")</x:f>
        <x:v>14 t excavator wet hire</x:v>
      </x:c>
      <x:c r="R9" s="53" t="n">
        <x:v>1</x:v>
      </x:c>
      <x:c r="S9" s="53"/>
      <x:c r="T9" s="81" t="str">
        <x:f>IFERROR(INDEX('Resource Rate Library'!$E$5:$E$85,MATCH(P9,'Resource Rate Library'!$A$5:$A$85,0)),"")</x:f>
        <x:v>hr</x:v>
      </x:c>
      <x:c r="U9" s="62" t="n">
        <x:v>1</x:v>
      </x:c>
      <x:c r="V9" s="62" t="n">
        <x:v>0</x:v>
      </x:c>
      <x:c r="W9" s="83" t="n">
        <x:f>IFERROR(INDEX('Resource Rate Library'!$I$5:$I$85,MATCH(P9,'Resource Rate Library'!$A$5:$A$85,0)),0)</x:f>
        <x:v>150</x:v>
      </x:c>
      <x:c r="X9" s="52"/>
      <x:c r="Y9" s="83" t="n">
        <x:f t="shared" si="2">IF(X9&gt;0,X9,W9)</x:f>
        <x:v>150</x:v>
      </x:c>
      <x:c r="Z9" s="83" t="n">
        <x:f t="shared" si="3">IF(B9="","",IF(N9="Time x Count",M9*R9*IF(U9="",1,U9)*Y9,IF(N9="QS Qty x Factor",E9*R9*(1+IF(V9="",0,V9))*Y9,IF(N9="Direct Qty",S9*(1+IF(V9="",0,V9))*Y9,IF(N9="Lump Sum / Quote",S9*Y9,0)))))</x:f>
        <x:v>10329.999999999998</x:v>
      </x:c>
      <x:c r="AA9" s="81" t="str">
        <x:f>IFERROR(INDEX('Resource Rate Library'!$N$5:$N$85,MATCH(P9,'Resource Rate Library'!$A$5:$A$85,0)),"")</x:f>
        <x:v>https://www.asapmachinehire.co.nz/price-list | https://www.nzmachinehire.co.nz/_files/ugd/d7f8c7_1379402df1a242f88fef70fc3ce1475c.pdf</x:v>
      </x:c>
      <x:c r="AB9" s="53" t="str">
        <x:v>Arch Rev16 1,154m3 control; Rev4 library PL-EXC-13</x:v>
      </x:c>
      <x:c r="AC9" s="59" t="str">
        <x:v>06-Sep-2026</x:v>
      </x:c>
      <x:c r="AD9" s="81" t="str">
        <x:f>IFERROR(INDEX('Resource Rate Library'!$G$5:$G$85,MATCH(P9,'Resource Rate Library'!$A$5:$A$85,0)),"")</x:f>
        <x:v>Yes</x:v>
      </x:c>
      <x:c r="AE9" s="81" t="str">
        <x:f>IFERROR(INDEX('Resource Rate Library'!$H$5:$H$85,MATCH(P9,'Resource Rate Library'!$A$5:$A$85,0)),"")</x:f>
        <x:v>Yes</x:v>
      </x:c>
      <x:c r="AF9" s="53" t="str">
        <x:v>AMBER</x:v>
      </x:c>
      <x:c r="AG9" s="53" t="str">
        <x:v>15 m3/hr tender control; 12 m3/hr sensitivity retained. Quantity is not assumed export.</x:v>
      </x:c>
      <x:c r="AH9" s="53" t="str">
        <x:v>No</x:v>
      </x:c>
      <x:c r="AI9" s="81" t="str">
        <x:f t="shared" si="4">IF(B9="","",IF(AND(P9="",N9&lt;&gt;"Lump Sum / Quote"),"RESOURCE CODE",IF(Y9=0,"RATE MISSING",IF(AND(O9="Plant",AD9="Yes",COUNTIFS($B$7:$B$306,B9,$O$7:$O$306,"Labour",$Q$7:$Q$306,"*Operator*")&gt;0),"OPERATOR DOUBLE-COUNT",IF(AND(O9="Plant",AE9="Yes",COUNTIFS($B$7:$B$306,B9,$Q$7:$Q$306,"*Fuel*")&gt;0),"FUEL DOUBLE-COUNT",IF(AH9&lt;&gt;"Yes","VERIFY","OK"))))))</x:f>
        <x:v>VERIFY</x:v>
      </x:c>
      <x:c r="AJ9" s="54" t="str">
        <x:v>Wet hire includes operator/fuel.</x:v>
      </x:c>
      <x:c r="AK9" s="473" t="str">
        <x:v>Yes</x:v>
      </x:c>
      <x:c r="AL9" s="473" t="str">
        <x:v>Earthworks</x:v>
      </x:c>
      <x:c r="AM9" s="473" t="str">
        <x:v>AMBER - weather exposed task</x:v>
      </x:c>
      <x:c r="AN9" s="500" t="n">
        <x:f>IF(AND(AK9="Yes",OR(O9="Labour",O9="Plant")),Z9,0)</x:f>
        <x:v>10329.999999999998</x:v>
      </x:c>
    </x:row>
    <x:row r="10" ht="22.049999237060547" customHeight="1">
      <x:c r="A10" s="80" t="str">
        <x:f>IF(B10="","",B10&amp;"-"&amp;TEXT(COUNTIF($B$7:B10,B10),"000"))</x:f>
        <x:v>EW02-002</x:v>
      </x:c>
      <x:c r="B10" s="53" t="str">
        <x:v>EW02</x:v>
      </x:c>
      <x:c r="C10" s="81" t="str">
        <x:f>IFERROR(INDEX('QS Takeoff'!$A$3:$A$194,MATCH(B10,'QS Takeoff'!$B$3:$B$194,0)),"")</x:f>
        <x:v>Earthworks</x:v>
      </x:c>
      <x:c r="D10" s="81" t="str">
        <x:f>IFERROR(INDEX('QS Takeoff'!$C$3:$C$194,MATCH(B10,'QS Takeoff'!$B$3:$B$194,0)),"")</x:f>
        <x:v>Bulk fill placement / compaction - current Yodha RevB fill demand</x:v>
      </x:c>
      <x:c r="E10" s="81" t="n">
        <x:f>IFERROR(INDEX('QS Takeoff'!$E$3:$E$194,MATCH(B10,'QS Takeoff'!$B$3:$B$194,0)),"")</x:f>
        <x:v>1033</x:v>
      </x:c>
      <x:c r="F10" s="81" t="str">
        <x:f>IFERROR(INDEX('QS Takeoff'!$D$3:$D$194,MATCH(B10,'QS Takeoff'!$B$3:$B$194,0)),"")</x:f>
        <x:v>m3</x:v>
      </x:c>
      <x:c r="G10" s="81" t="str">
        <x:f>IFERROR(INDEX('QS Takeoff'!$J$3:$J$194,MATCH(B10,'QS Takeoff'!$B$3:$B$194,0)),"")</x:f>
        <x:v>AMBER - priced production control</x:v>
      </x:c>
      <x:c r="H10" s="53" t="str">
        <x:v>Bulk earthworks compaction</x:v>
      </x:c>
      <x:c r="I10" s="60" t="n">
        <x:v>15</x:v>
      </x:c>
      <x:c r="J10" s="60" t="str">
        <x:v>m3/hr</x:v>
      </x:c>
      <x:c r="K10" s="82" t="n">
        <x:f t="shared" si="0">IF(OR(B10="",I10="",I10=0),"",E10/I10)</x:f>
        <x:v>68.86666666666666</x:v>
      </x:c>
      <x:c r="L10" s="60"/>
      <x:c r="M10" s="82" t="n">
        <x:f t="shared" si="1">IF(L10&gt;0,L10,K10)</x:f>
        <x:v>68.86666666666666</x:v>
      </x:c>
      <x:c r="N10" s="53" t="str">
        <x:v>Time x Count</x:v>
      </x:c>
      <x:c r="O10" s="53" t="str">
        <x:v>Plant</x:v>
      </x:c>
      <x:c r="P10" s="53" t="str">
        <x:v>PL-ROLLER</x:v>
      </x:c>
      <x:c r="Q10" s="81" t="str">
        <x:f>IFERROR(INDEX('Resource Rate Library'!$C$5:$C$85,MATCH(P10,'Resource Rate Library'!$A$5:$A$85,0)),"")</x:f>
        <x:v>7-9 t roller wet-hire equivalent</x:v>
      </x:c>
      <x:c r="R10" s="53" t="n">
        <x:v>1</x:v>
      </x:c>
      <x:c r="S10" s="53"/>
      <x:c r="T10" s="81" t="str">
        <x:f>IFERROR(INDEX('Resource Rate Library'!$E$5:$E$85,MATCH(P10,'Resource Rate Library'!$A$5:$A$85,0)),"")</x:f>
        <x:v>hr</x:v>
      </x:c>
      <x:c r="U10" s="62" t="n">
        <x:v>1</x:v>
      </x:c>
      <x:c r="V10" s="62" t="n">
        <x:v>0</x:v>
      </x:c>
      <x:c r="W10" s="83" t="n">
        <x:f>IFERROR(INDEX('Resource Rate Library'!$I$5:$I$85,MATCH(P10,'Resource Rate Library'!$A$5:$A$85,0)),0)</x:f>
        <x:v>110</x:v>
      </x:c>
      <x:c r="X10" s="52"/>
      <x:c r="Y10" s="83" t="n">
        <x:f t="shared" si="2">IF(X10&gt;0,X10,W10)</x:f>
        <x:v>110</x:v>
      </x:c>
      <x:c r="Z10" s="83" t="n">
        <x:f t="shared" si="3">IF(B10="","",IF(N10="Time x Count",M10*R10*IF(U10="",1,U10)*Y10,IF(N10="QS Qty x Factor",E10*R10*(1+IF(V10="",0,V10))*Y10,IF(N10="Direct Qty",S10*(1+IF(V10="",0,V10))*Y10,IF(N10="Lump Sum / Quote",S10*Y10,0)))))</x:f>
        <x:v>7575.333333333333</x:v>
      </x:c>
      <x:c r="AA10" s="81" t="str">
        <x:f>IFERROR(INDEX('Resource Rate Library'!$N$5:$N$85,MATCH(P10,'Resource Rate Library'!$A$5:$A$85,0)),"")</x:f>
        <x:v>https://www.nzmachinehire.co.nz/all-rollers | https://www.hiresmart.co.nz/for-hire/rollers/</x:v>
      </x:c>
      <x:c r="AB10" s="53" t="str">
        <x:v>Arch Rev16 1,154m3 control; Rev4 library PL-ROLLER</x:v>
      </x:c>
      <x:c r="AC10" s="59" t="str">
        <x:v>06-Sep-2026</x:v>
      </x:c>
      <x:c r="AD10" s="81" t="str">
        <x:f>IFERROR(INDEX('Resource Rate Library'!$G$5:$G$85,MATCH(P10,'Resource Rate Library'!$A$5:$A$85,0)),"")</x:f>
        <x:v>Yes</x:v>
      </x:c>
      <x:c r="AE10" s="81" t="str">
        <x:f>IFERROR(INDEX('Resource Rate Library'!$H$5:$H$85,MATCH(P10,'Resource Rate Library'!$A$5:$A$85,0)),"")</x:f>
        <x:v>Yes</x:v>
      </x:c>
      <x:c r="AF10" s="53" t="str">
        <x:v>AMBER</x:v>
      </x:c>
      <x:c r="AG10" s="53" t="str">
        <x:v>Roller tied to bulk earthworks duration; rate itself AMBER/quote required</x:v>
      </x:c>
      <x:c r="AH10" s="53" t="str">
        <x:v>No</x:v>
      </x:c>
      <x:c r="AI10" s="81" t="str">
        <x:f t="shared" si="4">IF(B10="","",IF(AND(P10="",N10&lt;&gt;"Lump Sum / Quote"),"RESOURCE CODE",IF(Y10=0,"RATE MISSING",IF(AND(O10="Plant",AD10="Yes",COUNTIFS($B$7:$B$306,B10,$O$7:$O$306,"Labour",$Q$7:$Q$306,"*Operator*")&gt;0),"OPERATOR DOUBLE-COUNT",IF(AND(O10="Plant",AE10="Yes",COUNTIFS($B$7:$B$306,B10,$Q$7:$Q$306,"*Fuel*")&gt;0),"FUEL DOUBLE-COUNT",IF(AH10&lt;&gt;"Yes","VERIFY","OK"))))))</x:f>
        <x:v>VERIFY</x:v>
      </x:c>
      <x:c r="AJ10" s="54" t="str">
        <x:v>Wet-hire-equivalent resource includes operator/fuel allowance.</x:v>
      </x:c>
      <x:c r="AK10" s="473" t="str">
        <x:v>Yes</x:v>
      </x:c>
      <x:c r="AL10" s="473" t="str">
        <x:v>Earthworks</x:v>
      </x:c>
      <x:c r="AM10" s="473" t="str">
        <x:v>AMBER - weather exposed task</x:v>
      </x:c>
      <x:c r="AN10" s="500" t="n">
        <x:f>IF(AND(AK10="Yes",OR(O10="Labour",O10="Plant")),Z10,0)</x:f>
        <x:v>7575.333333333333</x:v>
      </x:c>
    </x:row>
    <x:row r="11" ht="22.049999237060547" customHeight="1">
      <x:c r="A11" s="80" t="str">
        <x:f>IF(B11="","",B11&amp;"-"&amp;TEXT(COUNTIF($B$7:B11,B11),"000"))</x:f>
        <x:v>EW02-003</x:v>
      </x:c>
      <x:c r="B11" s="53" t="str">
        <x:v>EW02</x:v>
      </x:c>
      <x:c r="C11" s="81" t="str">
        <x:f>IFERROR(INDEX('QS Takeoff'!$A$3:$A$194,MATCH(B11,'QS Takeoff'!$B$3:$B$194,0)),"")</x:f>
        <x:v>Earthworks</x:v>
      </x:c>
      <x:c r="D11" s="81" t="str">
        <x:f>IFERROR(INDEX('QS Takeoff'!$C$3:$C$194,MATCH(B11,'QS Takeoff'!$B$3:$B$194,0)),"")</x:f>
        <x:v>Bulk fill placement / compaction - current Yodha RevB fill demand</x:v>
      </x:c>
      <x:c r="E11" s="81" t="n">
        <x:f>IFERROR(INDEX('QS Takeoff'!$E$3:$E$194,MATCH(B11,'QS Takeoff'!$B$3:$B$194,0)),"")</x:f>
        <x:v>1033</x:v>
      </x:c>
      <x:c r="F11" s="81" t="str">
        <x:f>IFERROR(INDEX('QS Takeoff'!$D$3:$D$194,MATCH(B11,'QS Takeoff'!$B$3:$B$194,0)),"")</x:f>
        <x:v>m3</x:v>
      </x:c>
      <x:c r="G11" s="81" t="str">
        <x:f>IFERROR(INDEX('QS Takeoff'!$J$3:$J$194,MATCH(B11,'QS Takeoff'!$B$3:$B$194,0)),"")</x:f>
        <x:v>AMBER - priced production control</x:v>
      </x:c>
      <x:c r="H11" s="53" t="str">
        <x:v>Bulk earthworks labour / trim support</x:v>
      </x:c>
      <x:c r="I11" s="60" t="n">
        <x:v>15</x:v>
      </x:c>
      <x:c r="J11" s="60" t="str">
        <x:v>m3/hr</x:v>
      </x:c>
      <x:c r="K11" s="82" t="n">
        <x:f t="shared" si="0">IF(OR(B11="",I11="",I11=0),"",E11/I11)</x:f>
        <x:v>68.86666666666666</x:v>
      </x:c>
      <x:c r="L11" s="60"/>
      <x:c r="M11" s="82" t="n">
        <x:f t="shared" si="1">IF(L11&gt;0,L11,K11)</x:f>
        <x:v>68.86666666666666</x:v>
      </x:c>
      <x:c r="N11" s="53" t="str">
        <x:v>Time x Count</x:v>
      </x:c>
      <x:c r="O11" s="53" t="str">
        <x:v>Labour</x:v>
      </x:c>
      <x:c r="P11" s="53" t="str">
        <x:v>LAB-LABOURER</x:v>
      </x:c>
      <x:c r="Q11" s="81" t="str">
        <x:f>IFERROR(INDEX('Resource Rate Library'!$C$5:$C$85,MATCH(P11,'Resource Rate Library'!$A$5:$A$85,0)),"")</x:f>
        <x:v>Civil labourer</x:v>
      </x:c>
      <x:c r="R11" s="53" t="n">
        <x:v>1</x:v>
      </x:c>
      <x:c r="S11" s="53"/>
      <x:c r="T11" s="81" t="str">
        <x:f>IFERROR(INDEX('Resource Rate Library'!$E$5:$E$85,MATCH(P11,'Resource Rate Library'!$A$5:$A$85,0)),"")</x:f>
        <x:v>hr</x:v>
      </x:c>
      <x:c r="U11" s="62" t="n">
        <x:v>1</x:v>
      </x:c>
      <x:c r="V11" s="62" t="n">
        <x:v>0</x:v>
      </x:c>
      <x:c r="W11" s="83" t="n">
        <x:f>IFERROR(INDEX('Resource Rate Library'!$I$5:$I$85,MATCH(P11,'Resource Rate Library'!$A$5:$A$85,0)),0)</x:f>
        <x:v>38</x:v>
      </x:c>
      <x:c r="X11" s="52"/>
      <x:c r="Y11" s="83" t="n">
        <x:f t="shared" si="2">IF(X11&gt;0,X11,W11)</x:f>
        <x:v>38</x:v>
      </x:c>
      <x:c r="Z11" s="83" t="n">
        <x:f t="shared" si="3">IF(B11="","",IF(N11="Time x Count",M11*R11*IF(U11="",1,U11)*Y11,IF(N11="QS Qty x Factor",E11*R11*(1+IF(V11="",0,V11))*Y11,IF(N11="Direct Qty",S11*(1+IF(V11="",0,V11))*Y11,IF(N11="Lump Sum / Quote",S11*Y11,0)))))</x:f>
        <x:v>2616.933333333333</x:v>
      </x:c>
      <x:c r="AA11" s="81" t="str">
        <x:f>IFERROR(INDEX('Resource Rate Library'!$N$5:$N$85,MATCH(P11,'Resource Rate Library'!$A$5:$A$85,0)),"")</x:f>
        <x:v>https://nz.seek.com/civil-drainage-jobs/in-All-Auckland | https://nz.seek.com/drainage-foreman-jobs/in-All-Auckland/full-time</x:v>
      </x:c>
      <x:c r="AB11" s="53" t="str">
        <x:v>Arch Rev16 1,154m3 control; Rev4 library labour</x:v>
      </x:c>
      <x:c r="AC11" s="59" t="str">
        <x:v>06-Sep-2026</x:v>
      </x:c>
      <x:c r="AD11" s="81" t="str">
        <x:f>IFERROR(INDEX('Resource Rate Library'!$G$5:$G$85,MATCH(P11,'Resource Rate Library'!$A$5:$A$85,0)),"")</x:f>
        <x:v>N/A</x:v>
      </x:c>
      <x:c r="AE11" s="81" t="str">
        <x:f>IFERROR(INDEX('Resource Rate Library'!$H$5:$H$85,MATCH(P11,'Resource Rate Library'!$A$5:$A$85,0)),"")</x:f>
        <x:v>N/A</x:v>
      </x:c>
      <x:c r="AF11" s="53" t="str">
        <x:v>AMBER</x:v>
      </x:c>
      <x:c r="AG11" s="53" t="str">
        <x:v>Labour support tied to 15 m3/hr bulk earthworks control</x:v>
      </x:c>
      <x:c r="AH11" s="53" t="str">
        <x:v>No</x:v>
      </x:c>
      <x:c r="AI11" s="81" t="str">
        <x:f t="shared" si="4">IF(B11="","",IF(AND(P11="",N11&lt;&gt;"Lump Sum / Quote"),"RESOURCE CODE",IF(Y11=0,"RATE MISSING",IF(AND(O11="Plant",AD11="Yes",COUNTIFS($B$7:$B$306,B11,$O$7:$O$306,"Labour",$Q$7:$Q$306,"*Operator*")&gt;0),"OPERATOR DOUBLE-COUNT",IF(AND(O11="Plant",AE11="Yes",COUNTIFS($B$7:$B$306,B11,$Q$7:$Q$306,"*Fuel*")&gt;0),"FUEL DOUBLE-COUNT",IF(AH11&lt;&gt;"Yes","VERIFY","OK"))))))</x:f>
        <x:v>VERIFY</x:v>
      </x:c>
      <x:c r="AJ11" s="54" t="str"/>
      <x:c r="AK11" s="473" t="str">
        <x:v>Yes</x:v>
      </x:c>
      <x:c r="AL11" s="473" t="str">
        <x:v>Earthworks</x:v>
      </x:c>
      <x:c r="AM11" s="473" t="str">
        <x:v>AMBER - weather exposed task</x:v>
      </x:c>
      <x:c r="AN11" s="500" t="n">
        <x:f>IF(AND(AK11="Yes",OR(O11="Labour",O11="Plant")),Z11,0)</x:f>
        <x:v>2616.933333333333</x:v>
      </x:c>
    </x:row>
    <x:row r="12" ht="22.049999237060547" customHeight="1">
      <x:c r="A12" s="80" t="str">
        <x:f>IF(B12="","",B12&amp;"-"&amp;TEXT(COUNTIF($B$7:B12,B12),"000"))</x:f>
        <x:v>EW03-001</x:v>
      </x:c>
      <x:c r="B12" s="53" t="str">
        <x:v>EW03</x:v>
      </x:c>
      <x:c r="C12" s="81" t="str">
        <x:f>IFERROR(INDEX('QS Takeoff'!$A$3:$A$194,MATCH(B12,'QS Takeoff'!$B$3:$B$194,0)),"")</x:f>
        <x:v>Earthworks</x:v>
      </x:c>
      <x:c r="D12" s="81" t="str">
        <x:f>IFERROR(INDEX('QS Takeoff'!$C$3:$C$194,MATCH(B12,'QS Takeoff'!$B$3:$B$194,0)),"")</x:f>
        <x:v>Final trim / formation across earthworks area</x:v>
      </x:c>
      <x:c r="E12" s="81" t="n">
        <x:f>IFERROR(INDEX('QS Takeoff'!$E$3:$E$194,MATCH(B12,'QS Takeoff'!$B$3:$B$194,0)),"")</x:f>
        <x:v>2105</x:v>
      </x:c>
      <x:c r="F12" s="81" t="str">
        <x:f>IFERROR(INDEX('QS Takeoff'!$D$3:$D$194,MATCH(B12,'QS Takeoff'!$B$3:$B$194,0)),"")</x:f>
        <x:v>m2</x:v>
      </x:c>
      <x:c r="G12" s="81" t="str">
        <x:f>IFERROR(INDEX('QS Takeoff'!$J$3:$J$194,MATCH(B12,'QS Takeoff'!$B$3:$B$194,0)),"")</x:f>
        <x:v>AMBER - CURRENT AREA / EARTHWORKS VOLUME CONFLICT RED</x:v>
      </x:c>
      <x:c r="H12" s="53" t="str">
        <x:v>Final trim / formation</x:v>
      </x:c>
      <x:c r="I12" s="60" t="n">
        <x:v>120</x:v>
      </x:c>
      <x:c r="J12" s="60" t="str">
        <x:v>m2/hr</x:v>
      </x:c>
      <x:c r="K12" s="82" t="n">
        <x:f t="shared" si="0">IF(OR(B12="",I12="",I12=0),"",E12/I12)</x:f>
        <x:v>17.541666666666668</x:v>
      </x:c>
      <x:c r="L12" s="60"/>
      <x:c r="M12" s="82" t="n">
        <x:f t="shared" si="1">IF(L12&gt;0,L12,K12)</x:f>
        <x:v>17.541666666666668</x:v>
      </x:c>
      <x:c r="N12" s="53" t="str">
        <x:v>Time x Count</x:v>
      </x:c>
      <x:c r="O12" s="53" t="str">
        <x:v>Plant</x:v>
      </x:c>
      <x:c r="P12" s="53" t="str">
        <x:v>PL-EXC-5</x:v>
      </x:c>
      <x:c r="Q12" s="81" t="str">
        <x:f>IFERROR(INDEX('Resource Rate Library'!$C$5:$C$85,MATCH(P12,'Resource Rate Library'!$A$5:$A$85,0)),"")</x:f>
        <x:v>5.5 t excavator wet hire</x:v>
      </x:c>
      <x:c r="R12" s="53" t="n">
        <x:v>1</x:v>
      </x:c>
      <x:c r="S12" s="53"/>
      <x:c r="T12" s="81" t="str">
        <x:f>IFERROR(INDEX('Resource Rate Library'!$E$5:$E$85,MATCH(P12,'Resource Rate Library'!$A$5:$A$85,0)),"")</x:f>
        <x:v>hr</x:v>
      </x:c>
      <x:c r="U12" s="62" t="n">
        <x:v>1</x:v>
      </x:c>
      <x:c r="V12" s="62" t="n">
        <x:v>0</x:v>
      </x:c>
      <x:c r="W12" s="83" t="n">
        <x:f>IFERROR(INDEX('Resource Rate Library'!$I$5:$I$85,MATCH(P12,'Resource Rate Library'!$A$5:$A$85,0)),0)</x:f>
        <x:v>110</x:v>
      </x:c>
      <x:c r="X12" s="52"/>
      <x:c r="Y12" s="83" t="n">
        <x:f t="shared" si="2">IF(X12&gt;0,X12,W12)</x:f>
        <x:v>110</x:v>
      </x:c>
      <x:c r="Z12" s="83" t="n">
        <x:f t="shared" si="3">IF(B12="","",IF(N12="Time x Count",M12*R12*IF(U12="",1,U12)*Y12,IF(N12="QS Qty x Factor",E12*R12*(1+IF(V12="",0,V12))*Y12,IF(N12="Direct Qty",S12*(1+IF(V12="",0,V12))*Y12,IF(N12="Lump Sum / Quote",S12*Y12,0)))))</x:f>
        <x:v>1929.5833333333335</x:v>
      </x:c>
      <x:c r="AA12" s="81" t="str">
        <x:f>IFERROR(INDEX('Resource Rate Library'!$N$5:$N$85,MATCH(P12,'Resource Rate Library'!$A$5:$A$85,0)),"")</x:f>
        <x:v>https://www.asapmachinehire.co.nz/price-list | https://www.nzmachinehire.co.nz/_files/ugd/d7f8c7_1379402df1a242f88fef70fc3ce1475c.pdf</x:v>
      </x:c>
      <x:c r="AB12" s="53" t="str">
        <x:v>Architectural A1 Rev17 11-Sep-2026: current earthworks area 2,105m2; trim productivity/rate basis otherwise unchanged.</x:v>
      </x:c>
      <x:c r="AC12" s="59" t="str">
        <x:v>11-Sep-2026</x:v>
      </x:c>
      <x:c r="AD12" s="81" t="str">
        <x:f>IFERROR(INDEX('Resource Rate Library'!$G$5:$G$85,MATCH(P12,'Resource Rate Library'!$A$5:$A$85,0)),"")</x:f>
        <x:v>Yes</x:v>
      </x:c>
      <x:c r="AE12" s="81" t="str">
        <x:f>IFERROR(INDEX('Resource Rate Library'!$H$5:$H$85,MATCH(P12,'Resource Rate Library'!$A$5:$A$85,0)),"")</x:f>
        <x:v>Yes</x:v>
      </x:c>
      <x:c r="AF12" s="53" t="str">
        <x:v>AMBER - CURRENT REV17 AREA / PRODUCTIVITY VERIFY</x:v>
      </x:c>
      <x:c r="AG12" s="53" t="str">
        <x:v>2,105m2 current area. Bulk cut/fill quantity conflict is tracked separately under RFI-15.</x:v>
      </x:c>
      <x:c r="AH12" s="53" t="str">
        <x:v>No</x:v>
      </x:c>
      <x:c r="AI12" s="81" t="str">
        <x:f t="shared" si="4"/>
        <x:v>VERIFY</x:v>
      </x:c>
      <x:c r="AJ12" s="54" t="str">
        <x:v>Rev17 supersedes Rev16 area quantity. Rate/productivity unchanged.</x:v>
      </x:c>
      <x:c r="AK12" s="473" t="str">
        <x:v>Yes</x:v>
      </x:c>
      <x:c r="AL12" s="473" t="str">
        <x:v>Earthworks</x:v>
      </x:c>
      <x:c r="AM12" s="473" t="str">
        <x:v>AMBER - weather exposed task</x:v>
      </x:c>
      <x:c r="AN12" s="500" t="n">
        <x:f>IF(AND(AK12="Yes",OR(O12="Labour",O12="Plant")),Z12,0)</x:f>
        <x:v>1929.5833333333335</x:v>
      </x:c>
    </x:row>
    <x:row r="13" ht="22.049999237060547" customHeight="1">
      <x:c r="A13" s="80" t="str">
        <x:f>IF(B13="","",B13&amp;"-"&amp;TEXT(COUNTIF($B$7:B13,B13),"000"))</x:f>
        <x:v>EW03-002</x:v>
      </x:c>
      <x:c r="B13" s="53" t="str">
        <x:v>EW03</x:v>
      </x:c>
      <x:c r="C13" s="81" t="str">
        <x:f>IFERROR(INDEX('QS Takeoff'!$A$3:$A$194,MATCH(B13,'QS Takeoff'!$B$3:$B$194,0)),"")</x:f>
        <x:v>Earthworks</x:v>
      </x:c>
      <x:c r="D13" s="81" t="str">
        <x:f>IFERROR(INDEX('QS Takeoff'!$C$3:$C$194,MATCH(B13,'QS Takeoff'!$B$3:$B$194,0)),"")</x:f>
        <x:v>Final trim / formation across earthworks area</x:v>
      </x:c>
      <x:c r="E13" s="81" t="n">
        <x:f>IFERROR(INDEX('QS Takeoff'!$E$3:$E$194,MATCH(B13,'QS Takeoff'!$B$3:$B$194,0)),"")</x:f>
        <x:v>2105</x:v>
      </x:c>
      <x:c r="F13" s="81" t="str">
        <x:f>IFERROR(INDEX('QS Takeoff'!$D$3:$D$194,MATCH(B13,'QS Takeoff'!$B$3:$B$194,0)),"")</x:f>
        <x:v>m2</x:v>
      </x:c>
      <x:c r="G13" s="81" t="str">
        <x:f>IFERROR(INDEX('QS Takeoff'!$J$3:$J$194,MATCH(B13,'QS Takeoff'!$B$3:$B$194,0)),"")</x:f>
        <x:v>AMBER - CURRENT AREA / EARTHWORKS VOLUME CONFLICT RED</x:v>
      </x:c>
      <x:c r="H13" s="53" t="str">
        <x:v>Final trim labour support</x:v>
      </x:c>
      <x:c r="I13" s="60" t="n">
        <x:v>120</x:v>
      </x:c>
      <x:c r="J13" s="60" t="str">
        <x:v>m2/hr</x:v>
      </x:c>
      <x:c r="K13" s="82" t="n">
        <x:f t="shared" si="0">IF(OR(B13="",I13="",I13=0),"",E13/I13)</x:f>
        <x:v>17.541666666666668</x:v>
      </x:c>
      <x:c r="L13" s="60"/>
      <x:c r="M13" s="82" t="n">
        <x:f t="shared" si="1">IF(L13&gt;0,L13,K13)</x:f>
        <x:v>17.541666666666668</x:v>
      </x:c>
      <x:c r="N13" s="53" t="str">
        <x:v>Time x Count</x:v>
      </x:c>
      <x:c r="O13" s="53" t="str">
        <x:v>Labour</x:v>
      </x:c>
      <x:c r="P13" s="53" t="str">
        <x:v>LAB-LABOURER</x:v>
      </x:c>
      <x:c r="Q13" s="81" t="str">
        <x:f>IFERROR(INDEX('Resource Rate Library'!$C$5:$C$85,MATCH(P13,'Resource Rate Library'!$A$5:$A$85,0)),"")</x:f>
        <x:v>Civil labourer</x:v>
      </x:c>
      <x:c r="R13" s="53" t="n">
        <x:v>1</x:v>
      </x:c>
      <x:c r="S13" s="53"/>
      <x:c r="T13" s="81" t="str">
        <x:f>IFERROR(INDEX('Resource Rate Library'!$E$5:$E$85,MATCH(P13,'Resource Rate Library'!$A$5:$A$85,0)),"")</x:f>
        <x:v>hr</x:v>
      </x:c>
      <x:c r="U13" s="62" t="n">
        <x:v>1</x:v>
      </x:c>
      <x:c r="V13" s="62" t="n">
        <x:v>0</x:v>
      </x:c>
      <x:c r="W13" s="83" t="n">
        <x:f>IFERROR(INDEX('Resource Rate Library'!$I$5:$I$85,MATCH(P13,'Resource Rate Library'!$A$5:$A$85,0)),0)</x:f>
        <x:v>38</x:v>
      </x:c>
      <x:c r="X13" s="52"/>
      <x:c r="Y13" s="83" t="n">
        <x:f t="shared" si="2">IF(X13&gt;0,X13,W13)</x:f>
        <x:v>38</x:v>
      </x:c>
      <x:c r="Z13" s="83" t="n">
        <x:f t="shared" si="3">IF(B13="","",IF(N13="Time x Count",M13*R13*IF(U13="",1,U13)*Y13,IF(N13="QS Qty x Factor",E13*R13*(1+IF(V13="",0,V13))*Y13,IF(N13="Direct Qty",S13*(1+IF(V13="",0,V13))*Y13,IF(N13="Lump Sum / Quote",S13*Y13,0)))))</x:f>
        <x:v>666.5833333333334</x:v>
      </x:c>
      <x:c r="AA13" s="81" t="str">
        <x:f>IFERROR(INDEX('Resource Rate Library'!$N$5:$N$85,MATCH(P13,'Resource Rate Library'!$A$5:$A$85,0)),"")</x:f>
        <x:v>https://nz.seek.com/civil-drainage-jobs/in-All-Auckland | https://nz.seek.com/drainage-foreman-jobs/in-All-Auckland/full-time</x:v>
      </x:c>
      <x:c r="AB13" s="53" t="str">
        <x:v>Architectural A1 Rev17 11-Sep-2026: current earthworks area 2,105m2; trim productivity/rate basis otherwise unchanged.</x:v>
      </x:c>
      <x:c r="AC13" s="59" t="str">
        <x:v>11-Sep-2026</x:v>
      </x:c>
      <x:c r="AD13" s="81" t="str">
        <x:f>IFERROR(INDEX('Resource Rate Library'!$G$5:$G$85,MATCH(P13,'Resource Rate Library'!$A$5:$A$85,0)),"")</x:f>
        <x:v>N/A</x:v>
      </x:c>
      <x:c r="AE13" s="81" t="str">
        <x:f>IFERROR(INDEX('Resource Rate Library'!$H$5:$H$85,MATCH(P13,'Resource Rate Library'!$A$5:$A$85,0)),"")</x:f>
        <x:v>N/A</x:v>
      </x:c>
      <x:c r="AF13" s="53" t="str">
        <x:v>AMBER - CURRENT REV17 AREA / PRODUCTIVITY VERIFY</x:v>
      </x:c>
      <x:c r="AG13" s="53" t="str">
        <x:v>2,105m2 current area. Bulk cut/fill quantity conflict is tracked separately under RFI-15.</x:v>
      </x:c>
      <x:c r="AH13" s="53" t="str">
        <x:v>No</x:v>
      </x:c>
      <x:c r="AI13" s="81" t="str">
        <x:f t="shared" si="4"/>
        <x:v>VERIFY</x:v>
      </x:c>
      <x:c r="AJ13" s="54" t="str">
        <x:v>Rev17 supersedes Rev16 area quantity. Rate/productivity unchanged.</x:v>
      </x:c>
      <x:c r="AK13" s="473" t="str">
        <x:v>Yes</x:v>
      </x:c>
      <x:c r="AL13" s="473" t="str">
        <x:v>Earthworks</x:v>
      </x:c>
      <x:c r="AM13" s="473" t="str">
        <x:v>AMBER - weather exposed task</x:v>
      </x:c>
      <x:c r="AN13" s="500" t="n">
        <x:f>IF(AND(AK13="Yes",OR(O13="Labour",O13="Plant")),Z13,0)</x:f>
        <x:v>666.5833333333334</x:v>
      </x:c>
    </x:row>
    <x:row r="14" ht="22.049999237060547" customHeight="1">
      <x:c r="A14" s="80" t="str">
        <x:f>IF(B14="","",B14&amp;"-"&amp;TEXT(COUNTIF($B$7:B14,B14),"000"))</x:f>
        <x:v>PV01-001</x:v>
      </x:c>
      <x:c r="B14" s="53" t="str">
        <x:v>PV01</x:v>
      </x:c>
      <x:c r="C14" s="81" t="str">
        <x:f>IFERROR(INDEX('QS Takeoff'!$A$3:$A$194,MATCH(B14,'QS Takeoff'!$B$3:$B$194,0)),"")</x:f>
        <x:v>Pavements &amp; Concrete</x:v>
      </x:c>
      <x:c r="D14" s="81" t="str">
        <x:f>IFERROR(INDEX('QS Takeoff'!$C$3:$C$194,MATCH(B14,'QS Takeoff'!$B$3:$B$194,0)),"")</x:f>
        <x:v>Internal carpark / driveway concrete pavement</x:v>
      </x:c>
      <x:c r="E14" s="81" t="n">
        <x:f>IFERROR(INDEX('QS Takeoff'!$E$3:$E$194,MATCH(B14,'QS Takeoff'!$B$3:$B$194,0)),"")</x:f>
        <x:v>478.35</x:v>
      </x:c>
      <x:c r="F14" s="81" t="str">
        <x:f>IFERROR(INDEX('QS Takeoff'!$D$3:$D$194,MATCH(B14,'QS Takeoff'!$B$3:$B$194,0)),"")</x:f>
        <x:v>m2</x:v>
      </x:c>
      <x:c r="G14" s="81" t="str">
        <x:f>IFERROR(INDEX('QS Takeoff'!$J$3:$J$194,MATCH(B14,'QS Takeoff'!$B$3:$B$194,0)),"")</x:f>
        <x:v>Civil DWG301/311 + LUC60463161 Stamped Plans A1 Rev11e + TPW clarification 11-Sep-2026</x:v>
      </x:c>
      <x:c r="H14" s="53" t="str">
        <x:v>150mm concrete supply incl 5% order allowance</x:v>
      </x:c>
      <x:c r="I14" s="60"/>
      <x:c r="J14" s="60"/>
      <x:c r="K14" s="82" t="str">
        <x:f t="shared" si="0">IF(OR(B14="",I14="",I14=0),"",E14/I14)</x:f>
      </x:c>
      <x:c r="L14" s="60"/>
      <x:c r="M14" s="82" t="str">
        <x:f t="shared" si="1">IF(L14&gt;0,L14,K14)</x:f>
      </x:c>
      <x:c r="N14" s="53" t="str">
        <x:v>Direct Qty</x:v>
      </x:c>
      <x:c r="O14" s="53" t="str">
        <x:v>Material</x:v>
      </x:c>
      <x:c r="P14" s="53" t="str">
        <x:v>MAT-CONC25</x:v>
      </x:c>
      <x:c r="Q14" s="81" t="str">
        <x:f>IFERROR(INDEX('Resource Rate Library'!$C$5:$C$85,MATCH(P14,'Resource Rate Library'!$A$5:$A$85,0)),"")</x:f>
        <x:v>25 MPa ready-mix concrete</x:v>
      </x:c>
      <x:c r="R14" s="53"/>
      <x:c r="S14" s="53" t="n">
        <x:v>75.340125</x:v>
      </x:c>
      <x:c r="T14" s="81" t="str">
        <x:f>IFERROR(INDEX('Resource Rate Library'!$E$5:$E$85,MATCH(P14,'Resource Rate Library'!$A$5:$A$85,0)),"")</x:f>
        <x:v>m3</x:v>
      </x:c>
      <x:c r="U14" s="62" t="n">
        <x:v>1</x:v>
      </x:c>
      <x:c r="V14" s="62" t="n">
        <x:v>0</x:v>
      </x:c>
      <x:c r="W14" s="83" t="n">
        <x:f>IFERROR(INDEX('Resource Rate Library'!$I$5:$I$85,MATCH(P14,'Resource Rate Library'!$A$5:$A$85,0)),0)</x:f>
        <x:v>325</x:v>
      </x:c>
      <x:c r="X14" s="52"/>
      <x:c r="Y14" s="83" t="n">
        <x:f t="shared" si="2">IF(X14&gt;0,X14,W14)</x:f>
        <x:v>325</x:v>
      </x:c>
      <x:c r="Z14" s="83" t="n">
        <x:f t="shared" si="3">IF(B14="","",IF(N14="Time x Count",M14*R14*IF(U14="",1,U14)*Y14,IF(N14="QS Qty x Factor",E14*R14*(1+IF(V14="",0,V14))*Y14,IF(N14="Direct Qty",S14*(1+IF(V14="",0,V14))*Y14,IF(N14="Lump Sum / Quote",S14*Y14,0)))))</x:f>
        <x:v>24485.540625</x:v>
      </x:c>
      <x:c r="AA14" s="81" t="str">
        <x:f>IFERROR(INDEX('Resource Rate Library'!$N$5:$N$85,MATCH(P14,'Resource Rate Library'!$A$5:$A$85,0)),"")</x:f>
        <x:v>Template baseline dated 13-Aug-2026</x:v>
      </x:c>
      <x:c r="AB14" s="53" t="str">
        <x:v>Q-05 placing/finish remains pending; concrete supply quantity updated to Rev29 stamped-RC provisional PV01 split.</x:v>
      </x:c>
      <x:c r="AC14" s="59" t="str">
        <x:v>11-Sep-2026</x:v>
      </x:c>
      <x:c r="AD14" s="81" t="str">
        <x:v>N/A</x:v>
      </x:c>
      <x:c r="AE14" s="81" t="str">
        <x:v>N/A</x:v>
      </x:c>
      <x:c r="AF14" s="53" t="str">
        <x:v>AMBER</x:v>
      </x:c>
      <x:c r="AG14" s="53" t="str">
        <x:v>75.340m3 = 478.35m2 x 0.15m x 1.05. Confirm project concrete supply/delivery terms and fresh geometry markup.</x:v>
      </x:c>
      <x:c r="AH14" s="53" t="str">
        <x:v>No</x:v>
      </x:c>
      <x:c r="AI14" s="81" t="str">
        <x:f t="shared" si="4">IF(B14="","",IF(AND(P14="",N14&lt;&gt;"Lump Sum / Quote"),"RESOURCE CODE",IF(Y14=0,"RATE MISSING",IF(AND(O14="Plant",AD14="Yes",COUNTIFS($B$7:$B$306,B14,$O$7:$O$306,"Labour",$Q$7:$Q$306,"*Operator*")&gt;0),"OPERATOR DOUBLE-COUNT",IF(AND(O14="Plant",AE14="Yes",COUNTIFS($B$7:$B$306,B14,$Q$7:$Q$306,"*Fuel*")&gt;0),"FUEL DOUBLE-COUNT",IF(AH14&lt;&gt;"Yes","VERIFY","OK"))))))</x:f>
        <x:v>VERIFY</x:v>
      </x:c>
      <x:c r="AJ14" s="54" t="str">
        <x:v>Material only; placing/pump/finish separate.</x:v>
      </x:c>
      <x:c r="AK14" s="473" t="str">
        <x:v>No</x:v>
      </x:c>
      <x:c r="AL14" s="473" t="str"/>
      <x:c r="AM14" s="473" t="str">
        <x:v>N/A - material</x:v>
      </x:c>
      <x:c r="AN14" s="500" t="n">
        <x:f>IF(AND(AK14="Yes",OR(O14="Labour",O14="Plant")),Z14,0)</x:f>
        <x:v>0</x:v>
      </x:c>
    </x:row>
    <x:row r="15" ht="22.049999237060547" customHeight="1">
      <x:c r="A15" s="80" t="str">
        <x:f>IF(B15="","",B15&amp;"-"&amp;TEXT(COUNTIF($B$7:B15,B15),"000"))</x:f>
        <x:v>PV01-002</x:v>
      </x:c>
      <x:c r="B15" s="53" t="str">
        <x:v>PV01</x:v>
      </x:c>
      <x:c r="C15" s="81" t="str">
        <x:f>IFERROR(INDEX('QS Takeoff'!$A$3:$A$194,MATCH(B15,'QS Takeoff'!$B$3:$B$194,0)),"")</x:f>
        <x:v>Pavements &amp; Concrete</x:v>
      </x:c>
      <x:c r="D15" s="81" t="str">
        <x:f>IFERROR(INDEX('QS Takeoff'!$C$3:$C$194,MATCH(B15,'QS Takeoff'!$B$3:$B$194,0)),"")</x:f>
        <x:v>Internal carpark / driveway concrete pavement</x:v>
      </x:c>
      <x:c r="E15" s="81" t="n">
        <x:f>IFERROR(INDEX('QS Takeoff'!$E$3:$E$194,MATCH(B15,'QS Takeoff'!$B$3:$B$194,0)),"")</x:f>
        <x:v>478.35</x:v>
      </x:c>
      <x:c r="F15" s="81" t="str">
        <x:f>IFERROR(INDEX('QS Takeoff'!$D$3:$D$194,MATCH(B15,'QS Takeoff'!$B$3:$B$194,0)),"")</x:f>
        <x:v>m2</x:v>
      </x:c>
      <x:c r="G15" s="81" t="str">
        <x:f>IFERROR(INDEX('QS Takeoff'!$J$3:$J$194,MATCH(B15,'QS Takeoff'!$B$3:$B$194,0)),"")</x:f>
        <x:v>Civil DWG301/311 + LUC60463161 Stamped Plans A1 Rev11e + TPW clarification 11-Sep-2026</x:v>
      </x:c>
      <x:c r="H15" s="53" t="str">
        <x:v>665 mesh supply incl layout/lap control</x:v>
      </x:c>
      <x:c r="I15" s="60"/>
      <x:c r="J15" s="60"/>
      <x:c r="K15" s="82" t="str">
        <x:f t="shared" si="0">IF(OR(B15="",I15="",I15=0),"",E15/I15)</x:f>
      </x:c>
      <x:c r="L15" s="60"/>
      <x:c r="M15" s="82" t="str">
        <x:f t="shared" si="1">IF(L15&gt;0,L15,K15)</x:f>
      </x:c>
      <x:c r="N15" s="53" t="str">
        <x:v>Direct Qty</x:v>
      </x:c>
      <x:c r="O15" s="53" t="str">
        <x:v>Material</x:v>
      </x:c>
      <x:c r="P15" s="53" t="str">
        <x:v>MAT-MESH665</x:v>
      </x:c>
      <x:c r="Q15" s="81" t="str">
        <x:f>IFERROR(INDEX('Resource Rate Library'!$C$5:$C$85,MATCH(P15,'Resource Rate Library'!$A$5:$A$85,0)),"")</x:f>
        <x:v>665 reinforcing mesh 4.51m x 1.96m</x:v>
      </x:c>
      <x:c r="R15" s="53"/>
      <x:c r="S15" s="53" t="n">
        <x:v>70</x:v>
      </x:c>
      <x:c r="T15" s="81" t="str">
        <x:f>IFERROR(INDEX('Resource Rate Library'!$E$5:$E$85,MATCH(P15,'Resource Rate Library'!$A$5:$A$85,0)),"")</x:f>
        <x:v>sheet</x:v>
      </x:c>
      <x:c r="U15" s="62" t="n">
        <x:v>1</x:v>
      </x:c>
      <x:c r="V15" s="62" t="n">
        <x:v>0</x:v>
      </x:c>
      <x:c r="W15" s="83" t="n">
        <x:f>IFERROR(INDEX('Resource Rate Library'!$I$5:$I$85,MATCH(P15,'Resource Rate Library'!$A$5:$A$85,0)),0)</x:f>
        <x:v>62.5</x:v>
      </x:c>
      <x:c r="X15" s="52"/>
      <x:c r="Y15" s="83" t="n">
        <x:f t="shared" si="2">IF(X15&gt;0,X15,W15)</x:f>
        <x:v>62.5</x:v>
      </x:c>
      <x:c r="Z15" s="83" t="n">
        <x:f t="shared" si="3">IF(B15="","",IF(N15="Time x Count",M15*R15*IF(U15="",1,U15)*Y15,IF(N15="QS Qty x Factor",E15*R15*(1+IF(V15="",0,V15))*Y15,IF(N15="Direct Qty",S15*(1+IF(V15="",0,V15))*Y15,IF(N15="Lump Sum / Quote",S15*Y15,0)))))</x:f>
        <x:v>4375</x:v>
      </x:c>
      <x:c r="AA15" s="81" t="str">
        <x:f>IFERROR(INDEX('Resource Rate Library'!$N$5:$N$85,MATCH(P15,'Resource Rate Library'!$A$5:$A$85,0)),"")</x:f>
        <x:v>https://qualitysteelsupplies.co.nz/shop/</x:v>
      </x:c>
      <x:c r="AB15" s="53" t="str">
        <x:v>Current mesh benchmark retained; quantity scaled to Rev29 provisional PV01 footprint.</x:v>
      </x:c>
      <x:c r="AC15" s="59" t="str">
        <x:v>11-Sep-2026</x:v>
      </x:c>
      <x:c r="AD15" s="81" t="str">
        <x:v>N/A</x:v>
      </x:c>
      <x:c r="AE15" s="81" t="str">
        <x:v>N/A</x:v>
      </x:c>
      <x:c r="AF15" s="53" t="str">
        <x:v>AMBER</x:v>
      </x:c>
      <x:c r="AG15" s="53" t="str">
        <x:v>70 sheets carried as procurement control pending final marked-up mesh layout/laps.</x:v>
      </x:c>
      <x:c r="AH15" s="53" t="str">
        <x:v>No</x:v>
      </x:c>
      <x:c r="AI15" s="81" t="str">
        <x:f t="shared" si="4">IF(B15="","",IF(AND(P15="",N15&lt;&gt;"Lump Sum / Quote"),"RESOURCE CODE",IF(Y15=0,"RATE MISSING",IF(AND(O15="Plant",AD15="Yes",COUNTIFS($B$7:$B$306,B15,$O$7:$O$306,"Labour",$Q$7:$Q$306,"*Operator*")&gt;0),"OPERATOR DOUBLE-COUNT",IF(AND(O15="Plant",AE15="Yes",COUNTIFS($B$7:$B$306,B15,$Q$7:$Q$306,"*Fuel*")&gt;0),"FUEL DOUBLE-COUNT",IF(AH15&lt;&gt;"Yes","VERIFY","OK"))))))</x:f>
        <x:v>VERIFY</x:v>
      </x:c>
      <x:c r="AJ15" s="54" t="str">
        <x:v>665 mesh required by Civil DWG311.</x:v>
      </x:c>
      <x:c r="AK15" s="473" t="str">
        <x:v>No</x:v>
      </x:c>
      <x:c r="AL15" s="473" t="str"/>
      <x:c r="AM15" s="473" t="str">
        <x:v>N/A - material</x:v>
      </x:c>
      <x:c r="AN15" s="500" t="n">
        <x:f>IF(AND(AK15="Yes",OR(O15="Labour",O15="Plant")),Z15,0)</x:f>
        <x:v>0</x:v>
      </x:c>
    </x:row>
    <x:row r="16" ht="22.049999237060547" customHeight="1">
      <x:c r="A16" s="80" t="str">
        <x:f>IF(B16="","",B16&amp;"-"&amp;TEXT(COUNTIF($B$7:B16,B16),"000"))</x:f>
        <x:v>PV01-003</x:v>
      </x:c>
      <x:c r="B16" s="53" t="str">
        <x:v>PV01</x:v>
      </x:c>
      <x:c r="C16" s="81" t="str">
        <x:f>IFERROR(INDEX('QS Takeoff'!$A$3:$A$194,MATCH(B16,'QS Takeoff'!$B$3:$B$194,0)),"")</x:f>
        <x:v>Pavements &amp; Concrete</x:v>
      </x:c>
      <x:c r="D16" s="81" t="str">
        <x:f>IFERROR(INDEX('QS Takeoff'!$C$3:$C$194,MATCH(B16,'QS Takeoff'!$B$3:$B$194,0)),"")</x:f>
        <x:v>Internal carpark / driveway concrete pavement</x:v>
      </x:c>
      <x:c r="E16" s="81" t="n">
        <x:f>IFERROR(INDEX('QS Takeoff'!$E$3:$E$194,MATCH(B16,'QS Takeoff'!$B$3:$B$194,0)),"")</x:f>
        <x:v>478.35</x:v>
      </x:c>
      <x:c r="F16" s="81" t="str">
        <x:f>IFERROR(INDEX('QS Takeoff'!$D$3:$D$194,MATCH(B16,'QS Takeoff'!$B$3:$B$194,0)),"")</x:f>
        <x:v>m2</x:v>
      </x:c>
      <x:c r="G16" s="81" t="str">
        <x:f>IFERROR(INDEX('QS Takeoff'!$J$3:$J$194,MATCH(B16,'QS Takeoff'!$B$3:$B$194,0)),"")</x:f>
        <x:v>Civil DWG301/311 + LUC60463161 Stamped Plans A1 Rev11e + TPW clarification 11-Sep-2026</x:v>
      </x:c>
      <x:c r="H16" s="53" t="str">
        <x:v>150mm AP40 base incl 5% material allowance</x:v>
      </x:c>
      <x:c r="I16" s="60"/>
      <x:c r="J16" s="60"/>
      <x:c r="K16" s="82" t="str">
        <x:f t="shared" si="0">IF(OR(B16="",I16="",I16=0),"",E16/I16)</x:f>
      </x:c>
      <x:c r="L16" s="60"/>
      <x:c r="M16" s="82" t="str">
        <x:f t="shared" si="1">IF(L16&gt;0,L16,K16)</x:f>
      </x:c>
      <x:c r="N16" s="53" t="str">
        <x:v>Direct Qty</x:v>
      </x:c>
      <x:c r="O16" s="53" t="str">
        <x:v>Material</x:v>
      </x:c>
      <x:c r="P16" s="53" t="str">
        <x:v>MAT-AP40</x:v>
      </x:c>
      <x:c r="Q16" s="81" t="str">
        <x:f>IFERROR(INDEX('Resource Rate Library'!$C$5:$C$85,MATCH(P16,'Resource Rate Library'!$A$5:$A$85,0)),"")</x:f>
        <x:v>AP40 / GAP40 basecourse aggregate</x:v>
      </x:c>
      <x:c r="R16" s="53"/>
      <x:c r="S16" s="53" t="n">
        <x:v>158.21426250000002</x:v>
      </x:c>
      <x:c r="T16" s="81" t="str">
        <x:f>IFERROR(INDEX('Resource Rate Library'!$E$5:$E$85,MATCH(P16,'Resource Rate Library'!$A$5:$A$85,0)),"")</x:f>
        <x:v>t</x:v>
      </x:c>
      <x:c r="U16" s="62" t="n">
        <x:v>1</x:v>
      </x:c>
      <x:c r="V16" s="62" t="n">
        <x:v>0</x:v>
      </x:c>
      <x:c r="W16" s="83" t="n">
        <x:f>IFERROR(INDEX('Resource Rate Library'!$I$5:$I$85,MATCH(P16,'Resource Rate Library'!$A$5:$A$85,0)),0)</x:f>
        <x:v>31</x:v>
      </x:c>
      <x:c r="X16" s="52" t="n">
        <x:v>35.75</x:v>
      </x:c>
      <x:c r="Y16" s="83" t="n">
        <x:f t="shared" si="2">IF(X16&gt;0,X16,W16)</x:f>
        <x:v>35.75</x:v>
      </x:c>
      <x:c r="Z16" s="83" t="n">
        <x:f t="shared" si="3">IF(B16="","",IF(N16="Time x Count",M16*R16*IF(U16="",1,U16)*Y16,IF(N16="QS Qty x Factor",E16*R16*(1+IF(V16="",0,V16))*Y16,IF(N16="Direct Qty",S16*(1+IF(V16="",0,V16))*Y16,IF(N16="Lump Sum / Quote",S16*Y16,0)))))</x:f>
        <x:v>5656.159884375001</x:v>
      </x:c>
      <x:c r="AA16" s="81" t="str">
        <x:f>IFERROR(INDEX('Resource Rate Library'!$N$5:$N$85,MATCH(P16,'Resource Rate Library'!$A$5:$A$85,0)),"")</x:f>
        <x:v>https://www.urbanquarry.co.nz/pricelist-2-2 | https://www.aggregate2u.co.nz/aggregates-delivery-south-auckland</x:v>
      </x:c>
      <x:c r="AB16" s="53" t="str">
        <x:v>Urban Quarry email 11-Sep-2026: GAP40 delivered T&amp;T $35.75/t subject to truck-and-trailer access.</x:v>
      </x:c>
      <x:c r="AC16" s="59" t="str">
        <x:v>11-Sep-2026</x:v>
      </x:c>
      <x:c r="AD16" s="81" t="str">
        <x:v>N/A</x:v>
      </x:c>
      <x:c r="AE16" s="81" t="str">
        <x:v>N/A</x:v>
      </x:c>
      <x:c r="AF16" s="53" t="str">
        <x:v>AMBER - PROJECT DELIVERED QUOTE / PRODUCT COMPLIANCE HOLD</x:v>
      </x:c>
      <x:c r="AG16" s="53" t="str">
        <x:v>158.214t = 478.35m2 x 0.15m x 2.1t/m3 x 1.05. Applied as delivered project benchmark; confirm quoted GAP40 satisfies specified AP40/ATAP requirements and T&amp;T access before GREEN.</x:v>
      </x:c>
      <x:c r="AH16" s="53" t="str">
        <x:v>No</x:v>
      </x:c>
      <x:c r="AI16" s="81" t="str">
        <x:f t="shared" si="4">IF(B16="","",IF(AND(P16="",N16&lt;&gt;"Lump Sum / Quote"),"RESOURCE CODE",IF(Y16=0,"RATE MISSING",IF(AND(O16="Plant",AD16="Yes",COUNTIFS($B$7:$B$306,B16,$O$7:$O$306,"Labour",$Q$7:$Q$306,"*Operator*")&gt;0),"OPERATOR DOUBLE-COUNT",IF(AND(O16="Plant",AE16="Yes",COUNTIFS($B$7:$B$306,B16,$Q$7:$Q$306,"*Fuel*")&gt;0),"FUEL DOUBLE-COUNT",IF(AH16&lt;&gt;"Yes","VERIFY","OK"))))))</x:f>
        <x:v>VERIFY</x:v>
      </x:c>
      <x:c r="AJ16" s="54" t="str">
        <x:v>Specific DWG311 150mm basis retained pending RFI-11.</x:v>
      </x:c>
      <x:c r="AK16" s="473" t="str">
        <x:v>No</x:v>
      </x:c>
      <x:c r="AL16" s="473" t="str"/>
      <x:c r="AM16" s="473" t="str">
        <x:v>N/A - material</x:v>
      </x:c>
      <x:c r="AN16" s="500" t="n">
        <x:f>IF(AND(AK16="Yes",OR(O16="Labour",O16="Plant")),Z16,0)</x:f>
        <x:v>0</x:v>
      </x:c>
    </x:row>
    <x:row r="17" ht="22.049999237060547" customHeight="1">
      <x:c r="A17" s="80" t="str">
        <x:f>IF(B17="","",B17&amp;"-"&amp;TEXT(COUNTIF($B$7:B17,B17),"000"))</x:f>
        <x:v>PV01-004</x:v>
      </x:c>
      <x:c r="B17" s="53" t="str">
        <x:v>PV01</x:v>
      </x:c>
      <x:c r="C17" s="81" t="str">
        <x:f>IFERROR(INDEX('QS Takeoff'!$A$3:$A$194,MATCH(B17,'QS Takeoff'!$B$3:$B$194,0)),"")</x:f>
        <x:v>Pavements &amp; Concrete</x:v>
      </x:c>
      <x:c r="D17" s="81" t="str">
        <x:f>IFERROR(INDEX('QS Takeoff'!$C$3:$C$194,MATCH(B17,'QS Takeoff'!$B$3:$B$194,0)),"")</x:f>
        <x:v>Internal carpark / driveway concrete pavement</x:v>
      </x:c>
      <x:c r="E17" s="81" t="n">
        <x:f>IFERROR(INDEX('QS Takeoff'!$E$3:$E$194,MATCH(B17,'QS Takeoff'!$B$3:$B$194,0)),"")</x:f>
        <x:v>478.35</x:v>
      </x:c>
      <x:c r="F17" s="81" t="str">
        <x:f>IFERROR(INDEX('QS Takeoff'!$D$3:$D$194,MATCH(B17,'QS Takeoff'!$B$3:$B$194,0)),"")</x:f>
        <x:v>m2</x:v>
      </x:c>
      <x:c r="G17" s="81" t="str">
        <x:f>IFERROR(INDEX('QS Takeoff'!$J$3:$J$194,MATCH(B17,'QS Takeoff'!$B$3:$B$194,0)),"")</x:f>
        <x:v>Civil DWG301/311 + LUC60463161 Stamped Plans A1 Rev11e + TPW clarification 11-Sep-2026</x:v>
      </x:c>
      <x:c r="H17" s="53" t="str">
        <x:v>50mm AP20 base incl 5% material allowance</x:v>
      </x:c>
      <x:c r="I17" s="60"/>
      <x:c r="J17" s="60"/>
      <x:c r="K17" s="82" t="str">
        <x:f t="shared" si="0">IF(OR(B17="",I17="",I17=0),"",E17/I17)</x:f>
      </x:c>
      <x:c r="L17" s="60"/>
      <x:c r="M17" s="82" t="str">
        <x:f t="shared" si="1">IF(L17&gt;0,L17,K17)</x:f>
      </x:c>
      <x:c r="N17" s="53" t="str">
        <x:v>Direct Qty</x:v>
      </x:c>
      <x:c r="O17" s="53" t="str">
        <x:v>Material</x:v>
      </x:c>
      <x:c r="P17" s="53" t="str">
        <x:v>MAT-AP20</x:v>
      </x:c>
      <x:c r="Q17" s="81" t="str">
        <x:f>IFERROR(INDEX('Resource Rate Library'!$C$5:$C$85,MATCH(P17,'Resource Rate Library'!$A$5:$A$85,0)),"")</x:f>
        <x:v>AP20 / GAP20 basecourse aggregate</x:v>
      </x:c>
      <x:c r="R17" s="53"/>
      <x:c r="S17" s="53" t="n">
        <x:v>52.73808750000001</x:v>
      </x:c>
      <x:c r="T17" s="81" t="str">
        <x:f>IFERROR(INDEX('Resource Rate Library'!$E$5:$E$85,MATCH(P17,'Resource Rate Library'!$A$5:$A$85,0)),"")</x:f>
        <x:v>t</x:v>
      </x:c>
      <x:c r="U17" s="62" t="n">
        <x:v>1</x:v>
      </x:c>
      <x:c r="V17" s="62" t="n">
        <x:v>0</x:v>
      </x:c>
      <x:c r="W17" s="83" t="n">
        <x:f>IFERROR(INDEX('Resource Rate Library'!$I$5:$I$85,MATCH(P17,'Resource Rate Library'!$A$5:$A$85,0)),0)</x:f>
        <x:v>39.5</x:v>
      </x:c>
      <x:c r="X17" s="52" t="n">
        <x:v>44.25</x:v>
      </x:c>
      <x:c r="Y17" s="83" t="n">
        <x:f t="shared" si="2">IF(X17&gt;0,X17,W17)</x:f>
        <x:v>44.25</x:v>
      </x:c>
      <x:c r="Z17" s="83" t="n">
        <x:f t="shared" si="3">IF(B17="","",IF(N17="Time x Count",M17*R17*IF(U17="",1,U17)*Y17,IF(N17="QS Qty x Factor",E17*R17*(1+IF(V17="",0,V17))*Y17,IF(N17="Direct Qty",S17*(1+IF(V17="",0,V17))*Y17,IF(N17="Lump Sum / Quote",S17*Y17,0)))))</x:f>
        <x:v>2333.6603718750007</x:v>
      </x:c>
      <x:c r="AA17" s="81" t="str">
        <x:f>IFERROR(INDEX('Resource Rate Library'!$N$5:$N$85,MATCH(P17,'Resource Rate Library'!$A$5:$A$85,0)),"")</x:f>
        <x:v>https://www.urbanquarry.co.nz/pricelist-2-2</x:v>
      </x:c>
      <x:c r="AB17" s="53" t="str">
        <x:v>Urban Quarry email 11-Sep-2026: GAP20 delivered T&amp;T $44.25/t subject to truck-and-trailer access.</x:v>
      </x:c>
      <x:c r="AC17" s="59" t="str">
        <x:v>11-Sep-2026</x:v>
      </x:c>
      <x:c r="AD17" s="81" t="str">
        <x:v>N/A</x:v>
      </x:c>
      <x:c r="AE17" s="81" t="str">
        <x:v>N/A</x:v>
      </x:c>
      <x:c r="AF17" s="53" t="str">
        <x:v>AMBER - PROJECT DELIVERED QUOTE / PRODUCT COMPLIANCE HOLD</x:v>
      </x:c>
      <x:c r="AG17" s="53" t="str">
        <x:v>52.738t = 478.35m2 x 0.05m x 2.1t/m3 x 1.05. Applied as delivered project benchmark; confirm quoted GAP20 satisfies specified AP20 requirements and T&amp;T access before GREEN.</x:v>
      </x:c>
      <x:c r="AH17" s="53" t="str">
        <x:v>No</x:v>
      </x:c>
      <x:c r="AI17" s="81" t="str">
        <x:f t="shared" si="4">IF(B17="","",IF(AND(P17="",N17&lt;&gt;"Lump Sum / Quote"),"RESOURCE CODE",IF(Y17=0,"RATE MISSING",IF(AND(O17="Plant",AD17="Yes",COUNTIFS($B$7:$B$306,B17,$O$7:$O$306,"Labour",$Q$7:$Q$306,"*Operator*")&gt;0),"OPERATOR DOUBLE-COUNT",IF(AND(O17="Plant",AE17="Yes",COUNTIFS($B$7:$B$306,B17,$Q$7:$Q$306,"*Fuel*")&gt;0),"FUEL DOUBLE-COUNT",IF(AH17&lt;&gt;"Yes","VERIFY","OK"))))))</x:f>
        <x:v>VERIFY</x:v>
      </x:c>
      <x:c r="AJ17" s="54" t="str"/>
      <x:c r="AK17" s="473" t="str">
        <x:v>No</x:v>
      </x:c>
      <x:c r="AL17" s="473" t="str"/>
      <x:c r="AM17" s="473" t="str">
        <x:v>N/A - material</x:v>
      </x:c>
      <x:c r="AN17" s="500" t="n">
        <x:f>IF(AND(AK17="Yes",OR(O17="Labour",O17="Plant")),Z17,0)</x:f>
        <x:v>0</x:v>
      </x:c>
    </x:row>
    <x:row r="18" ht="22.049999237060547" customHeight="1">
      <x:c r="A18" s="80" t="str">
        <x:f>IF(B18="","",B18&amp;"-"&amp;TEXT(COUNTIF($B$7:B18,B18),"000"))</x:f>
        <x:v>PV01-005</x:v>
      </x:c>
      <x:c r="B18" s="53" t="str">
        <x:v>PV01</x:v>
      </x:c>
      <x:c r="C18" s="81" t="str">
        <x:f>IFERROR(INDEX('QS Takeoff'!$A$3:$A$194,MATCH(B18,'QS Takeoff'!$B$3:$B$194,0)),"")</x:f>
        <x:v>Pavements &amp; Concrete</x:v>
      </x:c>
      <x:c r="D18" s="81" t="str">
        <x:f>IFERROR(INDEX('QS Takeoff'!$C$3:$C$194,MATCH(B18,'QS Takeoff'!$B$3:$B$194,0)),"")</x:f>
        <x:v>Internal carpark / driveway concrete pavement</x:v>
      </x:c>
      <x:c r="E18" s="81" t="n">
        <x:f>IFERROR(INDEX('QS Takeoff'!$E$3:$E$194,MATCH(B18,'QS Takeoff'!$B$3:$B$194,0)),"")</x:f>
        <x:v>478.35</x:v>
      </x:c>
      <x:c r="F18" s="81" t="str">
        <x:f>IFERROR(INDEX('QS Takeoff'!$D$3:$D$194,MATCH(B18,'QS Takeoff'!$B$3:$B$194,0)),"")</x:f>
        <x:v>m2</x:v>
      </x:c>
      <x:c r="G18" s="81" t="str">
        <x:f>IFERROR(INDEX('QS Takeoff'!$J$3:$J$194,MATCH(B18,'QS Takeoff'!$B$3:$B$194,0)),"")</x:f>
        <x:v>Civil DWG301/311 + LUC60463161 Stamped Plans A1 Rev11e + TPW clarification 11-Sep-2026</x:v>
      </x:c>
      <x:c r="H18" s="53" t="str">
        <x:v>Concrete placing / finishing labour control</x:v>
      </x:c>
      <x:c r="I18" s="60" t="n">
        <x:v>3</x:v>
      </x:c>
      <x:c r="J18" s="60" t="str">
        <x:v>m2/hr</x:v>
      </x:c>
      <x:c r="K18" s="82" t="n">
        <x:f t="shared" si="0">IF(OR(B18="",I18="",I18=0),"",E18/I18)</x:f>
        <x:v>159.45000000000002</x:v>
      </x:c>
      <x:c r="L18" s="60"/>
      <x:c r="M18" s="82" t="n">
        <x:f t="shared" si="1">IF(L18&gt;0,L18,K18)</x:f>
        <x:v>159.45000000000002</x:v>
      </x:c>
      <x:c r="N18" s="53" t="str">
        <x:v>Time x Count</x:v>
      </x:c>
      <x:c r="O18" s="53" t="str">
        <x:v>Labour</x:v>
      </x:c>
      <x:c r="P18" s="53" t="str">
        <x:v>LAB-CONCRETE</x:v>
      </x:c>
      <x:c r="Q18" s="81" t="str">
        <x:f>IFERROR(INDEX('Resource Rate Library'!$C$5:$C$85,MATCH(P18,'Resource Rate Library'!$A$5:$A$85,0)),"")</x:f>
        <x:v>Concrete placer / finisher</x:v>
      </x:c>
      <x:c r="R18" s="53" t="n">
        <x:v>3</x:v>
      </x:c>
      <x:c r="S18" s="53"/>
      <x:c r="T18" s="81" t="str">
        <x:f>IFERROR(INDEX('Resource Rate Library'!$E$5:$E$85,MATCH(P18,'Resource Rate Library'!$A$5:$A$85,0)),"")</x:f>
        <x:v>hr</x:v>
      </x:c>
      <x:c r="U18" s="62" t="n">
        <x:v>1</x:v>
      </x:c>
      <x:c r="V18" s="62" t="n">
        <x:v>0</x:v>
      </x:c>
      <x:c r="W18" s="83" t="n">
        <x:f>IFERROR(INDEX('Resource Rate Library'!$I$5:$I$85,MATCH(P18,'Resource Rate Library'!$A$5:$A$85,0)),0)</x:f>
        <x:v>44</x:v>
      </x:c>
      <x:c r="X18" s="52"/>
      <x:c r="Y18" s="83" t="n">
        <x:f t="shared" si="2">IF(X18&gt;0,X18,W18)</x:f>
        <x:v>44</x:v>
      </x:c>
      <x:c r="Z18" s="83" t="n">
        <x:f t="shared" si="3">IF(B18="","",IF(N18="Time x Count",M18*R18*IF(U18="",1,U18)*Y18,IF(N18="QS Qty x Factor",E18*R18*(1+IF(V18="",0,V18))*Y18,IF(N18="Direct Qty",S18*(1+IF(V18="",0,V18))*Y18,IF(N18="Lump Sum / Quote",S18*Y18,0)))))</x:f>
        <x:v>21047.4</x:v>
      </x:c>
      <x:c r="AA18" s="81" t="str">
        <x:f>IFERROR(INDEX('Resource Rate Library'!$N$5:$N$85,MATCH(P18,'Resource Rate Library'!$A$5:$A$85,0)),"")</x:f>
        <x:v>https://nz.seek.com/civil-drainage-jobs/in-All-Auckland | https://nz.seek.com/drainage-foreman-jobs/in-All-Auckland/full-time</x:v>
      </x:c>
      <x:c r="AB18" s="53" t="str">
        <x:v>Q-05 Formcon quote still pending. Rev29 stamped-RC quantity basis increases the provisional PV01 workfront; do not force programme duration to match this first-principles control.</x:v>
      </x:c>
      <x:c r="AC18" s="59" t="str">
        <x:v>11-Sep-2026</x:v>
      </x:c>
      <x:c r="AD18" s="81" t="str">
        <x:v>N/A</x:v>
      </x:c>
      <x:c r="AE18" s="81" t="str">
        <x:v>N/A</x:v>
      </x:c>
      <x:c r="AF18" s="53" t="str">
        <x:v>AMBER</x:v>
      </x:c>
      <x:c r="AG18" s="53" t="str">
        <x:v>478.35m2 / 3m2/hr = 159.45 workfront hours; 3-person factor remains a challenge control only. Q-05 must reconcile crew, pour sequence and duration.</x:v>
      </x:c>
      <x:c r="AH18" s="53" t="str">
        <x:v>No</x:v>
      </x:c>
      <x:c r="AI18" s="81" t="str">
        <x:f t="shared" si="4">IF(B18="","",IF(AND(P18="",N18&lt;&gt;"Lump Sum / Quote"),"RESOURCE CODE",IF(Y18=0,"RATE MISSING",IF(AND(O18="Plant",AD18="Yes",COUNTIFS($B$7:$B$306,B18,$O$7:$O$306,"Labour",$Q$7:$Q$306,"*Operator*")&gt;0),"OPERATOR DOUBLE-COUNT",IF(AND(O18="Plant",AE18="Yes",COUNTIFS($B$7:$B$306,B18,$Q$7:$Q$306,"*Fuel*")&gt;0),"FUEL DOUBLE-COUNT",IF(AH18&lt;&gt;"Yes","VERIFY","OK"))))))</x:f>
        <x:v>VERIFY</x:v>
      </x:c>
      <x:c r="AJ18" s="54" t="str">
        <x:v>Pump and ancillary items separate.</x:v>
      </x:c>
      <x:c r="AK18" s="473" t="str">
        <x:v>Yes</x:v>
      </x:c>
      <x:c r="AL18" s="473" t="str">
        <x:v>Concrete</x:v>
      </x:c>
      <x:c r="AM18" s="473" t="str">
        <x:v>AMBER - weather exposed task</x:v>
      </x:c>
      <x:c r="AN18" s="500" t="n">
        <x:f>IF(AND(AK18="Yes",OR(O18="Labour",O18="Plant")),Z18,0)</x:f>
        <x:v>21047.4</x:v>
      </x:c>
    </x:row>
    <x:row r="19" ht="22.049999237060547" customHeight="1">
      <x:c r="A19" s="80" t="str">
        <x:f>IF(B19="","",B19&amp;"-"&amp;TEXT(COUNTIF($B$7:B19,B19),"000"))</x:f>
        <x:v>PV01-006</x:v>
      </x:c>
      <x:c r="B19" s="53" t="str">
        <x:v>PV01</x:v>
      </x:c>
      <x:c r="C19" s="81" t="str">
        <x:f>IFERROR(INDEX('QS Takeoff'!$A$3:$A$194,MATCH(B19,'QS Takeoff'!$B$3:$B$194,0)),"")</x:f>
        <x:v>Pavements &amp; Concrete</x:v>
      </x:c>
      <x:c r="D19" s="81" t="str">
        <x:f>IFERROR(INDEX('QS Takeoff'!$C$3:$C$194,MATCH(B19,'QS Takeoff'!$B$3:$B$194,0)),"")</x:f>
        <x:v>Internal carpark / driveway concrete pavement</x:v>
      </x:c>
      <x:c r="E19" s="81" t="n">
        <x:f>IFERROR(INDEX('QS Takeoff'!$E$3:$E$194,MATCH(B19,'QS Takeoff'!$B$3:$B$194,0)),"")</x:f>
        <x:v>478.35</x:v>
      </x:c>
      <x:c r="F19" s="81" t="str">
        <x:f>IFERROR(INDEX('QS Takeoff'!$D$3:$D$194,MATCH(B19,'QS Takeoff'!$B$3:$B$194,0)),"")</x:f>
        <x:v>m2</x:v>
      </x:c>
      <x:c r="G19" s="81" t="str">
        <x:f>IFERROR(INDEX('QS Takeoff'!$J$3:$J$194,MATCH(B19,'QS Takeoff'!$B$3:$B$194,0)),"")</x:f>
        <x:v>Civil DWG301/311 + LUC60463161 Stamped Plans A1 Rev11e + TPW clarification 11-Sep-2026</x:v>
      </x:c>
      <x:c r="H19" s="53" t="str">
        <x:v>Boxing, chairs, sawcuts, pump/minor plant provisional control</x:v>
      </x:c>
      <x:c r="I19" s="60"/>
      <x:c r="J19" s="60"/>
      <x:c r="K19" s="82" t="str">
        <x:f t="shared" si="0">IF(OR(B19="",I19="",I19=0),"",E19/I19)</x:f>
      </x:c>
      <x:c r="L19" s="60"/>
      <x:c r="M19" s="82" t="str">
        <x:f t="shared" si="1">IF(L19&gt;0,L19,K19)</x:f>
      </x:c>
      <x:c r="N19" s="53" t="str">
        <x:v>Lump Sum / Quote</x:v>
      </x:c>
      <x:c r="O19" s="53" t="str">
        <x:v>Other</x:v>
      </x:c>
      <x:c r="P19" s="53" t="str">
        <x:v>OTH-GENERAL</x:v>
      </x:c>
      <x:c r="Q19" s="81" t="str">
        <x:f>IFERROR(INDEX('Resource Rate Library'!$C$5:$C$85,MATCH(P19,'Resource Rate Library'!$A$5:$A$85,0)),"")</x:f>
        <x:v>Project-specific transparent allowance</x:v>
      </x:c>
      <x:c r="R19" s="53"/>
      <x:c r="S19" s="53" t="n">
        <x:v>1</x:v>
      </x:c>
      <x:c r="T19" s="81" t="str">
        <x:f>IFERROR(INDEX('Resource Rate Library'!$E$5:$E$85,MATCH(P19,'Resource Rate Library'!$A$5:$A$85,0)),"")</x:f>
        <x:v>LS</x:v>
      </x:c>
      <x:c r="U19" s="62" t="n">
        <x:v>1</x:v>
      </x:c>
      <x:c r="V19" s="62" t="n">
        <x:v>0</x:v>
      </x:c>
      <x:c r="W19" s="83" t="n">
        <x:f>IFERROR(INDEX('Resource Rate Library'!$I$5:$I$85,MATCH(P19,'Resource Rate Library'!$A$5:$A$85,0)),0)</x:f>
        <x:v>1</x:v>
      </x:c>
      <x:c r="X19" s="52" t="n">
        <x:v>16263.9</x:v>
      </x:c>
      <x:c r="Y19" s="83" t="n">
        <x:f t="shared" si="2">IF(X19&gt;0,X19,W19)</x:f>
        <x:v>16263.9</x:v>
      </x:c>
      <x:c r="Z19" s="83" t="n">
        <x:f t="shared" si="3">IF(B19="","",IF(N19="Time x Count",M19*R19*IF(U19="",1,U19)*Y19,IF(N19="QS Qty x Factor",E19*R19*(1+IF(V19="",0,V19))*Y19,IF(N19="Direct Qty",S19*(1+IF(V19="",0,V19))*Y19,IF(N19="Lump Sum / Quote",S19*Y19,0)))))</x:f>
        <x:v>16263.9</x:v>
      </x:c>
      <x:c r="AA19" s="81" t="str">
        <x:f>IFERROR(INDEX('Resource Rate Library'!$N$5:$N$85,MATCH(P19,'Resource Rate Library'!$A$5:$A$85,0)),"")</x:f>
        <x:v>Basis shown in Resource Build-Up</x:v>
      </x:c>
      <x:c r="AB19" s="53" t="str">
        <x:v>Rev29 proportional PC update only; Q-05 specialist placing/boxing/joints/pump quote remains pending.</x:v>
      </x:c>
      <x:c r="AC19" s="59" t="str">
        <x:v>11-Sep-2026</x:v>
      </x:c>
      <x:c r="AD19" s="81" t="str">
        <x:v>N/A</x:v>
      </x:c>
      <x:c r="AE19" s="81" t="str">
        <x:v>N/A</x:v>
      </x:c>
      <x:c r="AF19" s="53" t="str">
        <x:v>AMBER</x:v>
      </x:c>
      <x:c r="AG19" s="53" t="str">
        <x:v>Ancillary PC scaled from Rev28 $15,337.40 at 451.1m2 to 478.35m2. Replace with aligned project quote; not a verified installed rate.</x:v>
      </x:c>
      <x:c r="AH19" s="53" t="str">
        <x:v>No</x:v>
      </x:c>
      <x:c r="AI19" s="81" t="str">
        <x:f t="shared" si="4">IF(B19="","",IF(AND(P19="",N19&lt;&gt;"Lump Sum / Quote"),"RESOURCE CODE",IF(Y19=0,"RATE MISSING",IF(AND(O19="Plant",AD19="Yes",COUNTIFS($B$7:$B$306,B19,$O$7:$O$306,"Labour",$Q$7:$Q$306,"*Operator*")&gt;0),"OPERATOR DOUBLE-COUNT",IF(AND(O19="Plant",AE19="Yes",COUNTIFS($B$7:$B$306,B19,$Q$7:$Q$306,"*Fuel*")&gt;0),"FUEL DOUBLE-COUNT",IF(AH19&lt;&gt;"Yes","VERIFY","OK"))))))</x:f>
        <x:v>VERIFY</x:v>
      </x:c>
      <x:c r="AJ19" s="54" t="str">
        <x:v>Do not present as verified specialist rate.</x:v>
      </x:c>
      <x:c r="AK19" s="473" t="str">
        <x:v>No</x:v>
      </x:c>
      <x:c r="AL19" s="473" t="str"/>
      <x:c r="AM19" s="473" t="str">
        <x:v>N/A - fixed allowance</x:v>
      </x:c>
      <x:c r="AN19" s="500" t="n">
        <x:f>IF(AND(AK19="Yes",OR(O19="Labour",O19="Plant")),Z19,0)</x:f>
        <x:v>0</x:v>
      </x:c>
    </x:row>
    <x:row r="20" ht="22.049999237060547" customHeight="1">
      <x:c r="A20" s="80" t="str">
        <x:f>IF(B20="","",B20&amp;"-"&amp;TEXT(COUNTIF($B$7:B20,B20),"000"))</x:f>
        <x:v>RW03-001</x:v>
      </x:c>
      <x:c r="B20" s="53" t="str">
        <x:v>RW03</x:v>
      </x:c>
      <x:c r="C20" s="81" t="str">
        <x:f>IFERROR(INDEX('QS Takeoff'!$A$3:$A$194,MATCH(B20,'QS Takeoff'!$B$3:$B$194,0)),"")</x:f>
        <x:v>Retaining Walls</x:v>
      </x:c>
      <x:c r="D20" s="81" t="str">
        <x:f>IFERROR(INDEX('QS Takeoff'!$C$3:$C$194,MATCH(B20,'QS Takeoff'!$B$3:$B$194,0)),"")</x:f>
        <x:v>PILE1 bridging piles to Keystone over 450mm SW main</x:v>
      </x:c>
      <x:c r="E20" s="81" t="n">
        <x:f>IFERROR(INDEX('QS Takeoff'!$E$3:$E$194,MATCH(B20,'QS Takeoff'!$B$3:$B$194,0)),"")</x:f>
        <x:v>7</x:v>
      </x:c>
      <x:c r="F20" s="81" t="str">
        <x:f>IFERROR(INDEX('QS Takeoff'!$D$3:$D$194,MATCH(B20,'QS Takeoff'!$B$3:$B$194,0)),"")</x:f>
        <x:v>ea</x:v>
      </x:c>
      <x:c r="G20" s="81" t="str">
        <x:f>IFERROR(INDEX('QS Takeoff'!$J$3:$J$194,MATCH(B20,'QS Takeoff'!$B$3:$B$194,0)),"")</x:f>
        <x:v>AMBER - IN-HOUSE SELF-PERFORM / PART MEASURED</x:v>
      </x:c>
      <x:c r="H20" s="53" t="str">
        <x:v>Mass-concrete volume for 7 PILE1 bridging piles</x:v>
      </x:c>
      <x:c r="I20" s="60"/>
      <x:c r="J20" s="60"/>
      <x:c r="K20" s="82" t="str">
        <x:f t="shared" si="0">IF(OR(B20="",I20="",I20=0),"",E20/I20)</x:f>
      </x:c>
      <x:c r="L20" s="60"/>
      <x:c r="M20" s="82" t="str">
        <x:f t="shared" si="1">IF(L20&gt;0,L20,K20)</x:f>
      </x:c>
      <x:c r="N20" s="53" t="str">
        <x:v>Direct Qty</x:v>
      </x:c>
      <x:c r="O20" s="53" t="str">
        <x:v>Material</x:v>
      </x:c>
      <x:c r="P20" s="53" t="str">
        <x:v>MAT-CONC25</x:v>
      </x:c>
      <x:c r="Q20" s="81" t="str">
        <x:f>IFERROR(INDEX('Resource Rate Library'!$C$5:$C$85,MATCH(P20,'Resource Rate Library'!$A$5:$A$85,0)),"")</x:f>
        <x:v>25 MPa ready-mix concrete</x:v>
      </x:c>
      <x:c r="R20" s="53"/>
      <x:c r="S20" s="53" t="n">
        <x:v>1.73180295</x:v>
      </x:c>
      <x:c r="T20" s="81" t="str">
        <x:f>IFERROR(INDEX('Resource Rate Library'!$E$5:$E$85,MATCH(P20,'Resource Rate Library'!$A$5:$A$85,0)),"")</x:f>
        <x:v>m3</x:v>
      </x:c>
      <x:c r="U20" s="62" t="n">
        <x:v>1</x:v>
      </x:c>
      <x:c r="V20" s="62" t="n">
        <x:v>0</x:v>
      </x:c>
      <x:c r="W20" s="83" t="n">
        <x:f>IFERROR(INDEX('Resource Rate Library'!$I$5:$I$85,MATCH(P20,'Resource Rate Library'!$A$5:$A$85,0)),0)</x:f>
        <x:v>325</x:v>
      </x:c>
      <x:c r="X20" s="52"/>
      <x:c r="Y20" s="83" t="n">
        <x:f t="shared" si="2">IF(X20&gt;0,X20,W20)</x:f>
        <x:v>325</x:v>
      </x:c>
      <x:c r="Z20" s="83" t="n">
        <x:f t="shared" si="3">IF(B20="","",IF(N20="Time x Count",M20*R20*IF(U20="",1,U20)*Y20,IF(N20="QS Qty x Factor",E20*R20*(1+IF(V20="",0,V20))*Y20,IF(N20="Direct Qty",S20*(1+IF(V20="",0,V20))*Y20,IF(N20="Lump Sum / Quote",S20*Y20,0)))))</x:f>
        <x:v>562.83595875</x:v>
      </x:c>
      <x:c r="AA20" s="81" t="str">
        <x:f>IFERROR(INDEX('Resource Rate Library'!$N$5:$N$85,MATCH(P20,'Resource Rate Library'!$A$5:$A$85,0)),"")</x:f>
        <x:v>Template baseline dated 13-Aug-2026</x:v>
      </x:c>
      <x:c r="AB20" s="53" t="str">
        <x:v>Q-04 CLOSED TO IN-HOUSE 07-Sep-2026 after Ground Structures decline; mass-concrete supply remains a separate material control.</x:v>
      </x:c>
      <x:c r="AC20" s="59" t="str">
        <x:v>06-Sep-2026</x:v>
      </x:c>
      <x:c r="AD20" s="81" t="str">
        <x:f>IFERROR(INDEX('Resource Rate Library'!$G$5:$G$85,MATCH(P20,'Resource Rate Library'!$A$5:$A$85,0)),"")</x:f>
        <x:v>N/A</x:v>
      </x:c>
      <x:c r="AE20" s="81" t="str">
        <x:f>IFERROR(INDEX('Resource Rate Library'!$H$5:$H$85,MATCH(P20,'Resource Rate Library'!$A$5:$A$85,0)),"")</x:f>
        <x:v>N/A</x:v>
      </x:c>
      <x:c r="AF20" s="53" t="str">
        <x:v>AMBER</x:v>
      </x:c>
      <x:c r="AG20" s="53" t="str">
        <x:v>25MPa library rate used as supply control only; structural detail requires mass concrete. Confirm required grade.</x:v>
      </x:c>
      <x:c r="AH20" s="53" t="str">
        <x:v>No</x:v>
      </x:c>
      <x:c r="AI20" s="81" t="str">
        <x:f t="shared" si="4">IF(B20="","",IF(AND(P20="",N20&lt;&gt;"Lump Sum / Quote"),"RESOURCE CODE",IF(Y20=0,"RATE MISSING",IF(AND(O20="Plant",AD20="Yes",COUNTIFS($B$7:$B$306,B20,$O$7:$O$306,"Labour",$Q$7:$Q$306,"*Operator*")&gt;0),"OPERATOR DOUBLE-COUNT",IF(AND(O20="Plant",AE20="Yes",COUNTIFS($B$7:$B$306,B20,$Q$7:$Q$306,"*Fuel*")&gt;0),"FUEL DOUBLE-COUNT",IF(AH20&lt;&gt;"Yes","VERIFY","OK"))))))</x:f>
        <x:v>VERIFY</x:v>
      </x:c>
      <x:c r="AJ20" s="54" t="str">
        <x:v>PILE1 boring is self-performed and costed separately in RW03-002/RW03-003/RW03-004. This row carries mass-concrete volume only.</x:v>
      </x:c>
      <x:c r="AK20" s="473" t="str">
        <x:v>No</x:v>
      </x:c>
      <x:c r="AL20" s="473" t="str"/>
      <x:c r="AM20" s="473" t="str">
        <x:v>N/A - material</x:v>
      </x:c>
      <x:c r="AN20" s="500" t="n">
        <x:f>IF(AND(AK20="Yes",OR(O20="Labour",O20="Plant")),Z20,0)</x:f>
        <x:v>0</x:v>
      </x:c>
    </x:row>
    <x:row r="21" ht="22.049999237060547" customHeight="1">
      <x:c r="A21" s="80" t="str">
        <x:f>IF(B21="","",B21&amp;"-"&amp;TEXT(COUNTIF($B$7:B21,B21),"000"))</x:f>
        <x:v>RW03-002</x:v>
      </x:c>
      <x:c r="B21" s="53" t="str">
        <x:v>RW03</x:v>
      </x:c>
      <x:c r="C21" s="81" t="str">
        <x:f>IFERROR(INDEX('QS Takeoff'!$A$3:$A$194,MATCH(B21,'QS Takeoff'!$B$3:$B$194,0)),"")</x:f>
        <x:v>Retaining Walls</x:v>
      </x:c>
      <x:c r="D21" s="81" t="str">
        <x:f>IFERROR(INDEX('QS Takeoff'!$C$3:$C$194,MATCH(B21,'QS Takeoff'!$B$3:$B$194,0)),"")</x:f>
        <x:v>PILE1 bridging piles to Keystone over 450mm SW main</x:v>
      </x:c>
      <x:c r="E21" s="81" t="n">
        <x:f>IFERROR(INDEX('QS Takeoff'!$E$3:$E$194,MATCH(B21,'QS Takeoff'!$B$3:$B$194,0)),"")</x:f>
        <x:v>7</x:v>
      </x:c>
      <x:c r="F21" s="81" t="str">
        <x:f>IFERROR(INDEX('QS Takeoff'!$D$3:$D$194,MATCH(B21,'QS Takeoff'!$B$3:$B$194,0)),"")</x:f>
        <x:v>ea</x:v>
      </x:c>
      <x:c r="G21" s="81" t="str">
        <x:f>IFERROR(INDEX('QS Takeoff'!$J$3:$J$194,MATCH(B21,'QS Takeoff'!$B$3:$B$194,0)),"")</x:f>
        <x:v>AMBER - IN-HOUSE SELF-PERFORM / PART MEASURED</x:v>
      </x:c>
      <x:c r="H21" s="53" t="str">
        <x:v>In-house 3t excavator boring - 7 x 500mm PILE1</x:v>
      </x:c>
      <x:c r="I21" s="60"/>
      <x:c r="J21" s="60"/>
      <x:c r="K21" s="82" t="str">
        <x:f t="shared" si="0">IF(OR(B21="",I21="",I21=0),"",E21/I21)</x:f>
      </x:c>
      <x:c r="L21" s="60" t="n">
        <x:v>7</x:v>
      </x:c>
      <x:c r="M21" s="82" t="n">
        <x:f t="shared" si="1">IF(L21&gt;0,L21,K21)</x:f>
        <x:v>7</x:v>
      </x:c>
      <x:c r="N21" s="53" t="str">
        <x:v>Time x Count</x:v>
      </x:c>
      <x:c r="O21" s="53" t="str">
        <x:v>Plant</x:v>
      </x:c>
      <x:c r="P21" s="53" t="str">
        <x:v>PL-EXC-3-INHOUSE</x:v>
      </x:c>
      <x:c r="Q21" s="81" t="str">
        <x:f>IFERROR(INDEX('Resource Rate Library'!$C$5:$C$85,MATCH(P21,'Resource Rate Library'!$A$5:$A$85,0)),"")</x:f>
        <x:v>3.0 t excavator in-house historical project rate - operator included</x:v>
      </x:c>
      <x:c r="R21" s="53" t="n">
        <x:v>1</x:v>
      </x:c>
      <x:c r="S21" s="53"/>
      <x:c r="T21" s="81" t="str">
        <x:f>IFERROR(INDEX('Resource Rate Library'!$E$5:$E$85,MATCH(P21,'Resource Rate Library'!$A$5:$A$85,0)),"")</x:f>
        <x:v>hr</x:v>
      </x:c>
      <x:c r="U21" s="62" t="n">
        <x:v>1</x:v>
      </x:c>
      <x:c r="V21" s="62" t="n">
        <x:v>0</x:v>
      </x:c>
      <x:c r="W21" s="83" t="n">
        <x:f>IFERROR(INDEX('Resource Rate Library'!$I$5:$I$85,MATCH(P21,'Resource Rate Library'!$A$5:$A$85,0)),0)</x:f>
        <x:v>97.5</x:v>
      </x:c>
      <x:c r="X21" s="52"/>
      <x:c r="Y21" s="83" t="n">
        <x:f t="shared" si="2">IF(X21&gt;0,X21,W21)</x:f>
        <x:v>97.5</x:v>
      </x:c>
      <x:c r="Z21" s="83" t="n">
        <x:f t="shared" si="3">IF(B21="","",IF(N21="Time x Count",M21*R21*IF(U21="",1,U21)*Y21,IF(N21="QS Qty x Factor",E21*R21*(1+IF(V21="",0,V21))*Y21,IF(N21="Direct Qty",S21*(1+IF(V21="",0,V21))*Y21,IF(N21="Lump Sum / Quote",S21*Y21,0)))))</x:f>
        <x:v>682.5</x:v>
      </x:c>
      <x:c r="AA21" s="81" t="str">
        <x:f>IFERROR(INDEX('Resource Rate Library'!$N$5:$N$85,MATCH(P21,'Resource Rate Library'!$A$5:$A$85,0)),"")</x:f>
        <x:v>Blackline_Estimate_Cost_Tracker_48_Eastglen.xlsx / 48 Eastglen project</x:v>
      </x:c>
      <x:c r="AB21" s="53" t="str">
        <x:v>Ground Structures declined Q-04 on 07-Sep-2026. Rick directed self-perform. Historical 48 Eastglen company project: 3t machine incl operator $97.50/hr + drill gear $22.50/hr; current Rev4 civil labourer $38/hr. Bridle Trail 5t+auger allowance retained as independent reasonableness check.</x:v>
      </x:c>
      <x:c r="AC21" s="59" t="str">
        <x:v>07-Sep-2026</x:v>
      </x:c>
      <x:c r="AD21" s="81" t="str">
        <x:f>IFERROR(INDEX('Resource Rate Library'!$G$5:$G$85,MATCH(P21,'Resource Rate Library'!$A$5:$A$85,0)),"")</x:f>
        <x:v>Yes</x:v>
      </x:c>
      <x:c r="AE21" s="81" t="str">
        <x:f>IFERROR(INDEX('Resource Rate Library'!$H$5:$H$85,MATCH(P21,'Resource Rate Library'!$A$5:$A$85,0)),"")</x:f>
        <x:v>Unclear - historical rate treated all-in; no separate fuel added</x:v>
      </x:c>
      <x:c r="AF21" s="53" t="str">
        <x:v>AMBER</x:v>
      </x:c>
      <x:c r="AG21" s="53" t="str">
        <x:v>7 productive plant-hours allocated to the PILE1 portion of a combined 18-hour self-perform boring allowance. Nominal 1.2m depth; final bore depth/geotech hold point still governs.</x:v>
      </x:c>
      <x:c r="AH21" s="53" t="str">
        <x:v>No</x:v>
      </x:c>
      <x:c r="AI21" s="81" t="str">
        <x:f t="shared" si="4"/>
        <x:v>OK</x:v>
      </x:c>
      <x:c r="AJ21" s="54" t="str">
        <x:v>Self-perform replaces the external drilling PC. Bore spoil retained/reused within the project's net-fill earthworks where geotechnically suitable; unsuitable material remains within EW08 only.</x:v>
      </x:c>
      <x:c r="AK21" s="473" t="str">
        <x:v>Yes</x:v>
      </x:c>
      <x:c r="AL21" s="473" t="str">
        <x:v>Bored piles / drilled holes</x:v>
      </x:c>
      <x:c r="AM21" s="473" t="str">
        <x:v>AMBER - self-perform production allowance</x:v>
      </x:c>
      <x:c r="AN21" s="500" t="n">
        <x:f>IF(AND(AK21="Yes",OR(O21="Labour",O21="Plant")),Z21,0)</x:f>
        <x:v>682.5</x:v>
      </x:c>
    </x:row>
    <x:row r="22" ht="22.049999237060547" customHeight="1">
      <x:c r="A22" s="80" t="str">
        <x:f>IF(B22="","",B22&amp;"-"&amp;TEXT(COUNTIF($B$7:B22,B22),"000"))</x:f>
        <x:v>PG01-001</x:v>
      </x:c>
      <x:c r="B22" s="53" t="str">
        <x:v>PG01</x:v>
      </x:c>
      <x:c r="C22" s="81" t="str">
        <x:f>IFERROR(INDEX('QS Takeoff'!$A$3:$A$194,MATCH(B22,'QS Takeoff'!$B$3:$B$194,0)),"")</x:f>
        <x:v>Preliminaries &amp; General</x:v>
      </x:c>
      <x:c r="D22" s="81" t="str">
        <x:f>IFERROR(INDEX('QS Takeoff'!$C$3:$C$194,MATCH(B22,'QS Takeoff'!$B$3:$B$194,0)),"")</x:f>
        <x:v>Project preliminaries / site management - programme dependent</x:v>
      </x:c>
      <x:c r="E22" s="81" t="n">
        <x:f>IFERROR(INDEX('QS Takeoff'!$E$3:$E$194,MATCH(B22,'QS Takeoff'!$B$3:$B$194,0)),"")</x:f>
        <x:v>1</x:v>
      </x:c>
      <x:c r="F22" s="81" t="str">
        <x:f>IFERROR(INDEX('QS Takeoff'!$D$3:$D$194,MATCH(B22,'QS Takeoff'!$B$3:$B$194,0)),"")</x:f>
        <x:v>LS</x:v>
      </x:c>
      <x:c r="G22" s="81" t="str">
        <x:f>IFERROR(INDEX('QS Takeoff'!$J$3:$J$194,MATCH(B22,'QS Takeoff'!$B$3:$B$194,0)),"")</x:f>
        <x:v>AMBER - ITEMISED / Q-07 QUOTED CORE</x:v>
      </x:c>
      <x:c r="H22" s="53" t="str">
        <x:v>Site supervisor / project management - 55WD Board-adjudicated dry tender programme</x:v>
      </x:c>
      <x:c r="I22" s="60"/>
      <x:c r="J22" s="60"/>
      <x:c r="K22" s="82" t="str">
        <x:f t="shared" si="0">IF(OR(B22="",I22="",I22=0),"",E22/I22)</x:f>
      </x:c>
      <x:c r="L22" s="60" t="n">
        <x:v>440</x:v>
      </x:c>
      <x:c r="M22" s="82" t="n">
        <x:f t="shared" si="1">IF(L22&gt;0,L22,K22)</x:f>
        <x:v>440</x:v>
      </x:c>
      <x:c r="N22" s="53" t="str">
        <x:v>Time x Count</x:v>
      </x:c>
      <x:c r="O22" s="53" t="str">
        <x:v>Labour</x:v>
      </x:c>
      <x:c r="P22" s="53" t="str">
        <x:v>LAB-SUPERVISOR</x:v>
      </x:c>
      <x:c r="Q22" s="81" t="str">
        <x:f>IFERROR(INDEX('Resource Rate Library'!$C$5:$C$85,MATCH(P22,'Resource Rate Library'!$A$5:$A$85,0)),"")</x:f>
        <x:v>Site supervisor / project manager</x:v>
      </x:c>
      <x:c r="R22" s="53" t="n">
        <x:v>1</x:v>
      </x:c>
      <x:c r="S22" s="53"/>
      <x:c r="T22" s="81" t="str">
        <x:f>IFERROR(INDEX('Resource Rate Library'!$E$5:$E$85,MATCH(P22,'Resource Rate Library'!$A$5:$A$85,0)),"")</x:f>
        <x:v>hr</x:v>
      </x:c>
      <x:c r="U22" s="62" t="n">
        <x:v>1</x:v>
      </x:c>
      <x:c r="V22" s="62" t="n">
        <x:v>0</x:v>
      </x:c>
      <x:c r="W22" s="83" t="n">
        <x:f>IFERROR(INDEX('Resource Rate Library'!$I$5:$I$85,MATCH(P22,'Resource Rate Library'!$A$5:$A$85,0)),0)</x:f>
        <x:v>73</x:v>
      </x:c>
      <x:c r="X22" s="52"/>
      <x:c r="Y22" s="83" t="n">
        <x:f t="shared" si="2">IF(X22&gt;0,X22,W22)</x:f>
        <x:v>73</x:v>
      </x:c>
      <x:c r="Z22" s="83" t="n">
        <x:f t="shared" si="3">IF(B22="","",IF(N22="Time x Count",M22*R22*IF(U22="",1,U22)*Y22,IF(N22="QS Qty x Factor",E22*R22*(1+IF(V22="",0,V22))*Y22,IF(N22="Direct Qty",S22*(1+IF(V22="",0,V22))*Y22,IF(N22="Lump Sum / Quote",S22*Y22,0)))))</x:f>
        <x:v>32120</x:v>
      </x:c>
      <x:c r="AA22" s="81" t="str">
        <x:f>IFERROR(INDEX('Resource Rate Library'!$N$5:$N$85,MATCH(P22,'Resource Rate Library'!$A$5:$A$85,0)),"")</x:f>
        <x:v>https://nz.seek.com/civil-drainage-jobs/in-All-Auckland | https://nz.seek.com/drainage-foreman-jobs/in-All-Auckland/full-time</x:v>
      </x:c>
      <x:c r="AB22" s="53" t="str">
        <x:v>55 working days x 8h/day; Board-adjudicated programme basis from formal ERB review. Generic Auckland direct employment/on-cost benchmark retained.</x:v>
      </x:c>
      <x:c r="AC22" s="59" t="str">
        <x:v>08-Sep-2026</x:v>
      </x:c>
      <x:c r="AD22" s="81" t="str">
        <x:f>IFERROR(INDEX('Resource Rate Library'!$G$5:$G$85,MATCH(P22,'Resource Rate Library'!$A$5:$A$85,0)),"")</x:f>
        <x:v>N/A</x:v>
      </x:c>
      <x:c r="AE22" s="81" t="str">
        <x:f>IFERROR(INDEX('Resource Rate Library'!$H$5:$H$85,MATCH(P22,'Resource Rate Library'!$A$5:$A$85,0)),"")</x:f>
        <x:v>N/A</x:v>
      </x:c>
      <x:c r="AF22" s="53" t="str">
        <x:v>AMBER - current Auckland labour/on-cost benchmark; Siteworks payroll not supplied</x:v>
      </x:c>
      <x:c r="AG22" s="53" t="str">
        <x:v>440h = 55 dry working days x 8h/day. Direct project supervision only. Weather-extension supervision remains in CA10; excludes corporate OH, profit, vehicle and overtime.</x:v>
      </x:c>
      <x:c r="AH22" s="53" t="str">
        <x:v>Yes</x:v>
      </x:c>
      <x:c r="AI22" s="81" t="str">
        <x:f t="shared" si="4">IF(B22="","",IF(AND(P22="",N22&lt;&gt;"Lump Sum / Quote"),"RESOURCE CODE",IF(Y22=0,"RATE MISSING",IF(AND(O22="Plant",AD22="Yes",COUNTIFS($B$7:$B$306,B22,$O$7:$O$306,"Labour",$Q$7:$Q$306,"*Operator*")&gt;0),"OPERATOR DOUBLE-COUNT",IF(AND(O22="Plant",AE22="Yes",COUNTIFS($B$7:$B$306,B22,$Q$7:$Q$306,"*Fuel*")&gt;0),"FUEL DOUBLE-COUNT",IF(AH22&lt;&gt;"Yes","VERIFY","OK"))))))</x:f>
        <x:v>OK</x:v>
      </x:c>
      <x:c r="AJ22" s="54" t="str">
        <x:v>Rev21 current basis: 55WD dry programme; 440h base supervision. Weather-extension supervision remains CA10.</x:v>
      </x:c>
      <x:c r="AK22" s="473" t="str">
        <x:v>No</x:v>
      </x:c>
      <x:c r="AL22" s="473"/>
      <x:c r="AM22" s="473" t="str">
        <x:v>N/A - time-related prelim handled through Weather Risk</x:v>
      </x:c>
      <x:c r="AN22" s="500" t="n">
        <x:f>IF(AND(AK22="Yes",OR(O22="Labour",O22="Plant")),Z22,0)</x:f>
        <x:v>0</x:v>
      </x:c>
    </x:row>
    <x:row r="23" ht="22.049999237060547" customHeight="1">
      <x:c r="A23" s="80" t="str">
        <x:f>IF(B23="","",B23&amp;"-"&amp;TEXT(COUNTIF($B$7:B23,B23),"000"))</x:f>
        <x:v>ESC01-001</x:v>
      </x:c>
      <x:c r="B23" s="53" t="str">
        <x:v>ESC01</x:v>
      </x:c>
      <x:c r="C23" s="81" t="str">
        <x:f>IFERROR(INDEX('QS Takeoff'!$A$3:$A$194,MATCH(B23,'QS Takeoff'!$B$3:$B$194,0)),"")</x:f>
        <x:v>Erosion &amp; Sediment Control</x:v>
      </x:c>
      <x:c r="D23" s="81" t="str">
        <x:f>IFERROR(INDEX('QS Takeoff'!$C$3:$C$194,MATCH(B23,'QS Takeoff'!$B$3:$B$194,0)),"")</x:f>
        <x:v>Erosion &amp; sediment control - site-specific layout and extents</x:v>
      </x:c>
      <x:c r="E23" s="81" t="n">
        <x:f>IFERROR(INDEX('QS Takeoff'!$E$3:$E$194,MATCH(B23,'QS Takeoff'!$B$3:$B$194,0)),"")</x:f>
        <x:v>1</x:v>
      </x:c>
      <x:c r="F23" s="81" t="str">
        <x:f>IFERROR(INDEX('QS Takeoff'!$D$3:$D$194,MATCH(B23,'QS Takeoff'!$B$3:$B$194,0)),"")</x:f>
        <x:v>LS</x:v>
      </x:c>
      <x:c r="G23" s="81" t="str">
        <x:f>IFERROR(INDEX('QS Takeoff'!$J$3:$J$194,MATCH(B23,'QS Takeoff'!$B$3:$B$194,0)),"")</x:f>
        <x:v>AMBER - MEASURED / FIRST PRINCIPLES</x:v>
      </x:c>
      <x:c r="H23" s="53" t="str">
        <x:v>Silt-fence fabric: 5 x 50m rolls for 234.3lm working length</x:v>
      </x:c>
      <x:c r="I23" s="60"/>
      <x:c r="J23" s="60"/>
      <x:c r="K23" s="82" t="str">
        <x:f t="shared" si="0">IF(OR(B23="",I23="",I23=0),"",E23/I23)</x:f>
      </x:c>
      <x:c r="L23" s="60"/>
      <x:c r="M23" s="82" t="str">
        <x:f t="shared" si="1">IF(L23&gt;0,L23,K23)</x:f>
      </x:c>
      <x:c r="N23" s="53" t="str">
        <x:v>Direct Qty</x:v>
      </x:c>
      <x:c r="O23" s="53" t="str">
        <x:v>Material</x:v>
      </x:c>
      <x:c r="P23" s="53" t="str">
        <x:v>MAT-SILTFENCE-50</x:v>
      </x:c>
      <x:c r="Q23" s="81" t="str">
        <x:f>IFERROR(INDEX('Resource Rate Library'!$C$5:$C$85,MATCH(P23,'Resource Rate Library'!$A$5:$A$85,0)),"")</x:f>
        <x:v>Cirtex premium silt fence 1.0 x 50m, code 76027</x:v>
      </x:c>
      <x:c r="R23" s="53"/>
      <x:c r="S23" s="53" t="n">
        <x:v>5</x:v>
      </x:c>
      <x:c r="T23" s="81" t="str">
        <x:f>IFERROR(INDEX('Resource Rate Library'!$E$5:$E$85,MATCH(P23,'Resource Rate Library'!$A$5:$A$85,0)),"")</x:f>
        <x:v>roll</x:v>
      </x:c>
      <x:c r="U23" s="62" t="n">
        <x:v>1</x:v>
      </x:c>
      <x:c r="V23" s="62" t="n">
        <x:v>0</x:v>
      </x:c>
      <x:c r="W23" s="83" t="n">
        <x:f>IFERROR(INDEX('Resource Rate Library'!$I$5:$I$85,MATCH(P23,'Resource Rate Library'!$A$5:$A$85,0)),0)</x:f>
        <x:v>87.07</x:v>
      </x:c>
      <x:c r="X23" s="52"/>
      <x:c r="Y23" s="83" t="n">
        <x:f t="shared" si="2">IF(X23&gt;0,X23,W23)</x:f>
        <x:v>87.07</x:v>
      </x:c>
      <x:c r="Z23" s="83" t="n">
        <x:f t="shared" si="3">IF(B23="","",IF(N23="Time x Count",M23*R23*IF(U23="",1,U23)*Y23,IF(N23="QS Qty x Factor",E23*R23*(1+IF(V23="",0,V23))*Y23,IF(N23="Direct Qty",S23*(1+IF(V23="",0,V23))*Y23,IF(N23="Lump Sum / Quote",S23*Y23,0)))))</x:f>
        <x:v>435.34999999999997</x:v>
      </x:c>
      <x:c r="AA23" s="81" t="str">
        <x:f>IFERROR(INDEX('Resource Rate Library'!$N$5:$N$85,MATCH(P23,'Resource Rate Library'!$A$5:$A$85,0)),"")</x:f>
        <x:v>CARTERS Standard Price Book export 08-Sep-2026</x:v>
      </x:c>
      <x:c r="AB23" s="53" t="str">
        <x:v>Stamped DWG231/DWG241 + MK-ESC-001 https://drive.google.com/file/d/13PFL6hD-KmWdnTyspBPusGxFgXuUJ7_v/view</x:v>
      </x:c>
      <x:c r="AC23" s="59" t="str">
        <x:v>09-Sep-2026</x:v>
      </x:c>
      <x:c r="AD23" s="81" t="str">
        <x:f>IFERROR(INDEX('Resource Rate Library'!$G$5:$G$85,MATCH(P23,'Resource Rate Library'!$A$5:$A$85,0)),"")</x:f>
        <x:v>N/A</x:v>
      </x:c>
      <x:c r="AE23" s="81" t="str">
        <x:f>IFERROR(INDEX('Resource Rate Library'!$H$5:$H$85,MATCH(P23,'Resource Rate Library'!$A$5:$A$85,0)),"")</x:f>
        <x:v>N/A</x:v>
      </x:c>
      <x:c r="AF23" s="53" t="str">
        <x:v>GREEN - measured quantity / current rate</x:v>
      </x:c>
      <x:c r="AG23" s="53" t="str">
        <x:v>Main 226.3lm MEASURED + 8.0lm returns CALCULATED/AMBER. Five rolls leave 15.7lm repair reserve.</x:v>
      </x:c>
      <x:c r="AH23" s="53" t="str">
        <x:v>Yes</x:v>
      </x:c>
      <x:c r="AI23" s="81" t="str">
        <x:f t="shared" si="4">IF(B23="","",IF(AND(P23="",N23&lt;&gt;"Lump Sum / Quote"),"RESOURCE CODE",IF(Y23=0,"RATE MISSING",IF(AND(O23="Plant",AD23="Yes",COUNTIFS($B$7:$B$306,B23,$O$7:$O$306,"Labour",$Q$7:$Q$306,"*Operator*")&gt;0),"OPERATOR DOUBLE-COUNT",IF(AND(O23="Plant",AE23="Yes",COUNTIFS($B$7:$B$306,B23,$Q$7:$Q$306,"*Fuel*")&gt;0),"FUEL DOUBLE-COUNT",IF(AH23&lt;&gt;"Yes","VERIFY","OK"))))))</x:f>
        <x:v>OK</x:v>
      </x:c>
      <x:c r="AJ23" s="54" t="str">
        <x:v>Original stamped source governs. Internal markup is verification evidence only.</x:v>
      </x:c>
      <x:c r="AK23" s="473" t="str">
        <x:v>No</x:v>
      </x:c>
      <x:c r="AL23" s="473"/>
      <x:c r="AM23" s="473"/>
      <x:c r="AN23" s="500" t="n">
        <x:f>IF(AND(AK23="Yes",OR(O23="Labour",O23="Plant")),Z23,0)</x:f>
        <x:v>0</x:v>
      </x:c>
    </x:row>
    <x:row r="24" ht="22.049999237060547" customHeight="1">
      <x:c r="A24" s="80" t="str">
        <x:f>IF(B24="","",B24&amp;"-"&amp;TEXT(COUNTIF($B$7:B24,B24),"000"))</x:f>
        <x:v>EW04-001</x:v>
      </x:c>
      <x:c r="B24" s="53" t="str">
        <x:v>EW04</x:v>
      </x:c>
      <x:c r="C24" s="81" t="str">
        <x:f>IFERROR(INDEX('QS Takeoff'!$A$3:$A$194,MATCH(B24,'QS Takeoff'!$B$3:$B$194,0)),"")</x:f>
        <x:v>Earthworks</x:v>
      </x:c>
      <x:c r="D24" s="81" t="str">
        <x:f>IFERROR(INDEX('QS Takeoff'!$C$3:$C$194,MATCH(B24,'QS Takeoff'!$B$3:$B$194,0)),"")</x:f>
        <x:v>Grassed OLFP diversion channel - 300 deep, 500 base, 1V:3H sides</x:v>
      </x:c>
      <x:c r="E24" s="81" t="n">
        <x:f>IFERROR(INDEX('QS Takeoff'!$E$3:$E$194,MATCH(B24,'QS Takeoff'!$B$3:$B$194,0)),"")</x:f>
        <x:v>94.08</x:v>
      </x:c>
      <x:c r="F24" s="81" t="str">
        <x:f>IFERROR(INDEX('QS Takeoff'!$D$3:$D$194,MATCH(B24,'QS Takeoff'!$B$3:$B$194,0)),"")</x:f>
        <x:v>lm</x:v>
      </x:c>
      <x:c r="G24" s="81" t="str">
        <x:f>IFERROR(INDEX('QS Takeoff'!$J$3:$J$194,MATCH(B24,'QS Takeoff'!$B$3:$B$194,0)),"")</x:f>
        <x:v>AMBER - PC SUM</x:v>
      </x:c>
      <x:c r="H24" s="53" t="str">
        <x:v>OLFP swale shaping / trim / grass-interface PC</x:v>
      </x:c>
      <x:c r="I24" s="60"/>
      <x:c r="J24" s="60"/>
      <x:c r="K24" s="82" t="str">
        <x:f t="shared" si="0">IF(OR(B24="",I24="",I24=0),"",E24/I24)</x:f>
      </x:c>
      <x:c r="L24" s="60" t="n">
        <x:v>16</x:v>
      </x:c>
      <x:c r="M24" s="82" t="n">
        <x:f t="shared" si="1">IF(L24&gt;0,L24,K24)</x:f>
        <x:v>16</x:v>
      </x:c>
      <x:c r="N24" s="53" t="str">
        <x:v>Lump Sum / Quote</x:v>
      </x:c>
      <x:c r="O24" s="53" t="str">
        <x:v>Other</x:v>
      </x:c>
      <x:c r="P24" s="53" t="str">
        <x:v>OTH-GENERAL</x:v>
      </x:c>
      <x:c r="Q24" s="81" t="str">
        <x:f>IFERROR(INDEX('Resource Rate Library'!$C$5:$C$85,MATCH(P24,'Resource Rate Library'!$A$5:$A$85,0)),"")</x:f>
        <x:v>Project-specific transparent allowance</x:v>
      </x:c>
      <x:c r="R24" s="53"/>
      <x:c r="S24" s="53" t="n">
        <x:v>1</x:v>
      </x:c>
      <x:c r="T24" s="81" t="str">
        <x:f>IFERROR(INDEX('Resource Rate Library'!$E$5:$E$85,MATCH(P24,'Resource Rate Library'!$A$5:$A$85,0)),"")</x:f>
        <x:v>LS</x:v>
      </x:c>
      <x:c r="U24" s="62" t="n">
        <x:v>1</x:v>
      </x:c>
      <x:c r="V24" s="62" t="n">
        <x:v>0</x:v>
      </x:c>
      <x:c r="W24" s="83" t="n">
        <x:f>IFERROR(INDEX('Resource Rate Library'!$I$5:$I$85,MATCH(P24,'Resource Rate Library'!$A$5:$A$85,0)),0)</x:f>
        <x:v>1</x:v>
      </x:c>
      <x:c r="X24" s="52" t="n">
        <x:v>3000</x:v>
      </x:c>
      <x:c r="Y24" s="83" t="n">
        <x:f t="shared" si="2">IF(X24&gt;0,X24,W24)</x:f>
        <x:v>3000</x:v>
      </x:c>
      <x:c r="Z24" s="83" t="n">
        <x:f t="shared" si="3">IF(B24="","",IF(N24="Time x Count",M24*R24*IF(U24="",1,U24)*Y24,IF(N24="QS Qty x Factor",E24*R24*(1+IF(V24="",0,V24))*Y24,IF(N24="Direct Qty",S24*(1+IF(V24="",0,V24))*Y24,IF(N24="Lump Sum / Quote",S24*Y24,0)))))</x:f>
        <x:v>3000</x:v>
      </x:c>
      <x:c r="AA24" s="81" t="str">
        <x:f>IFERROR(INDEX('Resource Rate Library'!$N$5:$N$85,MATCH(P24,'Resource Rate Library'!$A$5:$A$85,0)),"")</x:f>
        <x:v>Basis shown in Resource Build-Up</x:v>
      </x:c>
      <x:c r="AB24" s="53" t="str">
        <x:v>Estimator PC - OLFP physical work / bulk earthworks duplication check</x:v>
      </x:c>
      <x:c r="AC24" s="59" t="str">
        <x:v>07-Sep-2026</x:v>
      </x:c>
      <x:c r="AD24" s="81" t="str">
        <x:f>IFERROR(INDEX('Resource Rate Library'!$G$5:$G$85,MATCH(P24,'Resource Rate Library'!$A$5:$A$85,0)),"")</x:f>
        <x:v>N/A</x:v>
      </x:c>
      <x:c r="AE24" s="81" t="str">
        <x:f>IFERROR(INDEX('Resource Rate Library'!$H$5:$H$85,MATCH(P24,'Resource Rate Library'!$A$5:$A$85,0)),"")</x:f>
        <x:v>N/A</x:v>
      </x:c>
      <x:c r="AF24" s="53" t="str">
        <x:v>AMBER - PC sum pending quote/verification</x:v>
      </x:c>
      <x:c r="AG24" s="53" t="str">
        <x:v>Replace PC sum with measured/quoted resource build-up before award.</x:v>
      </x:c>
      <x:c r="AH24" s="53" t="str">
        <x:v>No</x:v>
      </x:c>
      <x:c r="AI24" s="81" t="str">
        <x:f t="shared" si="4">IF(B24="","",IF(AND(P24="",N24&lt;&gt;"Lump Sum / Quote"),"RESOURCE CODE",IF(Y24=0,"RATE MISSING",IF(AND(O24="Plant",AD24="Yes",COUNTIFS($B$7:$B$306,B24,$O$7:$O$306,"Labour",$Q$7:$Q$306,"*Operator*")&gt;0),"OPERATOR DOUBLE-COUNT",IF(AND(O24="Plant",AE24="Yes",COUNTIFS($B$7:$B$306,B24,$Q$7:$Q$306,"*Fuel*")&gt;0),"FUEL DOUBLE-COUNT",IF(AH24&lt;&gt;"Yes","VERIFY","OK"))))))</x:f>
        <x:v>VERIFY</x:v>
      </x:c>
      <x:c r="AJ24" s="54" t="str">
        <x:v>PC sum authorised by Rick for complete tender-review build; not a supplier quote.</x:v>
      </x:c>
      <x:c r="AK24" s="473" t="str">
        <x:v>No</x:v>
      </x:c>
      <x:c r="AL24" s="473"/>
      <x:c r="AM24" s="473" t="str">
        <x:v>N/A - fixed PC sum</x:v>
      </x:c>
      <x:c r="AN24" s="500" t="n">
        <x:f>IF(AND(AK24="Yes",OR(O24="Labour",O24="Plant")),Z24,0)</x:f>
        <x:v>0</x:v>
      </x:c>
    </x:row>
    <x:row r="25" ht="22.049999237060547" customHeight="1">
      <x:c r="A25" s="80" t="str">
        <x:f>IF(B25="","",B25&amp;"-"&amp;TEXT(COUNTIF($B$7:B25,B25),"000"))</x:f>
        <x:v>EW05-001</x:v>
      </x:c>
      <x:c r="B25" s="53" t="str">
        <x:v>EW05</x:v>
      </x:c>
      <x:c r="C25" s="81" t="str">
        <x:f>IFERROR(INDEX('QS Takeoff'!$A$3:$A$194,MATCH(B25,'QS Takeoff'!$B$3:$B$194,0)),"")</x:f>
        <x:v>Earthworks</x:v>
      </x:c>
      <x:c r="D25" s="81" t="str">
        <x:f>IFERROR(INDEX('QS Takeoff'!$C$3:$C$194,MATCH(B25,'QS Takeoff'!$B$3:$B$194,0)),"")</x:f>
        <x:v>Foundation pad excavation P1-P4</x:v>
      </x:c>
      <x:c r="E25" s="81" t="n">
        <x:f>IFERROR(INDEX('QS Takeoff'!$E$3:$E$194,MATCH(B25,'QS Takeoff'!$B$3:$B$194,0)),"")</x:f>
        <x:v>2.191</x:v>
      </x:c>
      <x:c r="F25" s="81" t="str">
        <x:f>IFERROR(INDEX('QS Takeoff'!$D$3:$D$194,MATCH(B25,'QS Takeoff'!$B$3:$B$194,0)),"")</x:f>
        <x:v>m3</x:v>
      </x:c>
      <x:c r="G25" s="81" t="str">
        <x:f>IFERROR(INDEX('QS Takeoff'!$J$3:$J$194,MATCH(B25,'QS Takeoff'!$B$3:$B$194,0)),"")</x:f>
        <x:v>AMBER - PC SUM</x:v>
      </x:c>
      <x:c r="H25" s="53" t="str">
        <x:v>P1-P4 pad excavation PC</x:v>
      </x:c>
      <x:c r="I25" s="60"/>
      <x:c r="J25" s="60"/>
      <x:c r="K25" s="82" t="str">
        <x:f t="shared" si="0">IF(OR(B25="",I25="",I25=0),"",E25/I25)</x:f>
      </x:c>
      <x:c r="L25" s="60" t="n">
        <x:v>16</x:v>
      </x:c>
      <x:c r="M25" s="82" t="n">
        <x:f t="shared" si="1">IF(L25&gt;0,L25,K25)</x:f>
        <x:v>16</x:v>
      </x:c>
      <x:c r="N25" s="53" t="str">
        <x:v>Lump Sum / Quote</x:v>
      </x:c>
      <x:c r="O25" s="53" t="str">
        <x:v>Other</x:v>
      </x:c>
      <x:c r="P25" s="53" t="str">
        <x:v>OTH-GENERAL</x:v>
      </x:c>
      <x:c r="Q25" s="81" t="str">
        <x:f>IFERROR(INDEX('Resource Rate Library'!$C$5:$C$85,MATCH(P25,'Resource Rate Library'!$A$5:$A$85,0)),"")</x:f>
        <x:v>Project-specific transparent allowance</x:v>
      </x:c>
      <x:c r="R25" s="53"/>
      <x:c r="S25" s="53" t="n">
        <x:v>1</x:v>
      </x:c>
      <x:c r="T25" s="81" t="str">
        <x:f>IFERROR(INDEX('Resource Rate Library'!$E$5:$E$85,MATCH(P25,'Resource Rate Library'!$A$5:$A$85,0)),"")</x:f>
        <x:v>LS</x:v>
      </x:c>
      <x:c r="U25" s="62" t="n">
        <x:v>1</x:v>
      </x:c>
      <x:c r="V25" s="62" t="n">
        <x:v>0</x:v>
      </x:c>
      <x:c r="W25" s="83" t="n">
        <x:f>IFERROR(INDEX('Resource Rate Library'!$I$5:$I$85,MATCH(P25,'Resource Rate Library'!$A$5:$A$85,0)),0)</x:f>
        <x:v>1</x:v>
      </x:c>
      <x:c r="X25" s="52" t="n">
        <x:v>2500</x:v>
      </x:c>
      <x:c r="Y25" s="83" t="n">
        <x:f t="shared" si="2">IF(X25&gt;0,X25,W25)</x:f>
        <x:v>2500</x:v>
      </x:c>
      <x:c r="Z25" s="83" t="n">
        <x:f t="shared" si="3">IF(B25="","",IF(N25="Time x Count",M25*R25*IF(U25="",1,U25)*Y25,IF(N25="QS Qty x Factor",E25*R25*(1+IF(V25="",0,V25))*Y25,IF(N25="Direct Qty",S25*(1+IF(V25="",0,V25))*Y25,IF(N25="Lump Sum / Quote",S25*Y25,0)))))</x:f>
        <x:v>2500</x:v>
      </x:c>
      <x:c r="AA25" s="81" t="str">
        <x:f>IFERROR(INDEX('Resource Rate Library'!$N$5:$N$85,MATCH(P25,'Resource Rate Library'!$A$5:$A$85,0)),"")</x:f>
        <x:v>Basis shown in Resource Build-Up</x:v>
      </x:c>
      <x:c r="AB25" s="53" t="str">
        <x:v>Estimator PC - P1-P4 measured pads; excavation method / final foundation scope pending</x:v>
      </x:c>
      <x:c r="AC25" s="59" t="str">
        <x:v>07-Sep-2026</x:v>
      </x:c>
      <x:c r="AD25" s="81" t="str">
        <x:f>IFERROR(INDEX('Resource Rate Library'!$G$5:$G$85,MATCH(P25,'Resource Rate Library'!$A$5:$A$85,0)),"")</x:f>
        <x:v>N/A</x:v>
      </x:c>
      <x:c r="AE25" s="81" t="str">
        <x:f>IFERROR(INDEX('Resource Rate Library'!$H$5:$H$85,MATCH(P25,'Resource Rate Library'!$A$5:$A$85,0)),"")</x:f>
        <x:v>N/A</x:v>
      </x:c>
      <x:c r="AF25" s="53" t="str">
        <x:v>AMBER - PC sum pending quote/verification</x:v>
      </x:c>
      <x:c r="AG25" s="53" t="str">
        <x:v>Replace PC sum with measured/quoted resource build-up before award.</x:v>
      </x:c>
      <x:c r="AH25" s="53" t="str">
        <x:v>No</x:v>
      </x:c>
      <x:c r="AI25" s="81" t="str">
        <x:f t="shared" si="4">IF(B25="","",IF(AND(P25="",N25&lt;&gt;"Lump Sum / Quote"),"RESOURCE CODE",IF(Y25=0,"RATE MISSING",IF(AND(O25="Plant",AD25="Yes",COUNTIFS($B$7:$B$306,B25,$O$7:$O$306,"Labour",$Q$7:$Q$306,"*Operator*")&gt;0),"OPERATOR DOUBLE-COUNT",IF(AND(O25="Plant",AE25="Yes",COUNTIFS($B$7:$B$306,B25,$Q$7:$Q$306,"*Fuel*")&gt;0),"FUEL DOUBLE-COUNT",IF(AH25&lt;&gt;"Yes","VERIFY","OK"))))))</x:f>
        <x:v>VERIFY</x:v>
      </x:c>
      <x:c r="AJ25" s="54" t="str">
        <x:v>PC sum authorised by Rick for complete tender-review build; not a supplier quote.</x:v>
      </x:c>
      <x:c r="AK25" s="473" t="str">
        <x:v>No</x:v>
      </x:c>
      <x:c r="AL25" s="473"/>
      <x:c r="AM25" s="473" t="str">
        <x:v>N/A - fixed PC sum</x:v>
      </x:c>
      <x:c r="AN25" s="500" t="n">
        <x:f>IF(AND(AK25="Yes",OR(O25="Labour",O25="Plant")),Z25,0)</x:f>
        <x:v>0</x:v>
      </x:c>
    </x:row>
    <x:row r="26" ht="22.049999237060547" customHeight="1">
      <x:c r="A26" s="80" t="str">
        <x:f>IF(B26="","",B26&amp;"-"&amp;TEXT(COUNTIF($B$7:B26,B26),"000"))</x:f>
        <x:v>EW06-001</x:v>
      </x:c>
      <x:c r="B26" s="53" t="str">
        <x:v>EW06</x:v>
      </x:c>
      <x:c r="C26" s="81" t="str">
        <x:f>IFERROR(INDEX('QS Takeoff'!$A$3:$A$194,MATCH(B26,'QS Takeoff'!$B$3:$B$194,0)),"")</x:f>
        <x:v>Earthworks</x:v>
      </x:c>
      <x:c r="D26" s="81" t="str">
        <x:f>IFERROR(INDEX('QS Takeoff'!$C$3:$C$194,MATCH(B26,'QS Takeoff'!$B$3:$B$194,0)),"")</x:f>
        <x:v>PILE2 bored foundation holes 450 dia x 1.2m</x:v>
      </x:c>
      <x:c r="E26" s="81" t="n">
        <x:f>IFERROR(INDEX('QS Takeoff'!$E$3:$E$194,MATCH(B26,'QS Takeoff'!$B$3:$B$194,0)),"")</x:f>
        <x:v>15</x:v>
      </x:c>
      <x:c r="F26" s="81" t="str">
        <x:f>IFERROR(INDEX('QS Takeoff'!$D$3:$D$194,MATCH(B26,'QS Takeoff'!$B$3:$B$194,0)),"")</x:f>
        <x:v>ea</x:v>
      </x:c>
      <x:c r="G26" s="81" t="str">
        <x:v>BY SUBCONTRACT - COAST / REFERENCE ONLY</x:v>
      </x:c>
      <x:c r="H26" s="53" t="str">
        <x:v>Coast PILE2 bored-hole excavation - 15 P2 piles confirmed; Siteworks historical self-perform control retained for audit</x:v>
      </x:c>
      <x:c r="I26" s="60"/>
      <x:c r="J26" s="60"/>
      <x:c r="K26" s="82" t="str">
        <x:f t="shared" si="0">IF(OR(B26="",I26="",I26=0),"",E26/I26)</x:f>
      </x:c>
      <x:c r="L26" s="60" t="n">
        <x:v>11</x:v>
      </x:c>
      <x:c r="M26" s="82" t="n">
        <x:f t="shared" si="1">IF(L26&gt;0,L26,K26)</x:f>
        <x:v>11</x:v>
      </x:c>
      <x:c r="N26" s="53" t="str">
        <x:v>Time x Count</x:v>
      </x:c>
      <x:c r="O26" s="53" t="str">
        <x:v>Plant</x:v>
      </x:c>
      <x:c r="P26" s="53" t="str">
        <x:v>PL-EXC-3-INHOUSE</x:v>
      </x:c>
      <x:c r="Q26" s="81" t="str">
        <x:f>IFERROR(INDEX('Resource Rate Library'!$C$5:$C$85,MATCH(P26,'Resource Rate Library'!$A$5:$A$85,0)),"")</x:f>
        <x:v>3.0 t excavator in-house historical project rate - operator included</x:v>
      </x:c>
      <x:c r="R26" s="53" t="n">
        <x:v>0</x:v>
      </x:c>
      <x:c r="S26" s="53"/>
      <x:c r="T26" s="81" t="str">
        <x:f>IFERROR(INDEX('Resource Rate Library'!$E$5:$E$85,MATCH(P26,'Resource Rate Library'!$A$5:$A$85,0)),"")</x:f>
        <x:v>hr</x:v>
      </x:c>
      <x:c r="U26" s="62" t="n">
        <x:v>1</x:v>
      </x:c>
      <x:c r="V26" s="62" t="n">
        <x:v>0</x:v>
      </x:c>
      <x:c r="W26" s="83" t="n">
        <x:f>IFERROR(INDEX('Resource Rate Library'!$I$5:$I$85,MATCH(P26,'Resource Rate Library'!$A$5:$A$85,0)),0)</x:f>
        <x:v>97.5</x:v>
      </x:c>
      <x:c r="X26" s="52"/>
      <x:c r="Y26" s="83" t="n">
        <x:f t="shared" si="2">IF(X26&gt;0,X26,W26)</x:f>
        <x:v>97.5</x:v>
      </x:c>
      <x:c r="Z26" s="83" t="n">
        <x:f t="shared" si="3">IF(B26="","",IF(N26="Time x Count",M26*R26*IF(U26="",1,U26)*Y26,IF(N26="QS Qty x Factor",E26*R26*(1+IF(V26="",0,V26))*Y26,IF(N26="Direct Qty",S26*(1+IF(V26="",0,V26))*Y26,IF(N26="Lump Sum / Quote",S26*Y26,0)))))</x:f>
        <x:v>0</x:v>
      </x:c>
      <x:c r="AA26" s="81" t="str">
        <x:f>IFERROR(INDEX('Resource Rate Library'!$N$5:$N$85,MATCH(P26,'Resource Rate Library'!$A$5:$A$85,0)),"")</x:f>
        <x:v>Blackline_Estimate_Cost_Tracker_48_Eastglen.xlsx / 48 Eastglen project</x:v>
      </x:c>
      <x:c r="AB26" s="53" t="str">
        <x:v>Coast Concrete formal quote 09-Sep-2026 + Karl clarification 11-Sep-2026</x:v>
      </x:c>
      <x:c r="AC26" s="59" t="str">
        <x:v>11-Sep-2026</x:v>
      </x:c>
      <x:c r="AD26" s="81" t="str">
        <x:f>IFERROR(INDEX('Resource Rate Library'!$G$5:$G$85,MATCH(P26,'Resource Rate Library'!$A$5:$A$85,0)),"")</x:f>
        <x:v>Yes</x:v>
      </x:c>
      <x:c r="AE26" s="81" t="str">
        <x:f>IFERROR(INDEX('Resource Rate Library'!$H$5:$H$85,MATCH(P26,'Resource Rate Library'!$A$5:$A$85,0)),"")</x:f>
        <x:v>Unclear - historical rate treated all-in; no separate fuel added</x:v>
      </x:c>
      <x:c r="AF26" s="53" t="str">
        <x:v>GREEN - BY SUBCONTRACT / SITEWORKS COST ZERO</x:v>
      </x:c>
      <x:c r="AG26" s="53" t="str">
        <x:v>Karl confirms 15 PILE2 on Structural Rev B. Coast formal quote includes excavation of 15 P2 piles. Latest clarification excludes footing excavation, bulk excavation and hardfill to 350mm below FFL; therefore only PILE2 boring is transferred from Siteworks.</x:v>
      </x:c>
      <x:c r="AH26" s="53" t="str">
        <x:v>Yes</x:v>
      </x:c>
      <x:c r="AI26" s="81" t="str">
        <x:f t="shared" si="4"/>
        <x:v>OK - DUPLICATION REMOVED</x:v>
      </x:c>
      <x:c r="AJ26" s="54" t="str">
        <x:v>Historical in-house resource remains visible but count is zero. Do not reinstate unless Coast scope is formally changed.</x:v>
      </x:c>
      <x:c r="AK26" s="473" t="str">
        <x:v>No</x:v>
      </x:c>
      <x:c r="AL26" s="473" t="str">
        <x:v>Bored piles / drilled holes</x:v>
      </x:c>
      <x:c r="AM26" s="473" t="str">
        <x:v>BY COAST / NOT SITEWORKS WEATHER EXPOSED</x:v>
      </x:c>
      <x:c r="AN26" s="500" t="n">
        <x:v>0</x:v>
      </x:c>
    </x:row>
    <x:row r="27" ht="22.049999237060547" customHeight="1">
      <x:c r="A27" s="80" t="str">
        <x:f>IF(B27="","",B27&amp;"-"&amp;TEXT(COUNTIF($B$7:B27,B27),"000"))</x:f>
        <x:v>EW07-001</x:v>
      </x:c>
      <x:c r="B27" s="53" t="str">
        <x:v>EW07</x:v>
      </x:c>
      <x:c r="C27" s="81" t="str">
        <x:f>IFERROR(INDEX('QS Takeoff'!$A$3:$A$194,MATCH(B27,'QS Takeoff'!$B$3:$B$194,0)),"")</x:f>
        <x:v>Earthworks</x:v>
      </x:c>
      <x:c r="D27" s="81" t="str">
        <x:f>IFERROR(INDEX('QS Takeoff'!$C$3:$C$194,MATCH(B27,'QS Takeoff'!$B$3:$B$194,0)),"")</x:f>
        <x:v>F1-F7 strip / thickening / wing footing excavation</x:v>
      </x:c>
      <x:c r="E27" s="81" t="n">
        <x:f>IFERROR(INDEX('QS Takeoff'!$E$3:$E$194,MATCH(B27,'QS Takeoff'!$B$3:$B$194,0)),"")</x:f>
        <x:v>1</x:v>
      </x:c>
      <x:c r="F27" s="81" t="str">
        <x:f>IFERROR(INDEX('QS Takeoff'!$D$3:$D$194,MATCH(B27,'QS Takeoff'!$B$3:$B$194,0)),"")</x:f>
        <x:v>LS</x:v>
      </x:c>
      <x:c r="G27" s="81" t="str">
        <x:f>IFERROR(INDEX('QS Takeoff'!$J$3:$J$194,MATCH(B27,'QS Takeoff'!$B$3:$B$194,0)),"")</x:f>
        <x:v>AMBER - PC SUM</x:v>
      </x:c>
      <x:c r="H27" s="53" t="str">
        <x:v>F1-F7 strip/thickening/wing-footing excavation PC</x:v>
      </x:c>
      <x:c r="I27" s="60"/>
      <x:c r="J27" s="60"/>
      <x:c r="K27" s="82" t="str">
        <x:f t="shared" si="0">IF(OR(B27="",I27="",I27=0),"",E27/I27)</x:f>
      </x:c>
      <x:c r="L27" s="60" t="n">
        <x:v>40</x:v>
      </x:c>
      <x:c r="M27" s="82" t="n">
        <x:f t="shared" si="1">IF(L27&gt;0,L27,K27)</x:f>
        <x:v>40</x:v>
      </x:c>
      <x:c r="N27" s="53" t="str">
        <x:v>Lump Sum / Quote</x:v>
      </x:c>
      <x:c r="O27" s="53" t="str">
        <x:v>Other</x:v>
      </x:c>
      <x:c r="P27" s="53" t="str">
        <x:v>OTH-GENERAL</x:v>
      </x:c>
      <x:c r="Q27" s="81" t="str">
        <x:f>IFERROR(INDEX('Resource Rate Library'!$C$5:$C$85,MATCH(P27,'Resource Rate Library'!$A$5:$A$85,0)),"")</x:f>
        <x:v>Project-specific transparent allowance</x:v>
      </x:c>
      <x:c r="R27" s="53"/>
      <x:c r="S27" s="53" t="n">
        <x:v>1</x:v>
      </x:c>
      <x:c r="T27" s="81" t="str">
        <x:f>IFERROR(INDEX('Resource Rate Library'!$E$5:$E$85,MATCH(P27,'Resource Rate Library'!$A$5:$A$85,0)),"")</x:f>
        <x:v>LS</x:v>
      </x:c>
      <x:c r="U27" s="62" t="n">
        <x:v>1</x:v>
      </x:c>
      <x:c r="V27" s="62" t="n">
        <x:v>0</x:v>
      </x:c>
      <x:c r="W27" s="83" t="n">
        <x:f>IFERROR(INDEX('Resource Rate Library'!$I$5:$I$85,MATCH(P27,'Resource Rate Library'!$A$5:$A$85,0)),0)</x:f>
        <x:v>1</x:v>
      </x:c>
      <x:c r="X27" s="52" t="n">
        <x:v>12500</x:v>
      </x:c>
      <x:c r="Y27" s="83" t="n">
        <x:f t="shared" si="2">IF(X27&gt;0,X27,W27)</x:f>
        <x:v>12500</x:v>
      </x:c>
      <x:c r="Z27" s="83" t="n">
        <x:f t="shared" si="3">IF(B27="","",IF(N27="Time x Count",M27*R27*IF(U27="",1,U27)*Y27,IF(N27="QS Qty x Factor",E27*R27*(1+IF(V27="",0,V27))*Y27,IF(N27="Direct Qty",S27*(1+IF(V27="",0,V27))*Y27,IF(N27="Lump Sum / Quote",S27*Y27,0)))))</x:f>
        <x:v>12500</x:v>
      </x:c>
      <x:c r="AA27" s="81" t="str">
        <x:f>IFERROR(INDEX('Resource Rate Library'!$N$5:$N$85,MATCH(P27,'Resource Rate Library'!$A$5:$A$85,0)),"")</x:f>
        <x:v>Basis shown in Resource Build-Up</x:v>
      </x:c>
      <x:c r="AB27" s="53" t="str">
        <x:v>Estimator PC - F1-F7 lineal takeoff / slab contractor scope pending</x:v>
      </x:c>
      <x:c r="AC27" s="59" t="str">
        <x:v>07-Sep-2026</x:v>
      </x:c>
      <x:c r="AD27" s="81" t="str">
        <x:f>IFERROR(INDEX('Resource Rate Library'!$G$5:$G$85,MATCH(P27,'Resource Rate Library'!$A$5:$A$85,0)),"")</x:f>
        <x:v>N/A</x:v>
      </x:c>
      <x:c r="AE27" s="81" t="str">
        <x:f>IFERROR(INDEX('Resource Rate Library'!$H$5:$H$85,MATCH(P27,'Resource Rate Library'!$A$5:$A$85,0)),"")</x:f>
        <x:v>N/A</x:v>
      </x:c>
      <x:c r="AF27" s="53" t="str">
        <x:v>AMBER - PC sum pending quote/verification</x:v>
      </x:c>
      <x:c r="AG27" s="53" t="str">
        <x:v>Replace PC sum with measured/quoted resource build-up before award.</x:v>
      </x:c>
      <x:c r="AH27" s="53" t="str">
        <x:v>No</x:v>
      </x:c>
      <x:c r="AI27" s="81" t="str">
        <x:f t="shared" si="4">IF(B27="","",IF(AND(P27="",N27&lt;&gt;"Lump Sum / Quote"),"RESOURCE CODE",IF(Y27=0,"RATE MISSING",IF(AND(O27="Plant",AD27="Yes",COUNTIFS($B$7:$B$306,B27,$O$7:$O$306,"Labour",$Q$7:$Q$306,"*Operator*")&gt;0),"OPERATOR DOUBLE-COUNT",IF(AND(O27="Plant",AE27="Yes",COUNTIFS($B$7:$B$306,B27,$Q$7:$Q$306,"*Fuel*")&gt;0),"FUEL DOUBLE-COUNT",IF(AH27&lt;&gt;"Yes","VERIFY","OK"))))))</x:f>
        <x:v>VERIFY</x:v>
      </x:c>
      <x:c r="AJ27" s="54" t="str">
        <x:v>PC sum authorised by Rick for complete tender-review build; not a supplier quote.</x:v>
      </x:c>
      <x:c r="AK27" s="473" t="str">
        <x:v>No</x:v>
      </x:c>
      <x:c r="AL27" s="473"/>
      <x:c r="AM27" s="473" t="str">
        <x:v>N/A - fixed PC sum</x:v>
      </x:c>
      <x:c r="AN27" s="500" t="n">
        <x:f>IF(AND(AK27="Yes",OR(O27="Labour",O27="Plant")),Z27,0)</x:f>
        <x:v>0</x:v>
      </x:c>
    </x:row>
    <x:row r="28" ht="22.049999237060547" customHeight="1">
      <x:c r="A28" s="80" t="str">
        <x:f>IF(B28="","",B28&amp;"-"&amp;TEXT(COUNTIF($B$7:B28,B28),"000"))</x:f>
        <x:v>EW08-001</x:v>
      </x:c>
      <x:c r="B28" s="53" t="str">
        <x:v>EW08</x:v>
      </x:c>
      <x:c r="C28" s="81" t="str">
        <x:f>IFERROR(INDEX('QS Takeoff'!$A$3:$A$194,MATCH(B28,'QS Takeoff'!$B$3:$B$194,0)),"")</x:f>
        <x:v>Earthworks</x:v>
      </x:c>
      <x:c r="D28" s="81" t="str">
        <x:f>IFERROR(INDEX('QS Takeoff'!$C$3:$C$194,MATCH(B28,'QS Takeoff'!$B$3:$B$194,0)),"")</x:f>
        <x:v>Earthworks export / cartage / tipping</x:v>
      </x:c>
      <x:c r="E28" s="81" t="n">
        <x:f>IFERROR(INDEX('QS Takeoff'!$E$3:$E$194,MATCH(B28,'QS Takeoff'!$B$3:$B$194,0)),"")</x:f>
        <x:v>1</x:v>
      </x:c>
      <x:c r="F28" s="81" t="str">
        <x:f>IFERROR(INDEX('QS Takeoff'!$D$3:$D$194,MATCH(B28,'QS Takeoff'!$B$3:$B$194,0)),"")</x:f>
        <x:v>LS</x:v>
      </x:c>
      <x:c r="G28" s="81" t="str">
        <x:f>IFERROR(INDEX('QS Takeoff'!$J$3:$J$194,MATCH(B28,'QS Takeoff'!$B$3:$B$194,0)),"")</x:f>
        <x:v>AMBER - PC SUM</x:v>
      </x:c>
      <x:c r="H28" s="53" t="str">
        <x:v>Incidental surplus spoil / cartage / tipping PC</x:v>
      </x:c>
      <x:c r="I28" s="60"/>
      <x:c r="J28" s="60"/>
      <x:c r="K28" s="82" t="str">
        <x:f t="shared" si="0">IF(OR(B28="",I28="",I28=0),"",E28/I28)</x:f>
      </x:c>
      <x:c r="L28" s="60" t="n">
        <x:v>40</x:v>
      </x:c>
      <x:c r="M28" s="82" t="n">
        <x:f t="shared" si="1">IF(L28&gt;0,L28,K28)</x:f>
        <x:v>40</x:v>
      </x:c>
      <x:c r="N28" s="53" t="str">
        <x:v>Lump Sum / Quote</x:v>
      </x:c>
      <x:c r="O28" s="53" t="str">
        <x:v>Other</x:v>
      </x:c>
      <x:c r="P28" s="53" t="str">
        <x:v>OTH-GENERAL</x:v>
      </x:c>
      <x:c r="Q28" s="81" t="str">
        <x:f>IFERROR(INDEX('Resource Rate Library'!$C$5:$C$85,MATCH(P28,'Resource Rate Library'!$A$5:$A$85,0)),"")</x:f>
        <x:v>Project-specific transparent allowance</x:v>
      </x:c>
      <x:c r="R28" s="53"/>
      <x:c r="S28" s="53" t="n">
        <x:v>1</x:v>
      </x:c>
      <x:c r="T28" s="81" t="str">
        <x:f>IFERROR(INDEX('Resource Rate Library'!$E$5:$E$85,MATCH(P28,'Resource Rate Library'!$A$5:$A$85,0)),"")</x:f>
        <x:v>LS</x:v>
      </x:c>
      <x:c r="U28" s="62" t="n">
        <x:v>1</x:v>
      </x:c>
      <x:c r="V28" s="62" t="n">
        <x:v>0</x:v>
      </x:c>
      <x:c r="W28" s="83" t="n">
        <x:f>IFERROR(INDEX('Resource Rate Library'!$I$5:$I$85,MATCH(P28,'Resource Rate Library'!$A$5:$A$85,0)),0)</x:f>
        <x:v>1</x:v>
      </x:c>
      <x:c r="X28" s="52" t="n">
        <x:v>10000</x:v>
      </x:c>
      <x:c r="Y28" s="83" t="n">
        <x:f t="shared" si="2">IF(X28&gt;0,X28,W28)</x:f>
        <x:v>10000</x:v>
      </x:c>
      <x:c r="Z28" s="83" t="n">
        <x:f t="shared" si="3">IF(B28="","",IF(N28="Time x Count",M28*R28*IF(U28="",1,U28)*Y28,IF(N28="QS Qty x Factor",E28*R28*(1+IF(V28="",0,V28))*Y28,IF(N28="Direct Qty",S28*(1+IF(V28="",0,V28))*Y28,IF(N28="Lump Sum / Quote",S28*Y28,0)))))</x:f>
        <x:v>10000</x:v>
      </x:c>
      <x:c r="AA28" s="81" t="str">
        <x:f>IFERROR(INDEX('Resource Rate Library'!$N$5:$N$85,MATCH(P28,'Resource Rate Library'!$A$5:$A$85,0)),"")</x:f>
        <x:v>Basis shown in Resource Build-Up</x:v>
      </x:c>
      <x:c r="AB28" s="53" t="str">
        <x:v>Q-10 SENT 07-Sep-2026 - cartage/tipping rate enquiry</x:v>
      </x:c>
      <x:c r="AC28" s="59" t="str">
        <x:v>07-Sep-2026</x:v>
      </x:c>
      <x:c r="AD28" s="81" t="str">
        <x:f>IFERROR(INDEX('Resource Rate Library'!$G$5:$G$85,MATCH(P28,'Resource Rate Library'!$A$5:$A$85,0)),"")</x:f>
        <x:v>N/A</x:v>
      </x:c>
      <x:c r="AE28" s="81" t="str">
        <x:f>IFERROR(INDEX('Resource Rate Library'!$H$5:$H$85,MATCH(P28,'Resource Rate Library'!$A$5:$A$85,0)),"")</x:f>
        <x:v>N/A</x:v>
      </x:c>
      <x:c r="AF28" s="53" t="str">
        <x:v>AMBER - PC sum pending quote/verification</x:v>
      </x:c>
      <x:c r="AG28" s="53" t="str">
        <x:v>Replace PC sum with measured/quoted resource build-up before award.</x:v>
      </x:c>
      <x:c r="AH28" s="53" t="str">
        <x:v>No</x:v>
      </x:c>
      <x:c r="AI28" s="81" t="str">
        <x:f>IF(B28="","",IF(AND(P28="",N28&lt;&gt;"Lump Sum / Quote"),"RESOURCE CODE",IF(Y28=0,"RATE MISSING",IF(AND(O28="Plant",AD28="Yes",COUNTIFS($B$7:$B$306,B28,$O$7:$O$306,"Labour",$Q$7:$Q$306,"*Operator*")&gt;0),"OPERATOR DOUBLE-COUNT",IF(AND(O28="Plant",AE28="Yes",COUNTIFS($B$7:$B$306,B28,$Q$7:$Q$306,"*Fuel*")&gt;0),"FUEL DOUBLE-COUNT",IF(AH28&lt;&gt;"Yes","VERIFY","OK"))))))</x:f>
        <x:v>VERIFY</x:v>
      </x:c>
      <x:c r="AJ28" s="54" t="str">
        <x:v>PC sum authorised by Rick for complete tender-review build; not a supplier quote.</x:v>
      </x:c>
      <x:c r="AK28" s="473" t="str">
        <x:v>No</x:v>
      </x:c>
      <x:c r="AL28" s="473"/>
      <x:c r="AM28" s="473" t="str">
        <x:v>N/A - fixed PC sum</x:v>
      </x:c>
      <x:c r="AN28" s="500" t="n">
        <x:f>IF(AND(AK28="Yes",OR(O28="Labour",O28="Plant")),Z28,0)</x:f>
        <x:v>0</x:v>
      </x:c>
    </x:row>
    <x:row r="29" ht="22.049999237060547" customHeight="1">
      <x:c r="A29" s="80" t="str">
        <x:f>IF(B29="","",B29&amp;"-"&amp;TEXT(COUNTIF($B$7:B29,B29),"000"))</x:f>
        <x:v>EW09-001</x:v>
      </x:c>
      <x:c r="B29" s="53" t="str">
        <x:v>EW09</x:v>
      </x:c>
      <x:c r="C29" s="81" t="str">
        <x:f>IFERROR(INDEX('QS Takeoff'!$A$3:$A$194,MATCH(B29,'QS Takeoff'!$B$3:$B$194,0)),"")</x:f>
        <x:v>Earthworks</x:v>
      </x:c>
      <x:c r="D29" s="81" t="str">
        <x:f>IFERROR(INDEX('QS Takeoff'!$C$3:$C$194,MATCH(B29,'QS Takeoff'!$B$3:$B$194,0)),"")</x:f>
        <x:v>Imported / replacement engineered fill</x:v>
      </x:c>
      <x:c r="E29" s="81" t="n">
        <x:f>IFERROR(INDEX('QS Takeoff'!$E$3:$E$194,MATCH(B29,'QS Takeoff'!$B$3:$B$194,0)),"")</x:f>
        <x:v>923</x:v>
      </x:c>
      <x:c r="F29" s="81" t="str">
        <x:f>IFERROR(INDEX('QS Takeoff'!$D$3:$D$194,MATCH(B29,'QS Takeoff'!$B$3:$B$194,0)),"")</x:f>
        <x:v>m3</x:v>
      </x:c>
      <x:c r="G29" s="81" t="str">
        <x:f>IFERROR(INDEX('QS Takeoff'!$J$3:$J$194,MATCH(B29,'QS Takeoff'!$B$3:$B$194,0)),"")</x:f>
        <x:v>AMBER - PC SUM</x:v>
      </x:c>
      <x:c r="H29" s="53" t="str">
        <x:v>923m3 net imported engineered fill supply/delivery PC</x:v>
      </x:c>
      <x:c r="I29" s="60"/>
      <x:c r="J29" s="60"/>
      <x:c r="K29" s="82" t="str">
        <x:f t="shared" si="0">IF(OR(B29="",I29="",I29=0),"",E29/I29)</x:f>
      </x:c>
      <x:c r="L29" s="60"/>
      <x:c r="M29" s="82" t="str">
        <x:f t="shared" si="1">IF(L29&gt;0,L29,K29)</x:f>
      </x:c>
      <x:c r="N29" s="53" t="str">
        <x:v>Lump Sum / Quote</x:v>
      </x:c>
      <x:c r="O29" s="53" t="str">
        <x:v>Other</x:v>
      </x:c>
      <x:c r="P29" s="53" t="str">
        <x:v>OTH-GENERAL</x:v>
      </x:c>
      <x:c r="Q29" s="81" t="str">
        <x:f>IFERROR(INDEX('Resource Rate Library'!$C$5:$C$85,MATCH(P29,'Resource Rate Library'!$A$5:$A$85,0)),"")</x:f>
        <x:v>Project-specific transparent allowance</x:v>
      </x:c>
      <x:c r="R29" s="53"/>
      <x:c r="S29" s="53" t="n">
        <x:v>1</x:v>
      </x:c>
      <x:c r="T29" s="81" t="str">
        <x:f>IFERROR(INDEX('Resource Rate Library'!$E$5:$E$85,MATCH(P29,'Resource Rate Library'!$A$5:$A$85,0)),"")</x:f>
        <x:v>LS</x:v>
      </x:c>
      <x:c r="U29" s="62" t="n">
        <x:v>1</x:v>
      </x:c>
      <x:c r="V29" s="62" t="n">
        <x:v>0</x:v>
      </x:c>
      <x:c r="W29" s="83" t="n">
        <x:f>IFERROR(INDEX('Resource Rate Library'!$I$5:$I$85,MATCH(P29,'Resource Rate Library'!$A$5:$A$85,0)),0)</x:f>
        <x:v>1</x:v>
      </x:c>
      <x:c r="X29" s="52" t="n">
        <x:v>60000</x:v>
      </x:c>
      <x:c r="Y29" s="83" t="n">
        <x:f t="shared" si="2">IF(X29&gt;0,X29,W29)</x:f>
        <x:v>60000</x:v>
      </x:c>
      <x:c r="Z29" s="83" t="n">
        <x:f t="shared" si="3">IF(B29="","",IF(N29="Time x Count",M29*R29*IF(U29="",1,U29)*Y29,IF(N29="QS Qty x Factor",E29*R29*(1+IF(V29="",0,V29))*Y29,IF(N29="Direct Qty",S29*(1+IF(V29="",0,V29))*Y29,IF(N29="Lump Sum / Quote",S29*Y29,0)))))</x:f>
        <x:v>60000</x:v>
      </x:c>
      <x:c r="AA29" s="81" t="str">
        <x:f>IFERROR(INDEX('Resource Rate Library'!$N$5:$N$85,MATCH(P29,'Resource Rate Library'!$A$5:$A$85,0)),"")</x:f>
        <x:v>Basis shown in Resource Build-Up</x:v>
      </x:c>
      <x:c r="AB29" s="53" t="str">
        <x:v>Q-06 SENT 07-Sep-2026 - 923m3 engineered fill + AP20/AP40 delivered pricing</x:v>
      </x:c>
      <x:c r="AC29" s="59" t="str">
        <x:v>07-Sep-2026</x:v>
      </x:c>
      <x:c r="AD29" s="81" t="str">
        <x:f>IFERROR(INDEX('Resource Rate Library'!$G$5:$G$85,MATCH(P29,'Resource Rate Library'!$A$5:$A$85,0)),"")</x:f>
        <x:v>N/A</x:v>
      </x:c>
      <x:c r="AE29" s="81" t="str">
        <x:f>IFERROR(INDEX('Resource Rate Library'!$H$5:$H$85,MATCH(P29,'Resource Rate Library'!$A$5:$A$85,0)),"")</x:f>
        <x:v>N/A</x:v>
      </x:c>
      <x:c r="AF29" s="53" t="str">
        <x:v>AMBER - PC sum pending quote/verification</x:v>
      </x:c>
      <x:c r="AG29" s="53" t="str">
        <x:v>Replace PC sum with measured/quoted resource build-up before award.</x:v>
      </x:c>
      <x:c r="AH29" s="53" t="str">
        <x:v>No</x:v>
      </x:c>
      <x:c r="AI29" s="81" t="str">
        <x:f>IF(B29="","",IF(AND(P29="",N29&lt;&gt;"Lump Sum / Quote"),"RESOURCE CODE",IF(Y29=0,"RATE MISSING",IF(AND(O29="Plant",AD29="Yes",COUNTIFS($B$7:$B$306,B29,$O$7:$O$306,"Labour",$Q$7:$Q$306,"*Operator*")&gt;0),"OPERATOR DOUBLE-COUNT",IF(AND(O29="Plant",AE29="Yes",COUNTIFS($B$7:$B$306,B29,$Q$7:$Q$306,"*Fuel*")&gt;0),"FUEL DOUBLE-COUNT",IF(AH29&lt;&gt;"Yes","VERIFY","OK"))))))</x:f>
        <x:v>VERIFY</x:v>
      </x:c>
      <x:c r="AJ29" s="54" t="str">
        <x:v>PC sum authorised by Rick for complete tender-review build; not a supplier quote.</x:v>
      </x:c>
      <x:c r="AK29" s="473" t="str">
        <x:v>No</x:v>
      </x:c>
      <x:c r="AL29" s="473"/>
      <x:c r="AM29" s="473" t="str">
        <x:v>N/A - fixed PC sum</x:v>
      </x:c>
      <x:c r="AN29" s="500" t="n">
        <x:f>IF(AND(AK29="Yes",OR(O29="Labour",O29="Plant")),Z29,0)</x:f>
        <x:v>0</x:v>
      </x:c>
    </x:row>
    <x:row r="30" ht="22.049999237060547" customHeight="1">
      <x:c r="A30" s="80" t="str">
        <x:f>IF(B30="","",B30&amp;"-"&amp;TEXT(COUNTIF($B$7:B30,B30),"000"))</x:f>
        <x:v>PV02-001</x:v>
      </x:c>
      <x:c r="B30" s="53" t="str">
        <x:v>PV02</x:v>
      </x:c>
      <x:c r="C30" s="81" t="str">
        <x:f>IFERROR(INDEX('QS Takeoff'!$A$3:$A$194,MATCH(B30,'QS Takeoff'!$B$3:$B$194,0)),"")</x:f>
        <x:v>Pavements &amp; Concrete</x:v>
      </x:c>
      <x:c r="D30" s="81" t="str">
        <x:f>IFERROR(INDEX('QS Takeoff'!$C$3:$C$194,MATCH(B30,'QS Takeoff'!$B$3:$B$194,0)),"")</x:f>
        <x:v>Hobsonville Road public VX203 vehicle crossing</x:v>
      </x:c>
      <x:c r="E30" s="81" t="n">
        <x:f>IFERROR(INDEX('QS Takeoff'!$E$3:$E$194,MATCH(B30,'QS Takeoff'!$B$3:$B$194,0)),"")</x:f>
        <x:v>37.7665</x:v>
      </x:c>
      <x:c r="F30" s="81" t="str">
        <x:f>IFERROR(INDEX('QS Takeoff'!$D$3:$D$194,MATCH(B30,'QS Takeoff'!$B$3:$B$194,0)),"")</x:f>
        <x:v>m2</x:v>
      </x:c>
      <x:c r="G30" s="81" t="str">
        <x:f>IFERROR(INDEX('QS Takeoff'!$J$3:$J$194,MATCH(B30,'QS Takeoff'!$B$3:$B$194,0)),"")</x:f>
        <x:v>AMBER - PC SUM</x:v>
      </x:c>
      <x:c r="H30" s="53" t="str">
        <x:v>Public Hobsonville Road VX203 crossing construction PC</x:v>
      </x:c>
      <x:c r="I30" s="60"/>
      <x:c r="J30" s="60"/>
      <x:c r="K30" s="82" t="str">
        <x:f t="shared" si="0">IF(OR(B30="",I30="",I30=0),"",E30/I30)</x:f>
      </x:c>
      <x:c r="L30" s="60" t="n">
        <x:v>40</x:v>
      </x:c>
      <x:c r="M30" s="82" t="n">
        <x:f t="shared" si="1">IF(L30&gt;0,L30,K30)</x:f>
        <x:v>40</x:v>
      </x:c>
      <x:c r="N30" s="53" t="str">
        <x:v>Lump Sum / Quote</x:v>
      </x:c>
      <x:c r="O30" s="53" t="str">
        <x:v>Other</x:v>
      </x:c>
      <x:c r="P30" s="53" t="str">
        <x:v>OTH-GENERAL</x:v>
      </x:c>
      <x:c r="Q30" s="81" t="str">
        <x:f>IFERROR(INDEX('Resource Rate Library'!$C$5:$C$85,MATCH(P30,'Resource Rate Library'!$A$5:$A$85,0)),"")</x:f>
        <x:v>Project-specific transparent allowance</x:v>
      </x:c>
      <x:c r="R30" s="53"/>
      <x:c r="S30" s="53" t="n">
        <x:v>1</x:v>
      </x:c>
      <x:c r="T30" s="81" t="str">
        <x:f>IFERROR(INDEX('Resource Rate Library'!$E$5:$E$85,MATCH(P30,'Resource Rate Library'!$A$5:$A$85,0)),"")</x:f>
        <x:v>LS</x:v>
      </x:c>
      <x:c r="U30" s="62" t="n">
        <x:v>1</x:v>
      </x:c>
      <x:c r="V30" s="62" t="n">
        <x:v>0</x:v>
      </x:c>
      <x:c r="W30" s="83" t="n">
        <x:f>IFERROR(INDEX('Resource Rate Library'!$I$5:$I$85,MATCH(P30,'Resource Rate Library'!$A$5:$A$85,0)),0)</x:f>
        <x:v>1</x:v>
      </x:c>
      <x:c r="X30" s="52" t="n">
        <x:v>18250</x:v>
      </x:c>
      <x:c r="Y30" s="83" t="n">
        <x:f t="shared" si="2">IF(X30&gt;0,X30,W30)</x:f>
        <x:v>18250</x:v>
      </x:c>
      <x:c r="Z30" s="83" t="n">
        <x:f t="shared" si="3">IF(B30="","",IF(N30="Time x Count",M30*R30*IF(U30="",1,U30)*Y30,IF(N30="QS Qty x Factor",E30*R30*(1+IF(V30="",0,V30))*Y30,IF(N30="Direct Qty",S30*(1+IF(V30="",0,V30))*Y30,IF(N30="Lump Sum / Quote",S30*Y30,0)))))</x:f>
        <x:v>18250</x:v>
      </x:c>
      <x:c r="AA30" s="81" t="str">
        <x:f>IFERROR(INDEX('Resource Rate Library'!$N$5:$N$85,MATCH(P30,'Resource Rate Library'!$A$5:$A$85,0)),"")</x:f>
        <x:v>Basis shown in Resource Build-Up</x:v>
      </x:c>
      <x:c r="AB30" s="53" t="str">
        <x:v>Q-05 + Q-07 SENT 07-Sep-2026 - public crossing construction / CAR-TMP</x:v>
      </x:c>
      <x:c r="AC30" s="59" t="str">
        <x:v>07-Sep-2026</x:v>
      </x:c>
      <x:c r="AD30" s="81" t="str">
        <x:f>IFERROR(INDEX('Resource Rate Library'!$G$5:$G$85,MATCH(P30,'Resource Rate Library'!$A$5:$A$85,0)),"")</x:f>
        <x:v>N/A</x:v>
      </x:c>
      <x:c r="AE30" s="81" t="str">
        <x:f>IFERROR(INDEX('Resource Rate Library'!$H$5:$H$85,MATCH(P30,'Resource Rate Library'!$A$5:$A$85,0)),"")</x:f>
        <x:v>N/A</x:v>
      </x:c>
      <x:c r="AF30" s="53" t="str">
        <x:v>AMBER - PC sum pending quote/verification</x:v>
      </x:c>
      <x:c r="AG30" s="53" t="str">
        <x:v>Replace PC sum with measured/quoted resource build-up before award.</x:v>
      </x:c>
      <x:c r="AH30" s="53" t="str">
        <x:v>No</x:v>
      </x:c>
      <x:c r="AI30" s="81" t="str">
        <x:f>IF(B30="","",IF(AND(P30="",N30&lt;&gt;"Lump Sum / Quote"),"RESOURCE CODE",IF(Y30=0,"RATE MISSING",IF(AND(O30="Plant",AD30="Yes",COUNTIFS($B$7:$B$306,B30,$O$7:$O$306,"Labour",$Q$7:$Q$306,"*Operator*")&gt;0),"OPERATOR DOUBLE-COUNT",IF(AND(O30="Plant",AE30="Yes",COUNTIFS($B$7:$B$306,B30,$Q$7:$Q$306,"*Fuel*")&gt;0),"FUEL DOUBLE-COUNT",IF(AH30&lt;&gt;"Yes","VERIFY","OK"))))))</x:f>
        <x:v>VERIFY</x:v>
      </x:c>
      <x:c r="AJ30" s="54" t="str">
        <x:v>PC sum authorised by Rick for complete tender-review build; not a supplier quote.</x:v>
      </x:c>
      <x:c r="AK30" s="473" t="str">
        <x:v>No</x:v>
      </x:c>
      <x:c r="AL30" s="473"/>
      <x:c r="AM30" s="473" t="str">
        <x:v>N/A - fixed PC sum</x:v>
      </x:c>
      <x:c r="AN30" s="500" t="n">
        <x:f>IF(AND(AK30="Yes",OR(O30="Labour",O30="Plant")),Z30,0)</x:f>
        <x:v>0</x:v>
      </x:c>
    </x:row>
    <x:row r="31" ht="22.049999237060547" customHeight="1">
      <x:c r="A31" s="80" t="str">
        <x:f>IF(B31="","",B31&amp;"-"&amp;TEXT(COUNTIF($B$7:B31,B31),"000"))</x:f>
        <x:v>PV04-001</x:v>
      </x:c>
      <x:c r="B31" s="53" t="str">
        <x:v>PV04</x:v>
      </x:c>
      <x:c r="C31" s="81" t="str">
        <x:f>IFERROR(INDEX('QS Takeoff'!$A$3:$A$194,MATCH(B31,'QS Takeoff'!$B$3:$B$194,0)),"")</x:f>
        <x:v>Pavements &amp; Concrete</x:v>
      </x:c>
      <x:c r="D31" s="81" t="str">
        <x:f>IFERROR(INDEX('QS Takeoff'!$C$3:$C$194,MATCH(B31,'QS Takeoff'!$B$3:$B$194,0)),"")</x:f>
        <x:v>External concrete paths / interface paving</x:v>
      </x:c>
      <x:c r="E31" s="81" t="n">
        <x:f>IFERROR(INDEX('QS Takeoff'!$E$3:$E$194,MATCH(B31,'QS Takeoff'!$B$3:$B$194,0)),"")</x:f>
        <x:v>89.65</x:v>
      </x:c>
      <x:c r="F31" s="81" t="str">
        <x:f>IFERROR(INDEX('QS Takeoff'!$D$3:$D$194,MATCH(B31,'QS Takeoff'!$B$3:$B$194,0)),"")</x:f>
        <x:v>m2</x:v>
      </x:c>
      <x:c r="G31" s="81" t="str">
        <x:f>IFERROR(INDEX('QS Takeoff'!$J$3:$J$194,MATCH(B31,'QS Takeoff'!$B$3:$B$194,0)),"")</x:f>
        <x:v>LUC60463161 Stamped Plans A1 Rev11e + TPW clarification 11-Sep-2026</x:v>
      </x:c>
      <x:c r="H31" s="53" t="str">
        <x:v>External path/interface concrete PC</x:v>
      </x:c>
      <x:c r="I31" s="60"/>
      <x:c r="J31" s="60"/>
      <x:c r="K31" s="82" t="str">
        <x:f t="shared" si="0">IF(OR(B31="",I31="",I31=0),"",E31/I31)</x:f>
      </x:c>
      <x:c r="L31" s="60" t="n">
        <x:v>64</x:v>
      </x:c>
      <x:c r="M31" s="82" t="n">
        <x:f t="shared" si="1">IF(L31&gt;0,L31,K31)</x:f>
        <x:v>64</x:v>
      </x:c>
      <x:c r="N31" s="53" t="str">
        <x:v>Lump Sum / Quote</x:v>
      </x:c>
      <x:c r="O31" s="53" t="str">
        <x:v>Other</x:v>
      </x:c>
      <x:c r="P31" s="53" t="str">
        <x:v>OTH-GENERAL</x:v>
      </x:c>
      <x:c r="Q31" s="81" t="str">
        <x:f>IFERROR(INDEX('Resource Rate Library'!$C$5:$C$85,MATCH(P31,'Resource Rate Library'!$A$5:$A$85,0)),"")</x:f>
        <x:v>Project-specific transparent allowance</x:v>
      </x:c>
      <x:c r="R31" s="53"/>
      <x:c r="S31" s="53" t="n">
        <x:v>1</x:v>
      </x:c>
      <x:c r="T31" s="81" t="str">
        <x:f>IFERROR(INDEX('Resource Rate Library'!$E$5:$E$85,MATCH(P31,'Resource Rate Library'!$A$5:$A$85,0)),"")</x:f>
        <x:v>LS</x:v>
      </x:c>
      <x:c r="U31" s="62" t="n">
        <x:v>1</x:v>
      </x:c>
      <x:c r="V31" s="62" t="n">
        <x:v>0</x:v>
      </x:c>
      <x:c r="W31" s="83" t="n">
        <x:f>IFERROR(INDEX('Resource Rate Library'!$I$5:$I$85,MATCH(P31,'Resource Rate Library'!$A$5:$A$85,0)),0)</x:f>
        <x:v>1</x:v>
      </x:c>
      <x:c r="X31" s="52" t="n">
        <x:v>21026.652452025588</x:v>
      </x:c>
      <x:c r="Y31" s="83" t="n">
        <x:f t="shared" si="2">IF(X31&gt;0,X31,W31)</x:f>
        <x:v>21026.652452025588</x:v>
      </x:c>
      <x:c r="Z31" s="83" t="n">
        <x:f t="shared" si="3">IF(B31="","",IF(N31="Time x Count",M31*R31*IF(U31="",1,U31)*Y31,IF(N31="QS Qty x Factor",E31*R31*(1+IF(V31="",0,V31))*Y31,IF(N31="Direct Qty",S31*(1+IF(V31="",0,V31))*Y31,IF(N31="Lump Sum / Quote",S31*Y31,0)))))</x:f>
        <x:v>21026.652452025588</x:v>
      </x:c>
      <x:c r="AA31" s="81" t="str">
        <x:f>IFERROR(INDEX('Resource Rate Library'!$N$5:$N$85,MATCH(P31,'Resource Rate Library'!$A$5:$A$85,0)),"")</x:f>
        <x:v>Basis shown in Resource Build-Up</x:v>
      </x:c>
      <x:c r="AB31" s="53" t="str">
        <x:v>Rev29 stamped-RC total confirmed by TPW. PV04 residual path/interface quantity increased to 89.65m2 on a provisional split.</x:v>
      </x:c>
      <x:c r="AC31" s="59" t="str">
        <x:v>11-Sep-2026</x:v>
      </x:c>
      <x:c r="AD31" s="81" t="str">
        <x:v>N/A</x:v>
      </x:c>
      <x:c r="AE31" s="81" t="str">
        <x:v>N/A</x:v>
      </x:c>
      <x:c r="AF31" s="53" t="str">
        <x:v>AMBER - PC SUM / BUILD-UP HOLD</x:v>
      </x:c>
      <x:c r="AG31" s="53" t="str">
        <x:v>PC scaled at existing Rev28 control rate $234.54/m2 to 89.65m2. Duration rounded to 8WD. Fresh markup and final path build-up required; 33m2 ramp/entry/steps excluded pending owner.</x:v>
      </x:c>
      <x:c r="AH31" s="53" t="str">
        <x:v>No</x:v>
      </x:c>
      <x:c r="AI31" s="81" t="str">
        <x:f>IF(B31="","",IF(AND(P31="",N31&lt;&gt;"Lump Sum / Quote"),"RESOURCE CODE",IF(Y31=0,"RATE MISSING",IF(AND(O31="Plant",AD31="Yes",COUNTIFS($B$7:$B$306,B31,$O$7:$O$306,"Labour",$Q$7:$Q$306,"*Operator*")&gt;0),"OPERATOR DOUBLE-COUNT",IF(AND(O31="Plant",AE31="Yes",COUNTIFS($B$7:$B$306,B31,$Q$7:$Q$306,"*Fuel*")&gt;0),"FUEL DOUBLE-COUNT",IF(AH31&lt;&gt;"Yes","VERIFY","OK"))))))</x:f>
        <x:v>VERIFY</x:v>
      </x:c>
      <x:c r="AJ31" s="54" t="str">
        <x:v>PC sum authorised by Rick for complete tender-review build; not a supplier quote.</x:v>
      </x:c>
      <x:c r="AK31" s="473" t="str">
        <x:v>No</x:v>
      </x:c>
      <x:c r="AL31" s="473"/>
      <x:c r="AM31" s="473" t="str">
        <x:v>N/A - fixed PC sum</x:v>
      </x:c>
      <x:c r="AN31" s="500" t="n">
        <x:f>IF(AND(AK31="Yes",OR(O31="Labour",O31="Plant")),Z31,0)</x:f>
        <x:v>0</x:v>
      </x:c>
    </x:row>
    <x:row r="32" ht="22.049999237060547" customHeight="1">
      <x:c r="A32" s="80" t="str">
        <x:f>IF(B32="","",B32&amp;"-"&amp;TEXT(COUNTIF($B$7:B32,B32),"000"))</x:f>
        <x:v>PV05-001</x:v>
      </x:c>
      <x:c r="B32" s="53" t="str">
        <x:v>PV05</x:v>
      </x:c>
      <x:c r="C32" s="81" t="str">
        <x:f>IFERROR(INDEX('QS Takeoff'!$A$3:$A$194,MATCH(B32,'QS Takeoff'!$B$3:$B$194,0)),"")</x:f>
        <x:v>Pavements &amp; Concrete</x:v>
      </x:c>
      <x:c r="D32" s="81" t="str">
        <x:f>IFERROR(INDEX('QS Takeoff'!$C$3:$C$194,MATCH(B32,'QS Takeoff'!$B$3:$B$194,0)),"")</x:f>
        <x:v>Line marking, accessible symbols/signage and directional markings</x:v>
      </x:c>
      <x:c r="E32" s="81" t="n">
        <x:f>IFERROR(INDEX('QS Takeoff'!$E$3:$E$194,MATCH(B32,'QS Takeoff'!$B$3:$B$194,0)),"")</x:f>
        <x:v>1</x:v>
      </x:c>
      <x:c r="F32" s="81" t="str">
        <x:f>IFERROR(INDEX('QS Takeoff'!$D$3:$D$194,MATCH(B32,'QS Takeoff'!$B$3:$B$194,0)),"")</x:f>
        <x:v>LS</x:v>
      </x:c>
      <x:c r="G32" s="81" t="str">
        <x:f>IFERROR(INDEX('QS Takeoff'!$J$3:$J$194,MATCH(B32,'QS Takeoff'!$B$3:$B$194,0)),"")</x:f>
        <x:v>AMBER - PC SUM</x:v>
      </x:c>
      <x:c r="H32" s="53" t="str">
        <x:v>Line marking / accessible symbol / signage PC</x:v>
      </x:c>
      <x:c r="I32" s="60"/>
      <x:c r="J32" s="60"/>
      <x:c r="K32" s="82" t="str">
        <x:f t="shared" si="0">IF(OR(B32="",I32="",I32=0),"",E32/I32)</x:f>
      </x:c>
      <x:c r="L32" s="60" t="n">
        <x:v>16</x:v>
      </x:c>
      <x:c r="M32" s="82" t="n">
        <x:f t="shared" si="1">IF(L32&gt;0,L32,K32)</x:f>
        <x:v>16</x:v>
      </x:c>
      <x:c r="N32" s="53" t="str">
        <x:v>Lump Sum / Quote</x:v>
      </x:c>
      <x:c r="O32" s="53" t="str">
        <x:v>Other</x:v>
      </x:c>
      <x:c r="P32" s="53" t="str">
        <x:v>OTH-GENERAL</x:v>
      </x:c>
      <x:c r="Q32" s="81" t="str">
        <x:f>IFERROR(INDEX('Resource Rate Library'!$C$5:$C$85,MATCH(P32,'Resource Rate Library'!$A$5:$A$85,0)),"")</x:f>
        <x:v>Project-specific transparent allowance</x:v>
      </x:c>
      <x:c r="R32" s="53"/>
      <x:c r="S32" s="53" t="n">
        <x:v>1</x:v>
      </x:c>
      <x:c r="T32" s="81" t="str">
        <x:f>IFERROR(INDEX('Resource Rate Library'!$E$5:$E$85,MATCH(P32,'Resource Rate Library'!$A$5:$A$85,0)),"")</x:f>
        <x:v>LS</x:v>
      </x:c>
      <x:c r="U32" s="62" t="n">
        <x:v>1</x:v>
      </x:c>
      <x:c r="V32" s="62" t="n">
        <x:v>0</x:v>
      </x:c>
      <x:c r="W32" s="83" t="n">
        <x:f>IFERROR(INDEX('Resource Rate Library'!$I$5:$I$85,MATCH(P32,'Resource Rate Library'!$A$5:$A$85,0)),0)</x:f>
        <x:v>1</x:v>
      </x:c>
      <x:c r="X32" s="52" t="n">
        <x:v>2500</x:v>
      </x:c>
      <x:c r="Y32" s="83" t="n">
        <x:f t="shared" si="2">IF(X32&gt;0,X32,W32)</x:f>
        <x:v>2500</x:v>
      </x:c>
      <x:c r="Z32" s="83" t="n">
        <x:f t="shared" si="3">IF(B32="","",IF(N32="Time x Count",M32*R32*IF(U32="",1,U32)*Y32,IF(N32="QS Qty x Factor",E32*R32*(1+IF(V32="",0,V32))*Y32,IF(N32="Direct Qty",S32*(1+IF(V32="",0,V32))*Y32,IF(N32="Lump Sum / Quote",S32*Y32,0)))))</x:f>
        <x:v>2500</x:v>
      </x:c>
      <x:c r="AA32" s="81" t="str">
        <x:f>IFERROR(INDEX('Resource Rate Library'!$N$5:$N$85,MATCH(P32,'Resource Rate Library'!$A$5:$A$85,0)),"")</x:f>
        <x:v>Basis shown in Resource Build-Up</x:v>
      </x:c>
      <x:c r="AB32" s="53" t="str">
        <x:v>Q-09 SENT 07-Sep-2026 - line marking / accessible symbols</x:v>
      </x:c>
      <x:c r="AC32" s="59" t="str">
        <x:v>07-Sep-2026</x:v>
      </x:c>
      <x:c r="AD32" s="81" t="str">
        <x:f>IFERROR(INDEX('Resource Rate Library'!$G$5:$G$85,MATCH(P32,'Resource Rate Library'!$A$5:$A$85,0)),"")</x:f>
        <x:v>N/A</x:v>
      </x:c>
      <x:c r="AE32" s="81" t="str">
        <x:f>IFERROR(INDEX('Resource Rate Library'!$H$5:$H$85,MATCH(P32,'Resource Rate Library'!$A$5:$A$85,0)),"")</x:f>
        <x:v>N/A</x:v>
      </x:c>
      <x:c r="AF32" s="53" t="str">
        <x:v>AMBER - PC sum pending quote/verification</x:v>
      </x:c>
      <x:c r="AG32" s="53" t="str">
        <x:v>Replace PC sum with measured/quoted resource build-up before award.</x:v>
      </x:c>
      <x:c r="AH32" s="53" t="str">
        <x:v>No</x:v>
      </x:c>
      <x:c r="AI32" s="81" t="str">
        <x:f>IF(B32="","",IF(AND(P32="",N32&lt;&gt;"Lump Sum / Quote"),"RESOURCE CODE",IF(Y32=0,"RATE MISSING",IF(AND(O32="Plant",AD32="Yes",COUNTIFS($B$7:$B$306,B32,$O$7:$O$306,"Labour",$Q$7:$Q$306,"*Operator*")&gt;0),"OPERATOR DOUBLE-COUNT",IF(AND(O32="Plant",AE32="Yes",COUNTIFS($B$7:$B$306,B32,$Q$7:$Q$306,"*Fuel*")&gt;0),"FUEL DOUBLE-COUNT",IF(AH32&lt;&gt;"Yes","VERIFY","OK"))))))</x:f>
        <x:v>VERIFY</x:v>
      </x:c>
      <x:c r="AJ32" s="54" t="str">
        <x:v>PC sum authorised by Rick for complete tender-review build; not a supplier quote.</x:v>
      </x:c>
      <x:c r="AK32" s="473" t="str">
        <x:v>No</x:v>
      </x:c>
      <x:c r="AL32" s="473"/>
      <x:c r="AM32" s="473" t="str">
        <x:v>N/A - fixed PC sum</x:v>
      </x:c>
      <x:c r="AN32" s="500" t="n">
        <x:f>IF(AND(AK32="Yes",OR(O32="Labour",O32="Plant")),Z32,0)</x:f>
        <x:v>0</x:v>
      </x:c>
    </x:row>
    <x:row r="33" ht="22.049999237060547" customHeight="1">
      <x:c r="A33" s="80" t="str">
        <x:f>IF(B33="","",B33&amp;"-"&amp;TEXT(COUNTIF($B$7:B33,B33),"000"))</x:f>
        <x:v>PV06-001</x:v>
      </x:c>
      <x:c r="B33" s="53" t="str">
        <x:v>PV06</x:v>
      </x:c>
      <x:c r="C33" s="81" t="str">
        <x:f>IFERROR(INDEX('QS Takeoff'!$A$3:$A$194,MATCH(B33,'QS Takeoff'!$B$3:$B$194,0)),"")</x:f>
        <x:v>Pavements &amp; Concrete</x:v>
      </x:c>
      <x:c r="D33" s="81" t="str">
        <x:f>IFERROR(INDEX('QS Takeoff'!$C$3:$C$194,MATCH(B33,'QS Takeoff'!$B$3:$B$194,0)),"")</x:f>
        <x:v>Speed control devices / speed bumps</x:v>
      </x:c>
      <x:c r="E33" s="81" t="n">
        <x:f>IFERROR(INDEX('QS Takeoff'!$E$3:$E$194,MATCH(B33,'QS Takeoff'!$B$3:$B$194,0)),"")</x:f>
        <x:v>0</x:v>
      </x:c>
      <x:c r="F33" s="81" t="str">
        <x:f>IFERROR(INDEX('QS Takeoff'!$D$3:$D$194,MATCH(B33,'QS Takeoff'!$B$3:$B$194,0)),"")</x:f>
        <x:v>ea</x:v>
      </x:c>
      <x:c r="G33" s="81" t="str">
        <x:v>EXCLUDED / EXISTING TOPOGRAPHIC FEATURE</x:v>
      </x:c>
      <x:c r="H33" s="53" t="str">
        <x:v>Existing speed bump shown on topographical survey - no new Siteworks speed-control device priced</x:v>
      </x:c>
      <x:c r="I33" s="60"/>
      <x:c r="J33" s="60"/>
      <x:c r="K33" s="82" t="str">
        <x:f t="shared" si="0">IF(OR(B33="",I33="",I33=0),"",E33/I33)</x:f>
      </x:c>
      <x:c r="L33" s="60" t="n">
        <x:v>0</x:v>
      </x:c>
      <x:c r="M33" s="82" t="str">
        <x:f t="shared" si="1">IF(L33&gt;0,L33,K33)</x:f>
      </x:c>
      <x:c r="N33" s="53" t="str">
        <x:v>Lump Sum / Quote</x:v>
      </x:c>
      <x:c r="O33" s="53" t="str">
        <x:v>Other</x:v>
      </x:c>
      <x:c r="P33" s="53" t="str">
        <x:v>OTH-GENERAL</x:v>
      </x:c>
      <x:c r="Q33" s="81" t="str">
        <x:f>IFERROR(INDEX('Resource Rate Library'!$C$5:$C$85,MATCH(P33,'Resource Rate Library'!$A$5:$A$85,0)),"")</x:f>
        <x:v>Project-specific transparent allowance</x:v>
      </x:c>
      <x:c r="R33" s="53"/>
      <x:c r="S33" s="53" t="n">
        <x:v>0</x:v>
      </x:c>
      <x:c r="T33" s="81" t="str">
        <x:f>IFERROR(INDEX('Resource Rate Library'!$E$5:$E$85,MATCH(P33,'Resource Rate Library'!$A$5:$A$85,0)),"")</x:f>
        <x:v>LS</x:v>
      </x:c>
      <x:c r="U33" s="62" t="n">
        <x:v>1</x:v>
      </x:c>
      <x:c r="V33" s="62" t="n">
        <x:v>0</x:v>
      </x:c>
      <x:c r="W33" s="83" t="n">
        <x:f>IFERROR(INDEX('Resource Rate Library'!$I$5:$I$85,MATCH(P33,'Resource Rate Library'!$A$5:$A$85,0)),0)</x:f>
        <x:v>1</x:v>
      </x:c>
      <x:c r="X33" s="52" t="n">
        <x:v>4000</x:v>
      </x:c>
      <x:c r="Y33" s="83" t="n">
        <x:f t="shared" si="2">IF(X33&gt;0,X33,W33)</x:f>
        <x:v>4000</x:v>
      </x:c>
      <x:c r="Z33" s="83" t="n">
        <x:f t="shared" si="3">IF(B33="","",IF(N33="Time x Count",M33*R33*IF(U33="",1,U33)*Y33,IF(N33="QS Qty x Factor",E33*R33*(1+IF(V33="",0,V33))*Y33,IF(N33="Direct Qty",S33*(1+IF(V33="",0,V33))*Y33,IF(N33="Lump Sum / Quote",S33*Y33,0)))))</x:f>
        <x:v>0</x:v>
      </x:c>
      <x:c r="AA33" s="81" t="str">
        <x:f>IFERROR(INDEX('Resource Rate Library'!$N$5:$N$85,MATCH(P33,'Resource Rate Library'!$A$5:$A$85,0)),"")</x:f>
        <x:v>Basis shown in Resource Build-Up</x:v>
      </x:c>
      <x:c r="AB33" s="53" t="str">
        <x:v>Infrastructure Assessment appendix topographic survey identifies an existing Speed Bump on Lot 7 / JOAL. Current Architectural Rev16 and Civil EPA proposed-work drawings do not identify new speed-control devices.</x:v>
      </x:c>
      <x:c r="AC33" s="59" t="str">
        <x:v>08-Sep-2026</x:v>
      </x:c>
      <x:c r="AD33" s="81" t="str">
        <x:f>IFERROR(INDEX('Resource Rate Library'!$G$5:$G$85,MATCH(P33,'Resource Rate Library'!$A$5:$A$85,0)),"")</x:f>
        <x:v>N/A</x:v>
      </x:c>
      <x:c r="AE33" s="81" t="str">
        <x:f>IFERROR(INDEX('Resource Rate Library'!$H$5:$H$85,MATCH(P33,'Resource Rate Library'!$A$5:$A$85,0)),"")</x:f>
        <x:v>N/A</x:v>
      </x:c>
      <x:c r="AF33" s="53" t="str">
        <x:v>AMBER - scope exclusion from current proposed-work evidence</x:v>
      </x:c>
      <x:c r="AG33" s="53" t="str">
        <x:v>Exclude unless the client/designer expressly instructs new speed-control devices.</x:v>
      </x:c>
      <x:c r="AH33" s="53" t="str">
        <x:v>Yes</x:v>
      </x:c>
      <x:c r="AI33" s="81" t="str">
        <x:v>OK - removed unsupported PC; no duplicate add</x:v>
      </x:c>
      <x:c r="AJ33" s="54" t="str">
        <x:v>Rev21 Board closeout: prior $4,000 PC removed. The only located 'Speed Bump' is an existing topographic survey feature, not a proposed-work note.</x:v>
      </x:c>
      <x:c r="AK33" s="473" t="str">
        <x:v>No</x:v>
      </x:c>
      <x:c r="AL33" s="473"/>
      <x:c r="AM33" s="473" t="str">
        <x:v>N/A - fixed PC sum</x:v>
      </x:c>
      <x:c r="AN33" s="500" t="n">
        <x:f>IF(AND(AK33="Yes",OR(O33="Labour",O33="Plant")),Z33,0)</x:f>
        <x:v>0</x:v>
      </x:c>
    </x:row>
    <x:row r="34" ht="22.049999237060547" customHeight="1">
      <x:c r="A34" s="80" t="str">
        <x:f>IF(B34="","",B34&amp;"-"&amp;TEXT(COUNTIF($B$7:B34,B34),"000"))</x:f>
        <x:v>ES01-001</x:v>
      </x:c>
      <x:c r="B34" s="53" t="str">
        <x:v>ES01</x:v>
      </x:c>
      <x:c r="C34" s="81" t="str">
        <x:f>IFERROR(INDEX('QS Takeoff'!$A$3:$A$194,MATCH(B34,'QS Takeoff'!$B$3:$B$194,0)),"")</x:f>
        <x:v>Kerbs, Channels &amp; External Sitework</x:v>
      </x:c>
      <x:c r="D34" s="81" t="str">
        <x:f>IFERROR(INDEX('QS Takeoff'!$C$3:$C$194,MATCH(B34,'QS Takeoff'!$B$3:$B$194,0)),"")</x:f>
        <x:v>Dry service / utility trenches</x:v>
      </x:c>
      <x:c r="E34" s="81" t="n">
        <x:f>IFERROR(INDEX('QS Takeoff'!$E$3:$E$194,MATCH(B34,'QS Takeoff'!$B$3:$B$194,0)),"")</x:f>
        <x:v>1</x:v>
      </x:c>
      <x:c r="F34" s="81" t="str">
        <x:f>IFERROR(INDEX('QS Takeoff'!$D$3:$D$194,MATCH(B34,'QS Takeoff'!$B$3:$B$194,0)),"")</x:f>
        <x:v>LS</x:v>
      </x:c>
      <x:c r="G34" s="81" t="str">
        <x:f>IFERROR(INDEX('QS Takeoff'!$J$3:$J$194,MATCH(B34,'QS Takeoff'!$B$3:$B$194,0)),"")</x:f>
        <x:v>AMBER - PC SUM / DESIGN HOLD</x:v>
      </x:c>
      <x:c r="H34" s="53" t="str">
        <x:v>Dry service/utility trenching PC pending coordinated design</x:v>
      </x:c>
      <x:c r="I34" s="60"/>
      <x:c r="J34" s="60"/>
      <x:c r="K34" s="82" t="str">
        <x:f t="shared" si="0">IF(OR(B34="",I34="",I34=0),"",E34/I34)</x:f>
      </x:c>
      <x:c r="L34" s="60" t="n">
        <x:v>40</x:v>
      </x:c>
      <x:c r="M34" s="82" t="n">
        <x:f t="shared" si="1">IF(L34&gt;0,L34,K34)</x:f>
        <x:v>40</x:v>
      </x:c>
      <x:c r="N34" s="53" t="str">
        <x:v>Lump Sum / Quote</x:v>
      </x:c>
      <x:c r="O34" s="53" t="str">
        <x:v>Other</x:v>
      </x:c>
      <x:c r="P34" s="53" t="str">
        <x:v>OTH-GENERAL</x:v>
      </x:c>
      <x:c r="Q34" s="81" t="str">
        <x:f>IFERROR(INDEX('Resource Rate Library'!$C$5:$C$85,MATCH(P34,'Resource Rate Library'!$A$5:$A$85,0)),"")</x:f>
        <x:v>Project-specific transparent allowance</x:v>
      </x:c>
      <x:c r="R34" s="53"/>
      <x:c r="S34" s="53" t="n">
        <x:v>1</x:v>
      </x:c>
      <x:c r="T34" s="81" t="str">
        <x:f>IFERROR(INDEX('Resource Rate Library'!$E$5:$E$85,MATCH(P34,'Resource Rate Library'!$A$5:$A$85,0)),"")</x:f>
        <x:v>LS</x:v>
      </x:c>
      <x:c r="U34" s="62" t="n">
        <x:v>1</x:v>
      </x:c>
      <x:c r="V34" s="62" t="n">
        <x:v>0</x:v>
      </x:c>
      <x:c r="W34" s="83" t="n">
        <x:f>IFERROR(INDEX('Resource Rate Library'!$I$5:$I$85,MATCH(P34,'Resource Rate Library'!$A$5:$A$85,0)),0)</x:f>
        <x:v>1</x:v>
      </x:c>
      <x:c r="X34" s="52" t="n">
        <x:v>15000</x:v>
      </x:c>
      <x:c r="Y34" s="83" t="n">
        <x:f t="shared" si="2">IF(X34&gt;0,X34,W34)</x:f>
        <x:v>15000</x:v>
      </x:c>
      <x:c r="Z34" s="83" t="n">
        <x:f t="shared" si="3">IF(B34="","",IF(N34="Time x Count",M34*R34*IF(U34="",1,U34)*Y34,IF(N34="QS Qty x Factor",E34*R34*(1+IF(V34="",0,V34))*Y34,IF(N34="Direct Qty",S34*(1+IF(V34="",0,V34))*Y34,IF(N34="Lump Sum / Quote",S34*Y34,0)))))</x:f>
        <x:v>15000</x:v>
      </x:c>
      <x:c r="AA34" s="81" t="str">
        <x:f>IFERROR(INDEX('Resource Rate Library'!$N$5:$N$85,MATCH(P34,'Resource Rate Library'!$A$5:$A$85,0)),"")</x:f>
        <x:v>Basis shown in Resource Build-Up</x:v>
      </x:c>
      <x:c r="AB34" s="53" t="str">
        <x:v>Estimator PC / DESIGN HOLD - no coordinated service trench design issued</x:v>
      </x:c>
      <x:c r="AC34" s="59" t="str">
        <x:v>07-Sep-2026</x:v>
      </x:c>
      <x:c r="AD34" s="81" t="str">
        <x:f>IFERROR(INDEX('Resource Rate Library'!$G$5:$G$85,MATCH(P34,'Resource Rate Library'!$A$5:$A$85,0)),"")</x:f>
        <x:v>N/A</x:v>
      </x:c>
      <x:c r="AE34" s="81" t="str">
        <x:f>IFERROR(INDEX('Resource Rate Library'!$H$5:$H$85,MATCH(P34,'Resource Rate Library'!$A$5:$A$85,0)),"")</x:f>
        <x:v>N/A</x:v>
      </x:c>
      <x:c r="AF34" s="53" t="str">
        <x:v>AMBER - PC sum pending quote/verification</x:v>
      </x:c>
      <x:c r="AG34" s="53" t="str">
        <x:v>Replace PC sum with measured/quoted resource build-up before award.</x:v>
      </x:c>
      <x:c r="AH34" s="53" t="str">
        <x:v>No</x:v>
      </x:c>
      <x:c r="AI34" s="81" t="str">
        <x:f>IF(B34="","",IF(AND(P34="",N34&lt;&gt;"Lump Sum / Quote"),"RESOURCE CODE",IF(Y34=0,"RATE MISSING",IF(AND(O34="Plant",AD34="Yes",COUNTIFS($B$7:$B$306,B34,$O$7:$O$306,"Labour",$Q$7:$Q$306,"*Operator*")&gt;0),"OPERATOR DOUBLE-COUNT",IF(AND(O34="Plant",AE34="Yes",COUNTIFS($B$7:$B$306,B34,$Q$7:$Q$306,"*Fuel*")&gt;0),"FUEL DOUBLE-COUNT",IF(AH34&lt;&gt;"Yes","VERIFY","OK"))))))</x:f>
        <x:v>VERIFY</x:v>
      </x:c>
      <x:c r="AJ34" s="54" t="str">
        <x:v>PC sum authorised by Rick for complete tender-review build; not a supplier quote.</x:v>
      </x:c>
      <x:c r="AK34" s="473" t="str">
        <x:v>No</x:v>
      </x:c>
      <x:c r="AL34" s="473"/>
      <x:c r="AM34" s="473" t="str">
        <x:v>N/A - fixed PC sum</x:v>
      </x:c>
      <x:c r="AN34" s="500" t="n">
        <x:f>IF(AND(AK34="Yes",OR(O34="Labour",O34="Plant")),Z34,0)</x:f>
        <x:v>0</x:v>
      </x:c>
    </x:row>
    <x:row r="35" ht="22.049999237060547" customHeight="1">
      <x:c r="A35" s="80" t="str">
        <x:f>IF(B35="","",B35&amp;"-"&amp;TEXT(COUNTIF($B$7:B35,B35),"000"))</x:f>
        <x:v>ES02-001</x:v>
      </x:c>
      <x:c r="B35" s="53" t="str">
        <x:v>ES02</x:v>
      </x:c>
      <x:c r="C35" s="81" t="str">
        <x:f>IFERROR(INDEX('QS Takeoff'!$A$3:$A$194,MATCH(B35,'QS Takeoff'!$B$3:$B$194,0)),"")</x:f>
        <x:v>Kerbs, Channels &amp; External Sitework</x:v>
      </x:c>
      <x:c r="D35" s="81" t="str">
        <x:f>IFERROR(INDEX('QS Takeoff'!$C$3:$C$194,MATCH(B35,'QS Takeoff'!$B$3:$B$194,0)),"")</x:f>
        <x:v>Carpark formed dish channel / surface channel interface</x:v>
      </x:c>
      <x:c r="E35" s="81" t="n">
        <x:f>IFERROR(INDEX('QS Takeoff'!$E$3:$E$194,MATCH(B35,'QS Takeoff'!$B$3:$B$194,0)),"")</x:f>
        <x:v>1</x:v>
      </x:c>
      <x:c r="F35" s="81" t="str">
        <x:f>IFERROR(INDEX('QS Takeoff'!$D$3:$D$194,MATCH(B35,'QS Takeoff'!$B$3:$B$194,0)),"")</x:f>
        <x:v>LS</x:v>
      </x:c>
      <x:c r="G35" s="81" t="str">
        <x:f>IFERROR(INDEX('QS Takeoff'!$J$3:$J$194,MATCH(B35,'QS Takeoff'!$B$3:$B$194,0)),"")</x:f>
        <x:v>AMBER - PC SUM</x:v>
      </x:c>
      <x:c r="H35" s="53" t="str">
        <x:v>Carpark formed dish-channel/interface PC</x:v>
      </x:c>
      <x:c r="I35" s="60"/>
      <x:c r="J35" s="60"/>
      <x:c r="K35" s="82" t="str">
        <x:f t="shared" si="0">IF(OR(B35="",I35="",I35=0),"",E35/I35)</x:f>
      </x:c>
      <x:c r="L35" s="60" t="n">
        <x:v>16</x:v>
      </x:c>
      <x:c r="M35" s="82" t="n">
        <x:f t="shared" si="1">IF(L35&gt;0,L35,K35)</x:f>
        <x:v>16</x:v>
      </x:c>
      <x:c r="N35" s="53" t="str">
        <x:v>Lump Sum / Quote</x:v>
      </x:c>
      <x:c r="O35" s="53" t="str">
        <x:v>Other</x:v>
      </x:c>
      <x:c r="P35" s="53" t="str">
        <x:v>OTH-GENERAL</x:v>
      </x:c>
      <x:c r="Q35" s="81" t="str">
        <x:f>IFERROR(INDEX('Resource Rate Library'!$C$5:$C$85,MATCH(P35,'Resource Rate Library'!$A$5:$A$85,0)),"")</x:f>
        <x:v>Project-specific transparent allowance</x:v>
      </x:c>
      <x:c r="R35" s="53"/>
      <x:c r="S35" s="53" t="n">
        <x:v>1</x:v>
      </x:c>
      <x:c r="T35" s="81" t="str">
        <x:f>IFERROR(INDEX('Resource Rate Library'!$E$5:$E$85,MATCH(P35,'Resource Rate Library'!$A$5:$A$85,0)),"")</x:f>
        <x:v>LS</x:v>
      </x:c>
      <x:c r="U35" s="62" t="n">
        <x:v>1</x:v>
      </x:c>
      <x:c r="V35" s="62" t="n">
        <x:v>0</x:v>
      </x:c>
      <x:c r="W35" s="83" t="n">
        <x:f>IFERROR(INDEX('Resource Rate Library'!$I$5:$I$85,MATCH(P35,'Resource Rate Library'!$A$5:$A$85,0)),0)</x:f>
        <x:v>1</x:v>
      </x:c>
      <x:c r="X35" s="52" t="n">
        <x:v>7500</x:v>
      </x:c>
      <x:c r="Y35" s="83" t="n">
        <x:f t="shared" si="2">IF(X35&gt;0,X35,W35)</x:f>
        <x:v>7500</x:v>
      </x:c>
      <x:c r="Z35" s="83" t="n">
        <x:f t="shared" si="3">IF(B35="","",IF(N35="Time x Count",M35*R35*IF(U35="",1,U35)*Y35,IF(N35="QS Qty x Factor",E35*R35*(1+IF(V35="",0,V35))*Y35,IF(N35="Direct Qty",S35*(1+IF(V35="",0,V35))*Y35,IF(N35="Lump Sum / Quote",S35*Y35,0)))))</x:f>
        <x:v>7500</x:v>
      </x:c>
      <x:c r="AA35" s="81" t="str">
        <x:f>IFERROR(INDEX('Resource Rate Library'!$N$5:$N$85,MATCH(P35,'Resource Rate Library'!$A$5:$A$85,0)),"")</x:f>
        <x:v>Basis shown in Resource Build-Up</x:v>
      </x:c>
      <x:c r="AB35" s="53" t="str">
        <x:v>Estimator PC / RFI HOLD - dish-channel quantity/interface pending</x:v>
      </x:c>
      <x:c r="AC35" s="59" t="str">
        <x:v>07-Sep-2026</x:v>
      </x:c>
      <x:c r="AD35" s="81" t="str">
        <x:f>IFERROR(INDEX('Resource Rate Library'!$G$5:$G$85,MATCH(P35,'Resource Rate Library'!$A$5:$A$85,0)),"")</x:f>
        <x:v>N/A</x:v>
      </x:c>
      <x:c r="AE35" s="81" t="str">
        <x:f>IFERROR(INDEX('Resource Rate Library'!$H$5:$H$85,MATCH(P35,'Resource Rate Library'!$A$5:$A$85,0)),"")</x:f>
        <x:v>N/A</x:v>
      </x:c>
      <x:c r="AF35" s="53" t="str">
        <x:v>AMBER - PC sum pending quote/verification</x:v>
      </x:c>
      <x:c r="AG35" s="53" t="str">
        <x:v>Replace PC sum with measured/quoted resource build-up before award.</x:v>
      </x:c>
      <x:c r="AH35" s="53" t="str">
        <x:v>No</x:v>
      </x:c>
      <x:c r="AI35" s="81" t="str">
        <x:f>IF(B35="","",IF(AND(P35="",N35&lt;&gt;"Lump Sum / Quote"),"RESOURCE CODE",IF(Y35=0,"RATE MISSING",IF(AND(O35="Plant",AD35="Yes",COUNTIFS($B$7:$B$306,B35,$O$7:$O$306,"Labour",$Q$7:$Q$306,"*Operator*")&gt;0),"OPERATOR DOUBLE-COUNT",IF(AND(O35="Plant",AE35="Yes",COUNTIFS($B$7:$B$306,B35,$Q$7:$Q$306,"*Fuel*")&gt;0),"FUEL DOUBLE-COUNT",IF(AH35&lt;&gt;"Yes","VERIFY","OK"))))))</x:f>
        <x:v>VERIFY</x:v>
      </x:c>
      <x:c r="AJ35" s="54" t="str">
        <x:v>PC sum authorised by Rick for complete tender-review build; not a supplier quote.</x:v>
      </x:c>
      <x:c r="AK35" s="473" t="str">
        <x:v>No</x:v>
      </x:c>
      <x:c r="AL35" s="473"/>
      <x:c r="AM35" s="473" t="str">
        <x:v>N/A - fixed PC sum</x:v>
      </x:c>
      <x:c r="AN35" s="500" t="n">
        <x:f>IF(AND(AK35="Yes",OR(O35="Labour",O35="Plant")),Z35,0)</x:f>
        <x:v>0</x:v>
      </x:c>
    </x:row>
    <x:row r="36" ht="22.049999237060547" customHeight="1">
      <x:c r="A36" s="80" t="str">
        <x:f>IF(B36="","",B36&amp;"-"&amp;TEXT(COUNTIF($B$7:B36,B36),"000"))</x:f>
        <x:v>ES03-001</x:v>
      </x:c>
      <x:c r="B36" s="53" t="str">
        <x:v>ES03</x:v>
      </x:c>
      <x:c r="C36" s="81" t="str">
        <x:f>IFERROR(INDEX('QS Takeoff'!$A$3:$A$194,MATCH(B36,'QS Takeoff'!$B$3:$B$194,0)),"")</x:f>
        <x:v>Kerbs, Channels &amp; External Sitework</x:v>
      </x:c>
      <x:c r="D36" s="81" t="str">
        <x:f>IFERROR(INDEX('QS Takeoff'!$C$3:$C$194,MATCH(B36,'QS Takeoff'!$B$3:$B$194,0)),"")</x:f>
        <x:v>Allproof level-threshold drainage to flush exterior openings</x:v>
      </x:c>
      <x:c r="E36" s="81" t="n">
        <x:f>IFERROR(INDEX('QS Takeoff'!$E$3:$E$194,MATCH(B36,'QS Takeoff'!$B$3:$B$194,0)),"")</x:f>
        <x:v>44</x:v>
      </x:c>
      <x:c r="F36" s="81" t="str">
        <x:f>IFERROR(INDEX('QS Takeoff'!$D$3:$D$194,MATCH(B36,'QS Takeoff'!$B$3:$B$194,0)),"")</x:f>
        <x:v>lm</x:v>
      </x:c>
      <x:c r="G36" s="81" t="str">
        <x:v>AMBER - SUPPLIER QUANTITY CLARIFIED / PC RETAINED</x:v>
      </x:c>
      <x:c r="H36" s="53" t="str">
        <x:v>Allproof threshold drain PC - supplier order control 44m + 44 end caps; GFN/Wedge Wire selection unresolved</x:v>
      </x:c>
      <x:c r="I36" s="60"/>
      <x:c r="J36" s="60"/>
      <x:c r="K36" s="82" t="str">
        <x:f t="shared" si="0">IF(OR(B36="",I36="",I36=0),"",E36/I36)</x:f>
      </x:c>
      <x:c r="L36" s="60" t="n">
        <x:v>56</x:v>
      </x:c>
      <x:c r="M36" s="82" t="n">
        <x:f t="shared" si="1">IF(L36&gt;0,L36,K36)</x:f>
        <x:v>56</x:v>
      </x:c>
      <x:c r="N36" s="53" t="str">
        <x:v>Lump Sum / Quote</x:v>
      </x:c>
      <x:c r="O36" s="53" t="str">
        <x:v>Other</x:v>
      </x:c>
      <x:c r="P36" s="53" t="str">
        <x:v>OTH-GENERAL</x:v>
      </x:c>
      <x:c r="Q36" s="81" t="str">
        <x:f>IFERROR(INDEX('Resource Rate Library'!$C$5:$C$85,MATCH(P36,'Resource Rate Library'!$A$5:$A$85,0)),"")</x:f>
        <x:v>Project-specific transparent allowance</x:v>
      </x:c>
      <x:c r="R36" s="53"/>
      <x:c r="S36" s="53" t="n">
        <x:v>1</x:v>
      </x:c>
      <x:c r="T36" s="81" t="str">
        <x:f>IFERROR(INDEX('Resource Rate Library'!$E$5:$E$85,MATCH(P36,'Resource Rate Library'!$A$5:$A$85,0)),"")</x:f>
        <x:v>LS</x:v>
      </x:c>
      <x:c r="U36" s="62" t="n">
        <x:v>1</x:v>
      </x:c>
      <x:c r="V36" s="62" t="n">
        <x:v>0</x:v>
      </x:c>
      <x:c r="W36" s="83" t="n">
        <x:f>IFERROR(INDEX('Resource Rate Library'!$I$5:$I$85,MATCH(P36,'Resource Rate Library'!$A$5:$A$85,0)),0)</x:f>
        <x:v>1</x:v>
      </x:c>
      <x:c r="X36" s="52" t="n">
        <x:v>40000</x:v>
      </x:c>
      <x:c r="Y36" s="83" t="n">
        <x:f t="shared" si="2">IF(X36&gt;0,X36,W36)</x:f>
        <x:v>40000</x:v>
      </x:c>
      <x:c r="Z36" s="83" t="n">
        <x:f t="shared" si="3">IF(B36="","",IF(N36="Time x Count",M36*R36*IF(U36="",1,U36)*Y36,IF(N36="QS Qty x Factor",E36*R36*(1+IF(V36="",0,V36))*Y36,IF(N36="Direct Qty",S36*(1+IF(V36="",0,V36))*Y36,IF(N36="Lump Sum / Quote",S36*Y36,0)))))</x:f>
        <x:v>40000</x:v>
      </x:c>
      <x:c r="AA36" s="81" t="str">
        <x:f>IFERROR(INDEX('Resource Rate Library'!$N$5:$N$85,MATCH(P36,'Resource Rate Library'!$A$5:$A$85,0)),"")</x:f>
        <x:v>Basis shown in Resource Build-Up</x:v>
      </x:c>
      <x:c r="AB36" s="53" t="str">
        <x:v>Tracey/Allproof email 07-Sep-2026: recommend 2 end caps and 2m channel/grating per door, lead time 7-8 weeks. 22 door thresholds therefore give 44m + 44 end caps. PlaceMakers sell-price material scenarios are recorded in Rate Verification. No full manufacturer takeoff will be provided.</x:v>
      </x:c>
      <x:c r="AC36" s="59" t="str">
        <x:v>07-Sep-2026</x:v>
      </x:c>
      <x:c r="AD36" s="81" t="str">
        <x:f>IFERROR(INDEX('Resource Rate Library'!$G$5:$G$85,MATCH(P36,'Resource Rate Library'!$A$5:$A$85,0)),"")</x:f>
        <x:v>N/A</x:v>
      </x:c>
      <x:c r="AE36" s="81" t="str">
        <x:f>IFERROR(INDEX('Resource Rate Library'!$H$5:$H$85,MATCH(P36,'Resource Rate Library'!$A$5:$A$85,0)),"")</x:f>
        <x:v>N/A</x:v>
      </x:c>
      <x:c r="AF36" s="53" t="str">
        <x:v>AMBER - supplier quantity evidence / product selection unresolved</x:v>
      </x:c>
      <x:c r="AG36" s="53" t="str">
        <x:v>Retain $40k PC until grate type and outlets/interface are confirmed; then replace with a measured resource build.</x:v>
      </x:c>
      <x:c r="AH36" s="53" t="str">
        <x:v>No</x:v>
      </x:c>
      <x:c r="AI36" s="81" t="str">
        <x:v>VERIFY</x:v>
      </x:c>
      <x:c r="AJ36" s="54" t="str">
        <x:v>$40k PC remains the single tender baseline. Partial quote is evidence only and does not add a second cost. Free freight to Westgate store per PlaceMakers email. Quote estimate 413360 expires 07-Oct-2026.</x:v>
      </x:c>
      <x:c r="AK36" s="473" t="str">
        <x:v>No</x:v>
      </x:c>
      <x:c r="AL36" s="473"/>
      <x:c r="AM36" s="473" t="str">
        <x:v>N/A - fixed PC sum</x:v>
      </x:c>
      <x:c r="AN36" s="500" t="n">
        <x:f>IF(AND(AK36="Yes",OR(O36="Labour",O36="Plant")),Z36,0)</x:f>
        <x:v>0</x:v>
      </x:c>
    </x:row>
    <x:row r="37" ht="22.049999237060547" customHeight="1">
      <x:c r="A37" s="80" t="str">
        <x:f>IF(B37="","",B37&amp;"-"&amp;TEXT(COUNTIF($B$7:B37,B37),"000"))</x:f>
        <x:v>ES04-001</x:v>
      </x:c>
      <x:c r="B37" s="53" t="str">
        <x:v>ES04</x:v>
      </x:c>
      <x:c r="C37" s="81" t="str">
        <x:f>IFERROR(INDEX('QS Takeoff'!$A$3:$A$194,MATCH(B37,'QS Takeoff'!$B$3:$B$194,0)),"")</x:f>
        <x:v>Kerbs, Channels &amp; External Sitework</x:v>
      </x:c>
      <x:c r="D37" s="81" t="str">
        <x:f>IFERROR(INDEX('QS Takeoff'!$C$3:$C$194,MATCH(B37,'QS Takeoff'!$B$3:$B$194,0)),"")</x:f>
        <x:v>OLFP fence opening / reinstatement interface</x:v>
      </x:c>
      <x:c r="E37" s="81" t="n">
        <x:f>IFERROR(INDEX('QS Takeoff'!$E$3:$E$194,MATCH(B37,'QS Takeoff'!$B$3:$B$194,0)),"")</x:f>
        <x:v>1</x:v>
      </x:c>
      <x:c r="F37" s="81" t="str">
        <x:f>IFERROR(INDEX('QS Takeoff'!$D$3:$D$194,MATCH(B37,'QS Takeoff'!$B$3:$B$194,0)),"")</x:f>
        <x:v>LS</x:v>
      </x:c>
      <x:c r="G37" s="81" t="str">
        <x:f>IFERROR(INDEX('QS Takeoff'!$J$3:$J$194,MATCH(B37,'QS Takeoff'!$B$3:$B$194,0)),"")</x:f>
        <x:v>AMBER - PC SUM</x:v>
      </x:c>
      <x:c r="H37" s="53" t="str">
        <x:v>OLFP fence opening / reinstatement PC</x:v>
      </x:c>
      <x:c r="I37" s="60"/>
      <x:c r="J37" s="60"/>
      <x:c r="K37" s="82" t="str">
        <x:f t="shared" si="0">IF(OR(B37="",I37="",I37=0),"",E37/I37)</x:f>
      </x:c>
      <x:c r="L37" s="60" t="n">
        <x:v>8</x:v>
      </x:c>
      <x:c r="M37" s="82" t="n">
        <x:f t="shared" si="1">IF(L37&gt;0,L37,K37)</x:f>
        <x:v>8</x:v>
      </x:c>
      <x:c r="N37" s="53" t="str">
        <x:v>Lump Sum / Quote</x:v>
      </x:c>
      <x:c r="O37" s="53" t="str">
        <x:v>Other</x:v>
      </x:c>
      <x:c r="P37" s="53" t="str">
        <x:v>OTH-GENERAL</x:v>
      </x:c>
      <x:c r="Q37" s="81" t="str">
        <x:f>IFERROR(INDEX('Resource Rate Library'!$C$5:$C$85,MATCH(P37,'Resource Rate Library'!$A$5:$A$85,0)),"")</x:f>
        <x:v>Project-specific transparent allowance</x:v>
      </x:c>
      <x:c r="R37" s="53"/>
      <x:c r="S37" s="53" t="n">
        <x:v>1</x:v>
      </x:c>
      <x:c r="T37" s="81" t="str">
        <x:f>IFERROR(INDEX('Resource Rate Library'!$E$5:$E$85,MATCH(P37,'Resource Rate Library'!$A$5:$A$85,0)),"")</x:f>
        <x:v>LS</x:v>
      </x:c>
      <x:c r="U37" s="62" t="n">
        <x:v>1</x:v>
      </x:c>
      <x:c r="V37" s="62" t="n">
        <x:v>0</x:v>
      </x:c>
      <x:c r="W37" s="83" t="n">
        <x:f>IFERROR(INDEX('Resource Rate Library'!$I$5:$I$85,MATCH(P37,'Resource Rate Library'!$A$5:$A$85,0)),0)</x:f>
        <x:v>1</x:v>
      </x:c>
      <x:c r="X37" s="52" t="n">
        <x:v>2500</x:v>
      </x:c>
      <x:c r="Y37" s="83" t="n">
        <x:f t="shared" si="2">IF(X37&gt;0,X37,W37)</x:f>
        <x:v>2500</x:v>
      </x:c>
      <x:c r="Z37" s="83" t="n">
        <x:f t="shared" si="3">IF(B37="","",IF(N37="Time x Count",M37*R37*IF(U37="",1,U37)*Y37,IF(N37="QS Qty x Factor",E37*R37*(1+IF(V37="",0,V37))*Y37,IF(N37="Direct Qty",S37*(1+IF(V37="",0,V37))*Y37,IF(N37="Lump Sum / Quote",S37*Y37,0)))))</x:f>
        <x:v>2500</x:v>
      </x:c>
      <x:c r="AA37" s="81" t="str">
        <x:f>IFERROR(INDEX('Resource Rate Library'!$N$5:$N$85,MATCH(P37,'Resource Rate Library'!$A$5:$A$85,0)),"")</x:f>
        <x:v>Basis shown in Resource Build-Up</x:v>
      </x:c>
      <x:c r="AB37" s="53" t="str">
        <x:v>Estimator PC / RFI HOLD - OLFP fence opening/reinstatement ownership pending</x:v>
      </x:c>
      <x:c r="AC37" s="59" t="str">
        <x:v>07-Sep-2026</x:v>
      </x:c>
      <x:c r="AD37" s="81" t="str">
        <x:f>IFERROR(INDEX('Resource Rate Library'!$G$5:$G$85,MATCH(P37,'Resource Rate Library'!$A$5:$A$85,0)),"")</x:f>
        <x:v>N/A</x:v>
      </x:c>
      <x:c r="AE37" s="81" t="str">
        <x:f>IFERROR(INDEX('Resource Rate Library'!$H$5:$H$85,MATCH(P37,'Resource Rate Library'!$A$5:$A$85,0)),"")</x:f>
        <x:v>N/A</x:v>
      </x:c>
      <x:c r="AF37" s="53" t="str">
        <x:v>AMBER - PC sum pending quote/verification</x:v>
      </x:c>
      <x:c r="AG37" s="53" t="str">
        <x:v>Replace PC sum with measured/quoted resource build-up before award.</x:v>
      </x:c>
      <x:c r="AH37" s="53" t="str">
        <x:v>No</x:v>
      </x:c>
      <x:c r="AI37" s="81" t="str">
        <x:f>IF(B37="","",IF(AND(P37="",N37&lt;&gt;"Lump Sum / Quote"),"RESOURCE CODE",IF(Y37=0,"RATE MISSING",IF(AND(O37="Plant",AD37="Yes",COUNTIFS($B$7:$B$306,B37,$O$7:$O$306,"Labour",$Q$7:$Q$306,"*Operator*")&gt;0),"OPERATOR DOUBLE-COUNT",IF(AND(O37="Plant",AE37="Yes",COUNTIFS($B$7:$B$306,B37,$Q$7:$Q$306,"*Fuel*")&gt;0),"FUEL DOUBLE-COUNT",IF(AH37&lt;&gt;"Yes","VERIFY","OK"))))))</x:f>
        <x:v>VERIFY</x:v>
      </x:c>
      <x:c r="AJ37" s="54" t="str">
        <x:v>PC sum authorised by Rick for complete tender-review build; not a supplier quote.</x:v>
      </x:c>
      <x:c r="AK37" s="473" t="str">
        <x:v>No</x:v>
      </x:c>
      <x:c r="AL37" s="473"/>
      <x:c r="AM37" s="473" t="str">
        <x:v>N/A - fixed PC sum</x:v>
      </x:c>
      <x:c r="AN37" s="500" t="n">
        <x:f>IF(AND(AK37="Yes",OR(O37="Labour",O37="Plant")),Z37,0)</x:f>
        <x:v>0</x:v>
      </x:c>
    </x:row>
    <x:row r="38" ht="22.049999237060547" customHeight="1">
      <x:c r="A38" s="80" t="str">
        <x:f>IF(B38="","",B38&amp;"-"&amp;TEXT(COUNTIF($B$7:B38,B38),"000"))</x:f>
        <x:v>RW01-001</x:v>
      </x:c>
      <x:c r="B38" s="53" t="str">
        <x:v>RW01</x:v>
      </x:c>
      <x:c r="C38" s="81" t="str">
        <x:f>IFERROR(INDEX('QS Takeoff'!$A$3:$A$194,MATCH(B38,'QS Takeoff'!$B$3:$B$194,0)),"")</x:f>
        <x:v>Retaining Walls</x:v>
      </x:c>
      <x:c r="D38" s="81" t="str">
        <x:f>IFERROR(INDEX('QS Takeoff'!$C$3:$C$194,MATCH(B38,'QS Takeoff'!$B$3:$B$194,0)),"")</x:f>
        <x:v>Keystone retaining wall - principal wall length control</x:v>
      </x:c>
      <x:c r="E38" s="81" t="n">
        <x:f>IFERROR(INDEX('QS Takeoff'!$E$3:$E$194,MATCH(B38,'QS Takeoff'!$B$3:$B$194,0)),"")</x:f>
        <x:v>73.34</x:v>
      </x:c>
      <x:c r="F38" s="81" t="str">
        <x:f>IFERROR(INDEX('QS Takeoff'!$D$3:$D$194,MATCH(B38,'QS Takeoff'!$B$3:$B$194,0)),"")</x:f>
        <x:v>lm</x:v>
      </x:c>
      <x:c r="G38" s="81" t="str">
        <x:f>IFERROR(INDEX('QS Takeoff'!$J$3:$J$194,MATCH(B38,'QS Takeoff'!$B$3:$B$194,0)),"")</x:f>
        <x:v>AMBER - PC SUM</x:v>
      </x:c>
      <x:c r="H38" s="53" t="str">
        <x:v>Principal Keystone wall system PC</x:v>
      </x:c>
      <x:c r="I38" s="60"/>
      <x:c r="J38" s="60"/>
      <x:c r="K38" s="82" t="str">
        <x:f t="shared" si="0">IF(OR(B38="",I38="",I38=0),"",E38/I38)</x:f>
      </x:c>
      <x:c r="L38" s="60" t="n">
        <x:v>120</x:v>
      </x:c>
      <x:c r="M38" s="82" t="n">
        <x:f t="shared" si="1">IF(L38&gt;0,L38,K38)</x:f>
        <x:v>120</x:v>
      </x:c>
      <x:c r="N38" s="53" t="str">
        <x:v>Lump Sum / Quote</x:v>
      </x:c>
      <x:c r="O38" s="53" t="str">
        <x:v>Other</x:v>
      </x:c>
      <x:c r="P38" s="53" t="str">
        <x:v>OTH-GENERAL</x:v>
      </x:c>
      <x:c r="Q38" s="81" t="str">
        <x:f>IFERROR(INDEX('Resource Rate Library'!$C$5:$C$85,MATCH(P38,'Resource Rate Library'!$A$5:$A$85,0)),"")</x:f>
        <x:v>Project-specific transparent allowance</x:v>
      </x:c>
      <x:c r="R38" s="53"/>
      <x:c r="S38" s="53" t="n">
        <x:v>1</x:v>
      </x:c>
      <x:c r="T38" s="81" t="str">
        <x:f>IFERROR(INDEX('Resource Rate Library'!$E$5:$E$85,MATCH(P38,'Resource Rate Library'!$A$5:$A$85,0)),"")</x:f>
        <x:v>LS</x:v>
      </x:c>
      <x:c r="U38" s="62" t="n">
        <x:v>1</x:v>
      </x:c>
      <x:c r="V38" s="62" t="n">
        <x:v>0</x:v>
      </x:c>
      <x:c r="W38" s="83" t="n">
        <x:f>IFERROR(INDEX('Resource Rate Library'!$I$5:$I$85,MATCH(P38,'Resource Rate Library'!$A$5:$A$85,0)),0)</x:f>
        <x:v>1</x:v>
      </x:c>
      <x:c r="X38" s="52" t="n">
        <x:v>45000</x:v>
      </x:c>
      <x:c r="Y38" s="83" t="n">
        <x:f t="shared" si="2">IF(X38&gt;0,X38,W38)</x:f>
        <x:v>45000</x:v>
      </x:c>
      <x:c r="Z38" s="83" t="n">
        <x:f t="shared" si="3">IF(B38="","",IF(N38="Time x Count",M38*R38*IF(U38="",1,U38)*Y38,IF(N38="QS Qty x Factor",E38*R38*(1+IF(V38="",0,V38))*Y38,IF(N38="Direct Qty",S38*(1+IF(V38="",0,V38))*Y38,IF(N38="Lump Sum / Quote",S38*Y38,0)))))</x:f>
        <x:v>45000</x:v>
      </x:c>
      <x:c r="AA38" s="81" t="str">
        <x:f>IFERROR(INDEX('Resource Rate Library'!$N$5:$N$85,MATCH(P38,'Resource Rate Library'!$A$5:$A$85,0)),"")</x:f>
        <x:v>Basis shown in Resource Build-Up</x:v>
      </x:c>
      <x:c r="AB38" s="53" t="str">
        <x:v>Citi Quote #1020 10-Sep-2026 + Bryn height-band clarification 11-Sep-2026. Supplier takeoff includes heights up to 1.8m plus one buried course; quote is not a lower-height-only allowance.</x:v>
      </x:c>
      <x:c r="AC38" s="59" t="str">
        <x:v>11-Sep-2026</x:v>
      </x:c>
      <x:c r="AD38" s="81" t="str">
        <x:v>N/A</x:v>
      </x:c>
      <x:c r="AE38" s="81" t="str">
        <x:v>N/A</x:v>
      </x:c>
      <x:c r="AF38" s="53" t="str">
        <x:v>AMBER - MATERIAL QUANTITY CORROBORATED / DESIGN AUTHORITY RED</x:v>
      </x:c>
      <x:c r="AG38" s="53" t="str">
        <x:v>Supplier scaled length 84.0lm vs vector control 82.93lm (+1.29%). 117.4m2 block-face equivalent gives ~1,291 straight blocks at 11/m2 vs 1,274 quoted. Current $45k principal-wall installed-system PC remains because installation/base/excavation and governing Civil-vs-DHC design authority are not closed.</x:v>
      </x:c>
      <x:c r="AH38" s="53" t="str">
        <x:v>No</x:v>
      </x:c>
      <x:c r="AI38" s="81" t="str">
        <x:v>VERIFY</x:v>
      </x:c>
      <x:c r="AJ38" s="54" t="str">
        <x:v>Do not add the prior 1.8m uplift sensitivity: Q1020 already includes height bands to 1.8m. Do not simply deduct the material quote from the $45k system PC; rebuild installed scope only after design/Q-03 closeout. RW04 no-fines, RW05 drainage and RW03 bridging remain separate.</x:v>
      </x:c>
      <x:c r="AK38" s="473" t="str">
        <x:v>No</x:v>
      </x:c>
      <x:c r="AL38" s="473"/>
      <x:c r="AM38" s="473" t="str">
        <x:v>N/A - fixed PC sum</x:v>
      </x:c>
      <x:c r="AN38" s="500" t="n">
        <x:f>IF(AND(AK38="Yes",OR(O38="Labour",O38="Plant")),Z38,0)</x:f>
        <x:v>0</x:v>
      </x:c>
    </x:row>
    <x:row r="39" ht="22.049999237060547" customHeight="1">
      <x:c r="A39" s="80" t="str">
        <x:f>IF(B39="","",B39&amp;"-"&amp;TEXT(COUNTIF($B$7:B39,B39),"000"))</x:f>
        <x:v>RW02-001</x:v>
      </x:c>
      <x:c r="B39" s="53" t="str">
        <x:v>RW02</x:v>
      </x:c>
      <x:c r="C39" s="81" t="str">
        <x:f>IFERROR(INDEX('QS Takeoff'!$A$3:$A$194,MATCH(B39,'QS Takeoff'!$B$3:$B$194,0)),"")</x:f>
        <x:v>Retaining Walls</x:v>
      </x:c>
      <x:c r="D39" s="81" t="str">
        <x:f>IFERROR(INDEX('QS Takeoff'!$C$3:$C$194,MATCH(B39,'QS Takeoff'!$B$3:$B$194,0)),"")</x:f>
        <x:v>Keystone retaining wall - low wall length control</x:v>
      </x:c>
      <x:c r="E39" s="81" t="n">
        <x:f>IFERROR(INDEX('QS Takeoff'!$E$3:$E$194,MATCH(B39,'QS Takeoff'!$B$3:$B$194,0)),"")</x:f>
        <x:v>9.59</x:v>
      </x:c>
      <x:c r="F39" s="81" t="str">
        <x:f>IFERROR(INDEX('QS Takeoff'!$D$3:$D$194,MATCH(B39,'QS Takeoff'!$B$3:$B$194,0)),"")</x:f>
        <x:v>lm</x:v>
      </x:c>
      <x:c r="G39" s="81" t="str">
        <x:f>IFERROR(INDEX('QS Takeoff'!$J$3:$J$194,MATCH(B39,'QS Takeoff'!$B$3:$B$194,0)),"")</x:f>
        <x:v>AMBER - PC SUM</x:v>
      </x:c>
      <x:c r="H39" s="53" t="str">
        <x:v>Low Keystone wall system PC</x:v>
      </x:c>
      <x:c r="I39" s="60"/>
      <x:c r="J39" s="60"/>
      <x:c r="K39" s="82" t="str">
        <x:f t="shared" si="0">IF(OR(B39="",I39="",I39=0),"",E39/I39)</x:f>
      </x:c>
      <x:c r="L39" s="60" t="n">
        <x:v>24</x:v>
      </x:c>
      <x:c r="M39" s="82" t="n">
        <x:f t="shared" si="1">IF(L39&gt;0,L39,K39)</x:f>
        <x:v>24</x:v>
      </x:c>
      <x:c r="N39" s="53" t="str">
        <x:v>Lump Sum / Quote</x:v>
      </x:c>
      <x:c r="O39" s="53" t="str">
        <x:v>Other</x:v>
      </x:c>
      <x:c r="P39" s="53" t="str">
        <x:v>OTH-GENERAL</x:v>
      </x:c>
      <x:c r="Q39" s="81" t="str">
        <x:f>IFERROR(INDEX('Resource Rate Library'!$C$5:$C$85,MATCH(P39,'Resource Rate Library'!$A$5:$A$85,0)),"")</x:f>
        <x:v>Project-specific transparent allowance</x:v>
      </x:c>
      <x:c r="R39" s="53"/>
      <x:c r="S39" s="53" t="n">
        <x:v>1</x:v>
      </x:c>
      <x:c r="T39" s="81" t="str">
        <x:f>IFERROR(INDEX('Resource Rate Library'!$E$5:$E$85,MATCH(P39,'Resource Rate Library'!$A$5:$A$85,0)),"")</x:f>
        <x:v>LS</x:v>
      </x:c>
      <x:c r="U39" s="62" t="n">
        <x:v>1</x:v>
      </x:c>
      <x:c r="V39" s="62" t="n">
        <x:v>0</x:v>
      </x:c>
      <x:c r="W39" s="83" t="n">
        <x:f>IFERROR(INDEX('Resource Rate Library'!$I$5:$I$85,MATCH(P39,'Resource Rate Library'!$A$5:$A$85,0)),0)</x:f>
        <x:v>1</x:v>
      </x:c>
      <x:c r="X39" s="52" t="n">
        <x:v>7000</x:v>
      </x:c>
      <x:c r="Y39" s="83" t="n">
        <x:f t="shared" si="2">IF(X39&gt;0,X39,W39)</x:f>
        <x:v>7000</x:v>
      </x:c>
      <x:c r="Z39" s="83" t="n">
        <x:f t="shared" si="3">IF(B39="","",IF(N39="Time x Count",M39*R39*IF(U39="",1,U39)*Y39,IF(N39="QS Qty x Factor",E39*R39*(1+IF(V39="",0,V39))*Y39,IF(N39="Direct Qty",S39*(1+IF(V39="",0,V39))*Y39,IF(N39="Lump Sum / Quote",S39*Y39,0)))))</x:f>
        <x:v>7000</x:v>
      </x:c>
      <x:c r="AA39" s="81" t="str">
        <x:f>IFERROR(INDEX('Resource Rate Library'!$N$5:$N$85,MATCH(P39,'Resource Rate Library'!$A$5:$A$85,0)),"")</x:f>
        <x:v>Basis shown in Resource Build-Up</x:v>
      </x:c>
      <x:c r="AB39" s="53" t="str">
        <x:v>Citi combined Q1020 + 11-Sep banded takeoff covers the low wall within the overall 84.0lm supplier measurement.</x:v>
      </x:c>
      <x:c r="AC39" s="59" t="str">
        <x:v>11-Sep-2026</x:v>
      </x:c>
      <x:c r="AD39" s="81" t="str">
        <x:v>N/A</x:v>
      </x:c>
      <x:c r="AE39" s="81" t="str">
        <x:v>N/A</x:v>
      </x:c>
      <x:c r="AF39" s="53" t="str">
        <x:v>AMBER - COMBINED MATERIAL QUANTITY CORROBORATED</x:v>
      </x:c>
      <x:c r="AG39" s="53" t="str">
        <x:v>Current RW02 $7k installed-system PC remains. Do not arbitrarily split supplier material by percentage; final allocation by measured courses/height bands follows design adjudication.</x:v>
      </x:c>
      <x:c r="AH39" s="53" t="str">
        <x:v>No</x:v>
      </x:c>
      <x:c r="AI39" s="81" t="str">
        <x:v>VERIFY</x:v>
      </x:c>
      <x:c r="AJ39" s="54" t="str">
        <x:v>Do not split supplier quote by arbitrary percentage. Rebuild both retaining lines together once height bands are confirmed.</x:v>
      </x:c>
      <x:c r="AK39" s="473" t="str">
        <x:v>No</x:v>
      </x:c>
      <x:c r="AL39" s="473"/>
      <x:c r="AM39" s="473" t="str">
        <x:v>N/A - fixed PC sum</x:v>
      </x:c>
      <x:c r="AN39" s="500" t="n">
        <x:f>IF(AND(AK39="Yes",OR(O39="Labour",O39="Plant")),Z39,0)</x:f>
        <x:v>0</x:v>
      </x:c>
    </x:row>
    <x:row r="40" ht="22.049999237060547" customHeight="1">
      <x:c r="A40" s="80" t="str">
        <x:f>IF(B40="","",B40&amp;"-"&amp;TEXT(COUNTIF($B$7:B40,B40),"000"))</x:f>
        <x:v>RW04-001</x:v>
      </x:c>
      <x:c r="B40" s="53" t="str">
        <x:v>RW04</x:v>
      </x:c>
      <x:c r="C40" s="81" t="str">
        <x:f>IFERROR(INDEX('QS Takeoff'!$A$3:$A$194,MATCH(B40,'QS Takeoff'!$B$3:$B$194,0)),"")</x:f>
        <x:v>Retaining Walls</x:v>
      </x:c>
      <x:c r="D40" s="81" t="str">
        <x:f>IFERROR(INDEX('QS Takeoff'!$C$3:$C$194,MATCH(B40,'QS Takeoff'!$B$3:$B$194,0)),"")</x:f>
        <x:v>13MPa no-fines concrete to engineered Keystone gravity wall</x:v>
      </x:c>
      <x:c r="E40" s="81" t="n">
        <x:f>IFERROR(INDEX('QS Takeoff'!$E$3:$E$194,MATCH(B40,'QS Takeoff'!$B$3:$B$194,0)),"")</x:f>
        <x:v>1</x:v>
      </x:c>
      <x:c r="F40" s="81" t="str">
        <x:f>IFERROR(INDEX('QS Takeoff'!$D$3:$D$194,MATCH(B40,'QS Takeoff'!$B$3:$B$194,0)),"")</x:f>
        <x:v>LS</x:v>
      </x:c>
      <x:c r="G40" s="81" t="str">
        <x:v>AMBER - QUOTED SUPPLY + PLACEMENT ALLOWANCE</x:v>
      </x:c>
      <x:c r="H40" s="53" t="str">
        <x:v>13MPa no-fines: Allied quoted supply plus retained placement/conditional-charge allowance</x:v>
      </x:c>
      <x:c r="I40" s="60"/>
      <x:c r="J40" s="60"/>
      <x:c r="K40" s="82" t="str">
        <x:f t="shared" si="0">IF(OR(B40="",I40="",I40=0),"",E40/I40)</x:f>
      </x:c>
      <x:c r="L40" s="60"/>
      <x:c r="M40" s="82" t="str">
        <x:f t="shared" si="1">IF(L40&gt;0,L40,K40)</x:f>
      </x:c>
      <x:c r="N40" s="53" t="str">
        <x:v>Lump Sum / Quote</x:v>
      </x:c>
      <x:c r="O40" s="53" t="str">
        <x:v>Other</x:v>
      </x:c>
      <x:c r="P40" s="53" t="str">
        <x:v>OTH-GENERAL</x:v>
      </x:c>
      <x:c r="Q40" s="81" t="str">
        <x:f>IFERROR(INDEX('Resource Rate Library'!$C$5:$C$85,MATCH(P40,'Resource Rate Library'!$A$5:$A$85,0)),"")</x:f>
        <x:v>Project-specific transparent allowance</x:v>
      </x:c>
      <x:c r="R40" s="53"/>
      <x:c r="S40" s="53" t="n">
        <x:v>1</x:v>
      </x:c>
      <x:c r="T40" s="81" t="str">
        <x:f>IFERROR(INDEX('Resource Rate Library'!$E$5:$E$85,MATCH(P40,'Resource Rate Library'!$A$5:$A$85,0)),"")</x:f>
        <x:v>LS</x:v>
      </x:c>
      <x:c r="U40" s="62" t="n">
        <x:v>1</x:v>
      </x:c>
      <x:c r="V40" s="62" t="n">
        <x:v>0</x:v>
      </x:c>
      <x:c r="W40" s="83" t="n">
        <x:f>IFERROR(INDEX('Resource Rate Library'!$I$5:$I$85,MATCH(P40,'Resource Rate Library'!$A$5:$A$85,0)),0)</x:f>
        <x:v>1</x:v>
      </x:c>
      <x:c r="X40" s="52" t="n">
        <x:v>18000</x:v>
      </x:c>
      <x:c r="Y40" s="83" t="n">
        <x:f t="shared" si="2">IF(X40&gt;0,X40,W40)</x:f>
        <x:v>18000</x:v>
      </x:c>
      <x:c r="Z40" s="83" t="n">
        <x:f t="shared" si="3">IF(B40="","",IF(N40="Time x Count",M40*R40*IF(U40="",1,U40)*Y40,IF(N40="QS Qty x Factor",E40*R40*(1+IF(V40="",0,V40))*Y40,IF(N40="Direct Qty",S40*(1+IF(V40="",0,V40))*Y40,IF(N40="Lump Sum / Quote",S40*Y40,0)))))</x:f>
        <x:v>18000</x:v>
      </x:c>
      <x:c r="AA40" s="81" t="str">
        <x:f>IFERROR(INDEX('Resource Rate Library'!$N$5:$N$85,MATCH(P40,'Resource Rate Library'!$A$5:$A$85,0)),"")</x:f>
        <x:v>Basis shown in Resource Build-Up</x:v>
      </x:c>
      <x:c r="AB40" s="53" t="str">
        <x:v>Allied Quote 11092026SX3BEARS 11-Sep-2026: 50m3 13MPa 19mm no-fines @ $295/m3 excl GST. Current Allied fuel surcharge week 07-Sep = $6.99/m3; current supply sensitivity $15,099.50.</x:v>
      </x:c>
      <x:c r="AC40" s="59" t="str">
        <x:v>11-Sep-2026</x:v>
      </x:c>
      <x:c r="AD40" s="81" t="str">
        <x:v>N/A</x:v>
      </x:c>
      <x:c r="AE40" s="81" t="str">
        <x:v>N/A</x:v>
      </x:c>
      <x:c r="AF40" s="53" t="str">
        <x:v>AMBER - SUPPLY QUOTE/QUANTITY CORROBORATED / PLACEMENT UNQUOTED</x:v>
      </x:c>
      <x:c r="AG40" s="53" t="str">
        <x:v>DHC S303 Wall Design Table + Citi 84.0lm bands calculate 47.98m3. Allied 50m3 quote gives +4.2% volume buffer. Existing $18,000 total is retained; approx $2,900.50 remains as explicit placement/handling/conditional-charge headroom pending method confirmation.</x:v>
      </x:c>
      <x:c r="AH40" s="53" t="str">
        <x:v>No</x:v>
      </x:c>
      <x:c r="AI40" s="81" t="str">
        <x:f>IF(B40="","",IF(AND(P40="",N40&lt;&gt;"Lump Sum / Quote"),"RESOURCE CODE",IF(Y40=0,"RATE MISSING",IF(AND(O40="Plant",AD40="Yes",COUNTIFS($B$7:$B$306,B40,$O$7:$O$306,"Labour",$Q$7:$Q$306,"*Operator*")&gt;0),"OPERATOR DOUBLE-COUNT",IF(AND(O40="Plant",AE40="Yes",COUNTIFS($B$7:$B$306,B40,$Q$7:$Q$306,"*Fuel*")&gt;0),"FUEL DOUBLE-COUNT",IF(AH40&lt;&gt;"Yes","VERIFY","OK"))))))</x:f>
        <x:v>VERIFY</x:v>
      </x:c>
      <x:c r="AJ40" s="54" t="str">
        <x:v>Do not reduce RW04 to supply-only cost. Allied has not quoted placement/pumping. Current control contains the quoted supply basis plus an AMBER placement/conditional-charge allowance. Do not add fuel again if the delivery invoice/quote already includes it.</x:v>
      </x:c>
      <x:c r="AK40" s="473" t="str">
        <x:v>No</x:v>
      </x:c>
      <x:c r="AL40" s="473"/>
      <x:c r="AM40" s="473" t="str">
        <x:v>N/A - fixed PC sum</x:v>
      </x:c>
      <x:c r="AN40" s="500" t="n">
        <x:f>IF(AND(AK40="Yes",OR(O40="Labour",O40="Plant")),Z40,0)</x:f>
        <x:v>0</x:v>
      </x:c>
    </x:row>
    <x:row r="41" ht="22.049999237060547" customHeight="1">
      <x:c r="A41" s="80" t="str">
        <x:f>IF(B41="","",B41&amp;"-"&amp;TEXT(COUNTIF($B$7:B41,B41),"000"))</x:f>
        <x:v>RW05-001</x:v>
      </x:c>
      <x:c r="B41" s="53" t="str">
        <x:v>RW05</x:v>
      </x:c>
      <x:c r="C41" s="81" t="str">
        <x:f>IFERROR(INDEX('QS Takeoff'!$A$3:$A$194,MATCH(B41,'QS Takeoff'!$B$3:$B$194,0)),"")</x:f>
        <x:v>Retaining Walls</x:v>
      </x:c>
      <x:c r="D41" s="81" t="str">
        <x:f>IFERROR(INDEX('QS Takeoff'!$C$3:$C$194,MATCH(B41,'QS Takeoff'!$B$3:$B$194,0)),"")</x:f>
        <x:v>Retaining wall drainage: 100mm Novaflo, aggregate and filter cloth</x:v>
      </x:c>
      <x:c r="E41" s="81" t="n">
        <x:f>IFERROR(INDEX('QS Takeoff'!$E$3:$E$194,MATCH(B41,'QS Takeoff'!$B$3:$B$194,0)),"")</x:f>
        <x:v>82.93</x:v>
      </x:c>
      <x:c r="F41" s="81" t="str">
        <x:f>IFERROR(INDEX('QS Takeoff'!$D$3:$D$194,MATCH(B41,'QS Takeoff'!$B$3:$B$194,0)),"")</x:f>
        <x:v>lm</x:v>
      </x:c>
      <x:c r="G41" s="81" t="str">
        <x:v>BY SUBCONTRACT - ALLIED / CONFIRMED 10-SEP-2026</x:v>
      </x:c>
      <x:c r="H41" s="53" t="str">
        <x:v>Retaining drainage transferred to Allied subcontract - 108m Novacoil + 2 Type 1 cesspits confirmed by Jason</x:v>
      </x:c>
      <x:c r="I41" s="60"/>
      <x:c r="J41" s="60"/>
      <x:c r="K41" s="82" t="str">
        <x:f t="shared" si="0">IF(OR(B41="",I41="",I41=0),"",E41/I41)</x:f>
      </x:c>
      <x:c r="L41" s="60"/>
      <x:c r="M41" s="82" t="str">
        <x:f t="shared" si="1">IF(L41&gt;0,L41,K41)</x:f>
      </x:c>
      <x:c r="N41" s="53" t="str">
        <x:v>Lump Sum / Quote</x:v>
      </x:c>
      <x:c r="O41" s="53" t="str">
        <x:v>Other</x:v>
      </x:c>
      <x:c r="P41" s="53" t="str">
        <x:v>OTH-GENERAL</x:v>
      </x:c>
      <x:c r="Q41" s="81" t="str">
        <x:f>IFERROR(INDEX('Resource Rate Library'!$C$5:$C$85,MATCH(P41,'Resource Rate Library'!$A$5:$A$85,0)),"")</x:f>
        <x:v>Project-specific transparent allowance</x:v>
      </x:c>
      <x:c r="R41" s="53"/>
      <x:c r="S41" s="53" t="n">
        <x:v>0</x:v>
      </x:c>
      <x:c r="T41" s="81" t="str">
        <x:f>IFERROR(INDEX('Resource Rate Library'!$E$5:$E$85,MATCH(P41,'Resource Rate Library'!$A$5:$A$85,0)),"")</x:f>
        <x:v>LS</x:v>
      </x:c>
      <x:c r="U41" s="62" t="n">
        <x:v>1</x:v>
      </x:c>
      <x:c r="V41" s="62" t="n">
        <x:v>0</x:v>
      </x:c>
      <x:c r="W41" s="83" t="n">
        <x:f>IFERROR(INDEX('Resource Rate Library'!$I$5:$I$85,MATCH(P41,'Resource Rate Library'!$A$5:$A$85,0)),0)</x:f>
        <x:v>1</x:v>
      </x:c>
      <x:c r="X41" s="52" t="n">
        <x:v>0</x:v>
      </x:c>
      <x:c r="Y41" s="83" t="n">
        <x:f t="shared" si="2">IF(X41&gt;0,X41,W41)</x:f>
        <x:v>1</x:v>
      </x:c>
      <x:c r="Z41" s="83" t="n">
        <x:f t="shared" si="3">IF(B41="","",IF(N41="Time x Count",M41*R41*IF(U41="",1,U41)*Y41,IF(N41="QS Qty x Factor",E41*R41*(1+IF(V41="",0,V41))*Y41,IF(N41="Direct Qty",S41*(1+IF(V41="",0,V41))*Y41,IF(N41="Lump Sum / Quote",S41*Y41,0)))))</x:f>
        <x:v>0</x:v>
      </x:c>
      <x:c r="AA41" s="81" t="str">
        <x:f>IFERROR(INDEX('Resource Rate Library'!$N$5:$N$85,MATCH(P41,'Resource Rate Library'!$A$5:$A$85,0)),"")</x:f>
        <x:v>Basis shown in Resource Build-Up</x:v>
      </x:c>
      <x:c r="AB41" s="53" t="str">
        <x:v>Allied Ref 25237 + Jason clarification email 10-Sep-2026</x:v>
      </x:c>
      <x:c r="AC41" s="59" t="str">
        <x:v>10-Sep-2026</x:v>
      </x:c>
      <x:c r="AD41" s="81" t="str">
        <x:v>N/A</x:v>
      </x:c>
      <x:c r="AE41" s="81" t="str">
        <x:v>N/A</x:v>
      </x:c>
      <x:c r="AF41" s="53" t="str">
        <x:v>AMBER - ownership confirmed / component completeness check remains</x:v>
      </x:c>
      <x:c r="AG41" s="53" t="str">
        <x:v>Jason confirms the 108m Novacoil is retaining-wall drainage including 2 Type 1 cesspits. The $12,000 Siteworks RW05 PC is therefore removed from direct cost to prevent duplication. Allied allocated retaining-drainage subcontract value is $19,211.04. Filter fabric/accessory completeness remains to be checked against DHC detail.</x:v>
      </x:c>
      <x:c r="AH41" s="53" t="str">
        <x:v>Yes</x:v>
      </x:c>
      <x:c r="AI41" s="81" t="str">
        <x:v>OK - DUPLICATION REMOVED</x:v>
      </x:c>
      <x:c r="AJ41" s="54" t="str">
        <x:v>Direct Siteworks value = $0. Allied retaining-drainage value sits only in Consolidated Package / TPW subcontract overlay until final tender integration.</x:v>
      </x:c>
      <x:c r="AK41" s="473" t="str">
        <x:v>No</x:v>
      </x:c>
      <x:c r="AL41" s="473"/>
      <x:c r="AM41" s="473" t="str">
        <x:v>N/A - fixed PC sum</x:v>
      </x:c>
      <x:c r="AN41" s="500" t="n">
        <x:f>IF(AND(AK41="Yes",OR(O41="Labour",O41="Plant")),Z41,0)</x:f>
        <x:v>0</x:v>
      </x:c>
    </x:row>
    <x:row r="42" ht="22.049999237060547" customHeight="1">
      <x:c r="A42" s="80" t="str">
        <x:f>IF(B42="","",B42&amp;"-"&amp;TEXT(COUNTIF($B$7:B42,B42),"000"))</x:f>
        <x:v>TC01-001</x:v>
      </x:c>
      <x:c r="B42" s="53" t="str">
        <x:v>TC01</x:v>
      </x:c>
      <x:c r="C42" s="81" t="str">
        <x:f>IFERROR(INDEX('QS Takeoff'!$A$3:$A$194,MATCH(B42,'QS Takeoff'!$B$3:$B$194,0)),"")</x:f>
        <x:v>Testing, As-Builts &amp; Compliance</x:v>
      </x:c>
      <x:c r="D42" s="81" t="str">
        <x:f>IFERROR(INDEX('QS Takeoff'!$C$3:$C$194,MATCH(B42,'QS Takeoff'!$B$3:$B$194,0)),"")</x:f>
        <x:v>Geotechnical inspections / proof-roll / compaction testing</x:v>
      </x:c>
      <x:c r="E42" s="81" t="n">
        <x:f>IFERROR(INDEX('QS Takeoff'!$E$3:$E$194,MATCH(B42,'QS Takeoff'!$B$3:$B$194,0)),"")</x:f>
        <x:v>1</x:v>
      </x:c>
      <x:c r="F42" s="81" t="str">
        <x:f>IFERROR(INDEX('QS Takeoff'!$D$3:$D$194,MATCH(B42,'QS Takeoff'!$B$3:$B$194,0)),"")</x:f>
        <x:v>LS</x:v>
      </x:c>
      <x:c r="G42" s="81" t="str">
        <x:v>AMBER - QUOTED / 7 VISITS ASSUMED</x:v>
      </x:c>
      <x:c r="H42" s="53" t="str">
        <x:v>Geotechnical construction monitoring / testing / PS4 - Gibb Ritchie quoted scope</x:v>
      </x:c>
      <x:c r="I42" s="60"/>
      <x:c r="J42" s="60"/>
      <x:c r="K42" s="82" t="str">
        <x:f t="shared" si="0">IF(OR(B42="",I42="",I42=0),"",E42/I42)</x:f>
      </x:c>
      <x:c r="L42" s="60"/>
      <x:c r="M42" s="82" t="str">
        <x:f t="shared" si="1">IF(L42&gt;0,L42,K42)</x:f>
      </x:c>
      <x:c r="N42" s="53" t="str">
        <x:v>Lump Sum / Quote</x:v>
      </x:c>
      <x:c r="O42" s="53" t="str">
        <x:v>Other</x:v>
      </x:c>
      <x:c r="P42" s="53" t="str">
        <x:v>OTH-GENERAL</x:v>
      </x:c>
      <x:c r="Q42" s="81" t="str">
        <x:f>IFERROR(INDEX('Resource Rate Library'!$C$5:$C$85,MATCH(P42,'Resource Rate Library'!$A$5:$A$85,0)),"")</x:f>
        <x:v>Project-specific transparent allowance</x:v>
      </x:c>
      <x:c r="R42" s="53"/>
      <x:c r="S42" s="53" t="n">
        <x:v>1</x:v>
      </x:c>
      <x:c r="T42" s="81" t="str">
        <x:f>IFERROR(INDEX('Resource Rate Library'!$E$5:$E$85,MATCH(P42,'Resource Rate Library'!$A$5:$A$85,0)),"")</x:f>
        <x:v>LS</x:v>
      </x:c>
      <x:c r="U42" s="62" t="n">
        <x:v>1</x:v>
      </x:c>
      <x:c r="V42" s="62" t="n">
        <x:v>0</x:v>
      </x:c>
      <x:c r="W42" s="83" t="n">
        <x:f>IFERROR(INDEX('Resource Rate Library'!$I$5:$I$85,MATCH(P42,'Resource Rate Library'!$A$5:$A$85,0)),0)</x:f>
        <x:v>1</x:v>
      </x:c>
      <x:c r="X42" s="52" t="n">
        <x:v>4600</x:v>
      </x:c>
      <x:c r="Y42" s="83" t="n">
        <x:f t="shared" si="2">IF(X42&gt;0,X42,W42)</x:f>
        <x:v>4600</x:v>
      </x:c>
      <x:c r="Z42" s="83" t="n">
        <x:f t="shared" si="3">IF(B42="","",IF(N42="Time x Count",M42*R42*IF(U42="",1,U42)*Y42,IF(N42="QS Qty x Factor",E42*R42*(1+IF(V42="",0,V42))*Y42,IF(N42="Direct Qty",S42*(1+IF(V42="",0,V42))*Y42,IF(N42="Lump Sum / Quote",S42*Y42,0)))))</x:f>
        <x:v>4600</x:v>
      </x:c>
      <x:c r="AA42" s="81" t="str">
        <x:f>IFERROR(INDEX('Resource Rate Library'!$N$5:$N$85,MATCH(P42,'Resource Rate Library'!$A$5:$A$85,0)),"")</x:f>
        <x:v>Basis shown in Resource Build-Up</x:v>
      </x:c>
      <x:c r="AB42" s="53" t="str">
        <x:v>Gibb Ritchie AK26-051AD Rev0 dated 08-Sep-2026: $250 consent-condition familiarisation + 7 site visits/testing @ $500/visit + $850 PS4 = $4,600 excl GST.</x:v>
      </x:c>
      <x:c r="AC42" s="59" t="str">
        <x:v>08-Sep-2026</x:v>
      </x:c>
      <x:c r="AD42" s="81" t="str">
        <x:v>N/A</x:v>
      </x:c>
      <x:c r="AE42" s="81" t="str">
        <x:v>N/A</x:v>
      </x:c>
      <x:c r="AF42" s="53" t="str">
        <x:v>AMBER - current primary quote / visit count variable</x:v>
      </x:c>
      <x:c r="AG42" s="53" t="str">
        <x:v>Use 7-visit quoted baseline. Additional attendance remains possible because the proposal states visit count depends on weather, contractor performance and programme. 24 hours notice required.</x:v>
      </x:c>
      <x:c r="AH42" s="53" t="str">
        <x:v>Yes</x:v>
      </x:c>
      <x:c r="AI42" s="81" t="str">
        <x:v>OK - current primary quote / scope aligned; visit count AMBER</x:v>
      </x:c>
      <x:c r="AJ42" s="54" t="str">
        <x:v>Proposal valid 30 days from 08-Sep-2026. Includes earthworks fill testing, bridging-pile inspection, foundation subgrade inspection, retaining-wall construction, hardfill placement, general geotechnical supervision/advice and one PS4. Excludes structural design, environmental assessment, and council-query response/rework.</x:v>
      </x:c>
      <x:c r="AK42" s="473" t="str">
        <x:v>No</x:v>
      </x:c>
      <x:c r="AL42" s="473"/>
      <x:c r="AM42" s="473" t="str">
        <x:v>N/A - fixed PC sum</x:v>
      </x:c>
      <x:c r="AN42" s="500" t="n">
        <x:f>IF(AND(AK42="Yes",OR(O42="Labour",O42="Plant")),Z42,0)</x:f>
        <x:v>0</x:v>
      </x:c>
    </x:row>
    <x:row r="43" ht="22.049999237060547" customHeight="1">
      <x:c r="A43" s="80" t="str">
        <x:f>IF(B43="","",B43&amp;"-"&amp;TEXT(COUNTIF($B$7:B43,B43),"000"))</x:f>
        <x:v>RH01-001</x:v>
      </x:c>
      <x:c r="B43" s="53" t="str">
        <x:v>RH01</x:v>
      </x:c>
      <x:c r="C43" s="81" t="str">
        <x:f>IFERROR(INDEX('QS Takeoff'!$A$3:$A$194,MATCH(B43,'QS Takeoff'!$B$3:$B$194,0)),"")</x:f>
        <x:v>Reinstatement &amp; Handover</x:v>
      </x:c>
      <x:c r="D43" s="81" t="str">
        <x:f>IFERROR(INDEX('QS Takeoff'!$C$3:$C$194,MATCH(B43,'QS Takeoff'!$B$3:$B$194,0)),"")</x:f>
        <x:v>Final clean / pavement and Siteworks handover attendance</x:v>
      </x:c>
      <x:c r="E43" s="81" t="n">
        <x:f>IFERROR(INDEX('QS Takeoff'!$E$3:$E$194,MATCH(B43,'QS Takeoff'!$B$3:$B$194,0)),"")</x:f>
        <x:v>1</x:v>
      </x:c>
      <x:c r="F43" s="81" t="str">
        <x:f>IFERROR(INDEX('QS Takeoff'!$D$3:$D$194,MATCH(B43,'QS Takeoff'!$B$3:$B$194,0)),"")</x:f>
        <x:v>LS</x:v>
      </x:c>
      <x:c r="G43" s="81" t="str">
        <x:f>IFERROR(INDEX('QS Takeoff'!$J$3:$J$194,MATCH(B43,'QS Takeoff'!$B$3:$B$194,0)),"")</x:f>
        <x:v>AMBER - PC SUM</x:v>
      </x:c>
      <x:c r="H43" s="53" t="str">
        <x:v>Final clean / handover / minor defects PC</x:v>
      </x:c>
      <x:c r="I43" s="60"/>
      <x:c r="J43" s="60"/>
      <x:c r="K43" s="82" t="str">
        <x:f t="shared" si="0">IF(OR(B43="",I43="",I43=0),"",E43/I43)</x:f>
      </x:c>
      <x:c r="L43" s="60" t="n">
        <x:v>16</x:v>
      </x:c>
      <x:c r="M43" s="82" t="n">
        <x:f t="shared" si="1">IF(L43&gt;0,L43,K43)</x:f>
        <x:v>16</x:v>
      </x:c>
      <x:c r="N43" s="53" t="str">
        <x:v>Lump Sum / Quote</x:v>
      </x:c>
      <x:c r="O43" s="53" t="str">
        <x:v>Other</x:v>
      </x:c>
      <x:c r="P43" s="53" t="str">
        <x:v>OTH-GENERAL</x:v>
      </x:c>
      <x:c r="Q43" s="81" t="str">
        <x:f>IFERROR(INDEX('Resource Rate Library'!$C$5:$C$85,MATCH(P43,'Resource Rate Library'!$A$5:$A$85,0)),"")</x:f>
        <x:v>Project-specific transparent allowance</x:v>
      </x:c>
      <x:c r="R43" s="53"/>
      <x:c r="S43" s="53" t="n">
        <x:v>1</x:v>
      </x:c>
      <x:c r="T43" s="81" t="str">
        <x:f>IFERROR(INDEX('Resource Rate Library'!$E$5:$E$85,MATCH(P43,'Resource Rate Library'!$A$5:$A$85,0)),"")</x:f>
        <x:v>LS</x:v>
      </x:c>
      <x:c r="U43" s="62" t="n">
        <x:v>1</x:v>
      </x:c>
      <x:c r="V43" s="62" t="n">
        <x:v>0</x:v>
      </x:c>
      <x:c r="W43" s="83" t="n">
        <x:f>IFERROR(INDEX('Resource Rate Library'!$I$5:$I$85,MATCH(P43,'Resource Rate Library'!$A$5:$A$85,0)),0)</x:f>
        <x:v>1</x:v>
      </x:c>
      <x:c r="X43" s="52" t="n">
        <x:v>3000</x:v>
      </x:c>
      <x:c r="Y43" s="83" t="n">
        <x:f t="shared" si="2">IF(X43&gt;0,X43,W43)</x:f>
        <x:v>3000</x:v>
      </x:c>
      <x:c r="Z43" s="83" t="n">
        <x:f t="shared" si="3">IF(B43="","",IF(N43="Time x Count",M43*R43*IF(U43="",1,U43)*Y43,IF(N43="QS Qty x Factor",E43*R43*(1+IF(V43="",0,V43))*Y43,IF(N43="Direct Qty",S43*(1+IF(V43="",0,V43))*Y43,IF(N43="Lump Sum / Quote",S43*Y43,0)))))</x:f>
        <x:v>3000</x:v>
      </x:c>
      <x:c r="AA43" s="81" t="str">
        <x:f>IFERROR(INDEX('Resource Rate Library'!$N$5:$N$85,MATCH(P43,'Resource Rate Library'!$A$5:$A$85,0)),"")</x:f>
        <x:v>Basis shown in Resource Build-Up</x:v>
      </x:c>
      <x:c r="AB43" s="53" t="str">
        <x:v>Estimator PC - handover/minor defects; scope/programme confirmation pending</x:v>
      </x:c>
      <x:c r="AC43" s="59" t="str">
        <x:v>07-Sep-2026</x:v>
      </x:c>
      <x:c r="AD43" s="81" t="str">
        <x:f>IFERROR(INDEX('Resource Rate Library'!$G$5:$G$85,MATCH(P43,'Resource Rate Library'!$A$5:$A$85,0)),"")</x:f>
        <x:v>N/A</x:v>
      </x:c>
      <x:c r="AE43" s="81" t="str">
        <x:f>IFERROR(INDEX('Resource Rate Library'!$H$5:$H$85,MATCH(P43,'Resource Rate Library'!$A$5:$A$85,0)),"")</x:f>
        <x:v>N/A</x:v>
      </x:c>
      <x:c r="AF43" s="53" t="str">
        <x:v>AMBER - PC sum pending quote/verification</x:v>
      </x:c>
      <x:c r="AG43" s="53" t="str">
        <x:v>Replace PC sum with measured/quoted resource build-up before award.</x:v>
      </x:c>
      <x:c r="AH43" s="53" t="str">
        <x:v>No</x:v>
      </x:c>
      <x:c r="AI43" s="81" t="str">
        <x:f>IF(B43="","",IF(AND(P43="",N43&lt;&gt;"Lump Sum / Quote"),"RESOURCE CODE",IF(Y43=0,"RATE MISSING",IF(AND(O43="Plant",AD43="Yes",COUNTIFS($B$7:$B$306,B43,$O$7:$O$306,"Labour",$Q$7:$Q$306,"*Operator*")&gt;0),"OPERATOR DOUBLE-COUNT",IF(AND(O43="Plant",AE43="Yes",COUNTIFS($B$7:$B$306,B43,$Q$7:$Q$306,"*Fuel*")&gt;0),"FUEL DOUBLE-COUNT",IF(AH43&lt;&gt;"Yes","VERIFY","OK"))))))</x:f>
        <x:v>VERIFY</x:v>
      </x:c>
      <x:c r="AJ43" s="54" t="str">
        <x:v>PC sum authorised by Rick for complete tender-review build; not a supplier quote.</x:v>
      </x:c>
      <x:c r="AK43" s="473" t="str">
        <x:v>No</x:v>
      </x:c>
      <x:c r="AL43" s="473"/>
      <x:c r="AM43" s="473" t="str">
        <x:v>N/A - fixed PC sum</x:v>
      </x:c>
      <x:c r="AN43" s="500" t="n">
        <x:f>IF(AND(AK43="Yes",OR(O43="Labour",O43="Plant")),Z43,0)</x:f>
        <x:v>0</x:v>
      </x:c>
    </x:row>
    <x:row r="44" ht="22.049999237060547" customHeight="1">
      <x:c r="A44" s="80" t="str">
        <x:f>IF(B44="","",B44&amp;"-"&amp;TEXT(COUNTIF($B$7:B44,B44),"000"))</x:f>
        <x:v>RW03-003</x:v>
      </x:c>
      <x:c r="B44" s="53" t="str">
        <x:v>RW03</x:v>
      </x:c>
      <x:c r="C44" s="81" t="str">
        <x:f>IFERROR(INDEX('QS Takeoff'!$A$3:$A$194,MATCH(B44,'QS Takeoff'!$B$3:$B$194,0)),"")</x:f>
        <x:v>Retaining Walls</x:v>
      </x:c>
      <x:c r="D44" s="81" t="str">
        <x:f>IFERROR(INDEX('QS Takeoff'!$C$3:$C$194,MATCH(B44,'QS Takeoff'!$B$3:$B$194,0)),"")</x:f>
        <x:v>PILE1 bridging piles to Keystone over 450mm SW main</x:v>
      </x:c>
      <x:c r="E44" s="81" t="n">
        <x:f>IFERROR(INDEX('QS Takeoff'!$E$3:$E$194,MATCH(B44,'QS Takeoff'!$B$3:$B$194,0)),"")</x:f>
        <x:v>7</x:v>
      </x:c>
      <x:c r="F44" s="81" t="str">
        <x:f>IFERROR(INDEX('QS Takeoff'!$D$3:$D$194,MATCH(B44,'QS Takeoff'!$B$3:$B$194,0)),"")</x:f>
        <x:v>ea</x:v>
      </x:c>
      <x:c r="G44" s="81" t="str">
        <x:f>IFERROR(INDEX('QS Takeoff'!$J$3:$J$194,MATCH(B44,'QS Takeoff'!$B$3:$B$194,0)),"")</x:f>
        <x:v>AMBER - IN-HOUSE SELF-PERFORM / PART MEASURED</x:v>
      </x:c>
      <x:c r="H44" s="53" t="str">
        <x:v>In-house 3t auger attachment - 7 x 500mm PILE1</x:v>
      </x:c>
      <x:c r="I44" s="60"/>
      <x:c r="J44" s="60"/>
      <x:c r="K44" s="82" t="str">
        <x:f t="shared" si="0">IF(OR(B44="",I44="",I44=0),"",E44/I44)</x:f>
      </x:c>
      <x:c r="L44" s="60" t="n">
        <x:v>7</x:v>
      </x:c>
      <x:c r="M44" s="82" t="n">
        <x:f t="shared" si="1">IF(L44&gt;0,L44,K44)</x:f>
        <x:v>7</x:v>
      </x:c>
      <x:c r="N44" s="53" t="str">
        <x:v>Time x Count</x:v>
      </x:c>
      <x:c r="O44" s="53" t="str">
        <x:v>Plant</x:v>
      </x:c>
      <x:c r="P44" s="53" t="str">
        <x:v>PL-AUGER-3T-INHOUSE</x:v>
      </x:c>
      <x:c r="Q44" s="81" t="str">
        <x:f>IFERROR(INDEX('Resource Rate Library'!$C$5:$C$85,MATCH(P44,'Resource Rate Library'!$A$5:$A$85,0)),"")</x:f>
        <x:v>3 t excavator auger / drill attachment in-house historical project rate</x:v>
      </x:c>
      <x:c r="R44" s="53" t="n">
        <x:v>1</x:v>
      </x:c>
      <x:c r="S44" s="53"/>
      <x:c r="T44" s="81" t="str">
        <x:f>IFERROR(INDEX('Resource Rate Library'!$E$5:$E$85,MATCH(P44,'Resource Rate Library'!$A$5:$A$85,0)),"")</x:f>
        <x:v>hr</x:v>
      </x:c>
      <x:c r="U44" s="62" t="n">
        <x:v>1</x:v>
      </x:c>
      <x:c r="V44" s="62" t="n">
        <x:v>0</x:v>
      </x:c>
      <x:c r="W44" s="83" t="n">
        <x:f>IFERROR(INDEX('Resource Rate Library'!$I$5:$I$85,MATCH(P44,'Resource Rate Library'!$A$5:$A$85,0)),0)</x:f>
        <x:v>22.5</x:v>
      </x:c>
      <x:c r="X44" s="52"/>
      <x:c r="Y44" s="83" t="n">
        <x:f t="shared" si="2">IF(X44&gt;0,X44,W44)</x:f>
        <x:v>22.5</x:v>
      </x:c>
      <x:c r="Z44" s="83" t="n">
        <x:f t="shared" si="3">IF(B44="","",IF(N44="Time x Count",M44*R44*IF(U44="",1,U44)*Y44,IF(N44="QS Qty x Factor",E44*R44*(1+IF(V44="",0,V44))*Y44,IF(N44="Direct Qty",S44*(1+IF(V44="",0,V44))*Y44,IF(N44="Lump Sum / Quote",S44*Y44,0)))))</x:f>
        <x:v>157.5</x:v>
      </x:c>
      <x:c r="AA44" s="81" t="str">
        <x:f>IFERROR(INDEX('Resource Rate Library'!$N$5:$N$85,MATCH(P44,'Resource Rate Library'!$A$5:$A$85,0)),"")</x:f>
        <x:v>Blackline_Estimate_Cost_Tracker_48_Eastglen.xlsx / 48 Eastglen project</x:v>
      </x:c>
      <x:c r="AB44" s="53" t="str">
        <x:v>Ground Structures declined Q-04 on 07-Sep-2026. Rick directed self-perform. Historical 48 Eastglen company project: 3t machine incl operator $97.50/hr + drill gear $22.50/hr; current Rev4 civil labourer $38/hr. Bridle Trail 5t+auger allowance retained as independent reasonableness check.</x:v>
      </x:c>
      <x:c r="AC44" s="59" t="str">
        <x:v>07-Sep-2026</x:v>
      </x:c>
      <x:c r="AD44" s="81" t="str">
        <x:f>IFERROR(INDEX('Resource Rate Library'!$G$5:$G$85,MATCH(P44,'Resource Rate Library'!$A$5:$A$85,0)),"")</x:f>
        <x:v>N/A</x:v>
      </x:c>
      <x:c r="AE44" s="81" t="str">
        <x:f>IFERROR(INDEX('Resource Rate Library'!$H$5:$H$85,MATCH(P44,'Resource Rate Library'!$A$5:$A$85,0)),"")</x:f>
        <x:v>N/A</x:v>
      </x:c>
      <x:c r="AF44" s="53" t="str">
        <x:v>AMBER</x:v>
      </x:c>
      <x:c r="AG44" s="53" t="str">
        <x:v>7 auger-hours paired with the PILE1 excavator row. Confirm 500mm tooling and service-clearance method before construction.</x:v>
      </x:c>
      <x:c r="AH44" s="53" t="str">
        <x:v>No</x:v>
      </x:c>
      <x:c r="AI44" s="81" t="str">
        <x:v>OK</x:v>
      </x:c>
      <x:c r="AJ44" s="54" t="str">
        <x:v>Attachment cost only; excavator/operator carried separately on RW03-002.</x:v>
      </x:c>
      <x:c r="AK44" s="473" t="str">
        <x:v>Yes</x:v>
      </x:c>
      <x:c r="AL44" s="473" t="str">
        <x:v>Bored piles / drilled holes</x:v>
      </x:c>
      <x:c r="AM44" s="473" t="str">
        <x:v>AMBER - self-perform production allowance</x:v>
      </x:c>
      <x:c r="AN44" s="500" t="n">
        <x:f>IF(AND(AK44="Yes",OR(O44="Labour",O44="Plant")),Z44,0)</x:f>
        <x:v>157.5</x:v>
      </x:c>
    </x:row>
    <x:row r="45" ht="22.049999237060547" customHeight="1">
      <x:c r="A45" s="80" t="str">
        <x:f>IF(B45="","",B45&amp;"-"&amp;TEXT(COUNTIF($B$7:B45,B45),"000"))</x:f>
        <x:v>RW03-004</x:v>
      </x:c>
      <x:c r="B45" s="53" t="str">
        <x:v>RW03</x:v>
      </x:c>
      <x:c r="C45" s="81" t="str">
        <x:f>IFERROR(INDEX('QS Takeoff'!$A$3:$A$194,MATCH(B45,'QS Takeoff'!$B$3:$B$194,0)),"")</x:f>
        <x:v>Retaining Walls</x:v>
      </x:c>
      <x:c r="D45" s="81" t="str">
        <x:f>IFERROR(INDEX('QS Takeoff'!$C$3:$C$194,MATCH(B45,'QS Takeoff'!$B$3:$B$194,0)),"")</x:f>
        <x:v>PILE1 bridging piles to Keystone over 450mm SW main</x:v>
      </x:c>
      <x:c r="E45" s="81" t="n">
        <x:f>IFERROR(INDEX('QS Takeoff'!$E$3:$E$194,MATCH(B45,'QS Takeoff'!$B$3:$B$194,0)),"")</x:f>
        <x:v>7</x:v>
      </x:c>
      <x:c r="F45" s="81" t="str">
        <x:f>IFERROR(INDEX('QS Takeoff'!$D$3:$D$194,MATCH(B45,'QS Takeoff'!$B$3:$B$194,0)),"")</x:f>
        <x:v>ea</x:v>
      </x:c>
      <x:c r="G45" s="81" t="str">
        <x:f>IFERROR(INDEX('QS Takeoff'!$J$3:$J$194,MATCH(B45,'QS Takeoff'!$B$3:$B$194,0)),"")</x:f>
        <x:v>AMBER - IN-HOUSE SELF-PERFORM / PART MEASURED</x:v>
      </x:c>
      <x:c r="H45" s="53" t="str">
        <x:v>Labour support for in-house PILE1 boring</x:v>
      </x:c>
      <x:c r="I45" s="60"/>
      <x:c r="J45" s="60"/>
      <x:c r="K45" s="82" t="str">
        <x:f t="shared" si="0">IF(OR(B45="",I45="",I45=0),"",E45/I45)</x:f>
      </x:c>
      <x:c r="L45" s="60" t="n">
        <x:v>7</x:v>
      </x:c>
      <x:c r="M45" s="82" t="n">
        <x:f t="shared" si="1">IF(L45&gt;0,L45,K45)</x:f>
        <x:v>7</x:v>
      </x:c>
      <x:c r="N45" s="53" t="str">
        <x:v>Time x Count</x:v>
      </x:c>
      <x:c r="O45" s="53" t="str">
        <x:v>Labour</x:v>
      </x:c>
      <x:c r="P45" s="53" t="str">
        <x:v>LAB-LABOURER</x:v>
      </x:c>
      <x:c r="Q45" s="81" t="str">
        <x:f>IFERROR(INDEX('Resource Rate Library'!$C$5:$C$85,MATCH(P45,'Resource Rate Library'!$A$5:$A$85,0)),"")</x:f>
        <x:v>Civil labourer</x:v>
      </x:c>
      <x:c r="R45" s="53" t="n">
        <x:v>1</x:v>
      </x:c>
      <x:c r="S45" s="53"/>
      <x:c r="T45" s="81" t="str">
        <x:f>IFERROR(INDEX('Resource Rate Library'!$E$5:$E$85,MATCH(P45,'Resource Rate Library'!$A$5:$A$85,0)),"")</x:f>
        <x:v>hr</x:v>
      </x:c>
      <x:c r="U45" s="62" t="n">
        <x:v>1</x:v>
      </x:c>
      <x:c r="V45" s="62" t="n">
        <x:v>0</x:v>
      </x:c>
      <x:c r="W45" s="83" t="n">
        <x:f>IFERROR(INDEX('Resource Rate Library'!$I$5:$I$85,MATCH(P45,'Resource Rate Library'!$A$5:$A$85,0)),0)</x:f>
        <x:v>38</x:v>
      </x:c>
      <x:c r="X45" s="52"/>
      <x:c r="Y45" s="83" t="n">
        <x:f t="shared" si="2">IF(X45&gt;0,X45,W45)</x:f>
        <x:v>38</x:v>
      </x:c>
      <x:c r="Z45" s="83" t="n">
        <x:f t="shared" si="3">IF(B45="","",IF(N45="Time x Count",M45*R45*IF(U45="",1,U45)*Y45,IF(N45="QS Qty x Factor",E45*R45*(1+IF(V45="",0,V45))*Y45,IF(N45="Direct Qty",S45*(1+IF(V45="",0,V45))*Y45,IF(N45="Lump Sum / Quote",S45*Y45,0)))))</x:f>
        <x:v>266</x:v>
      </x:c>
      <x:c r="AA45" s="81" t="str">
        <x:f>IFERROR(INDEX('Resource Rate Library'!$N$5:$N$85,MATCH(P45,'Resource Rate Library'!$A$5:$A$85,0)),"")</x:f>
        <x:v>https://nz.seek.com/civil-drainage-jobs/in-All-Auckland | https://nz.seek.com/drainage-foreman-jobs/in-All-Auckland/full-time</x:v>
      </x:c>
      <x:c r="AB45" s="53" t="str">
        <x:v>Current Rev4 civil labourer rate; 7 support-hours aligned to PILE1 self-perform boring.</x:v>
      </x:c>
      <x:c r="AC45" s="59" t="str">
        <x:v>07-Sep-2026</x:v>
      </x:c>
      <x:c r="AD45" s="81" t="str">
        <x:f>IFERROR(INDEX('Resource Rate Library'!$G$5:$G$85,MATCH(P45,'Resource Rate Library'!$A$5:$A$85,0)),"")</x:f>
        <x:v>N/A</x:v>
      </x:c>
      <x:c r="AE45" s="81" t="str">
        <x:f>IFERROR(INDEX('Resource Rate Library'!$H$5:$H$85,MATCH(P45,'Resource Rate Library'!$A$5:$A$85,0)),"")</x:f>
        <x:v>N/A</x:v>
      </x:c>
      <x:c r="AF45" s="53" t="str">
        <x:v>AMBER</x:v>
      </x:c>
      <x:c r="AG45" s="53" t="str">
        <x:v>One civil labourer for setout/support/spoil control during 7 productive PILE1 boring hours.</x:v>
      </x:c>
      <x:c r="AH45" s="53" t="str">
        <x:v>No</x:v>
      </x:c>
      <x:c r="AI45" s="81" t="str">
        <x:v>OK</x:v>
      </x:c>
      <x:c r="AJ45" s="54" t="str">
        <x:v>Operator is already included in the 3t machine rate; this is support labour only.</x:v>
      </x:c>
      <x:c r="AK45" s="473" t="str">
        <x:v>Yes</x:v>
      </x:c>
      <x:c r="AL45" s="473" t="str">
        <x:v>Bored piles / drilled holes</x:v>
      </x:c>
      <x:c r="AM45" s="473" t="str">
        <x:v>AMBER - self-perform production allowance</x:v>
      </x:c>
      <x:c r="AN45" s="500" t="n">
        <x:f>IF(AND(AK45="Yes",OR(O45="Labour",O45="Plant")),Z45,0)</x:f>
        <x:v>266</x:v>
      </x:c>
    </x:row>
    <x:row r="46" ht="22.049999237060547" customHeight="1">
      <x:c r="A46" s="80" t="str">
        <x:f>IF(B46="","",B46&amp;"-"&amp;TEXT(COUNTIF($B$7:B46,B46),"000"))</x:f>
        <x:v>EW06-002</x:v>
      </x:c>
      <x:c r="B46" s="53" t="str">
        <x:v>EW06</x:v>
      </x:c>
      <x:c r="C46" s="81" t="str">
        <x:f>IFERROR(INDEX('QS Takeoff'!$A$3:$A$194,MATCH(B46,'QS Takeoff'!$B$3:$B$194,0)),"")</x:f>
        <x:v>Earthworks</x:v>
      </x:c>
      <x:c r="D46" s="81" t="str">
        <x:f>IFERROR(INDEX('QS Takeoff'!$C$3:$C$194,MATCH(B46,'QS Takeoff'!$B$3:$B$194,0)),"")</x:f>
        <x:v>PILE2 bored foundation holes 450 dia x 1.2m</x:v>
      </x:c>
      <x:c r="E46" s="81" t="n">
        <x:f>IFERROR(INDEX('QS Takeoff'!$E$3:$E$194,MATCH(B46,'QS Takeoff'!$B$3:$B$194,0)),"")</x:f>
        <x:v>15</x:v>
      </x:c>
      <x:c r="F46" s="81" t="str">
        <x:f>IFERROR(INDEX('QS Takeoff'!$D$3:$D$194,MATCH(B46,'QS Takeoff'!$B$3:$B$194,0)),"")</x:f>
        <x:v>ea</x:v>
      </x:c>
      <x:c r="G46" s="81" t="str">
        <x:v>BY SUBCONTRACT - COAST / REFERENCE ONLY</x:v>
      </x:c>
      <x:c r="H46" s="53" t="str">
        <x:v>Historical auger reference - PILE2 transferred to Coast</x:v>
      </x:c>
      <x:c r="I46" s="60"/>
      <x:c r="J46" s="60"/>
      <x:c r="K46" s="82" t="str">
        <x:f t="shared" si="0">IF(OR(B46="",I46="",I46=0),"",E46/I46)</x:f>
      </x:c>
      <x:c r="L46" s="60" t="n">
        <x:v>11</x:v>
      </x:c>
      <x:c r="M46" s="82" t="n">
        <x:f t="shared" si="1">IF(L46&gt;0,L46,K46)</x:f>
        <x:v>11</x:v>
      </x:c>
      <x:c r="N46" s="53" t="str">
        <x:v>Time x Count</x:v>
      </x:c>
      <x:c r="O46" s="53" t="str">
        <x:v>Plant</x:v>
      </x:c>
      <x:c r="P46" s="53" t="str">
        <x:v>PL-AUGER-3T-INHOUSE</x:v>
      </x:c>
      <x:c r="Q46" s="81" t="str">
        <x:f>IFERROR(INDEX('Resource Rate Library'!$C$5:$C$85,MATCH(P46,'Resource Rate Library'!$A$5:$A$85,0)),"")</x:f>
        <x:v>3 t excavator auger / drill attachment in-house historical project rate</x:v>
      </x:c>
      <x:c r="R46" s="53" t="n">
        <x:v>0</x:v>
      </x:c>
      <x:c r="S46" s="53"/>
      <x:c r="T46" s="81" t="str">
        <x:f>IFERROR(INDEX('Resource Rate Library'!$E$5:$E$85,MATCH(P46,'Resource Rate Library'!$A$5:$A$85,0)),"")</x:f>
        <x:v>hr</x:v>
      </x:c>
      <x:c r="U46" s="62" t="n">
        <x:v>1</x:v>
      </x:c>
      <x:c r="V46" s="62" t="n">
        <x:v>0</x:v>
      </x:c>
      <x:c r="W46" s="83" t="n">
        <x:f>IFERROR(INDEX('Resource Rate Library'!$I$5:$I$85,MATCH(P46,'Resource Rate Library'!$A$5:$A$85,0)),0)</x:f>
        <x:v>22.5</x:v>
      </x:c>
      <x:c r="X46" s="52"/>
      <x:c r="Y46" s="83" t="n">
        <x:f t="shared" si="2">IF(X46&gt;0,X46,W46)</x:f>
        <x:v>22.5</x:v>
      </x:c>
      <x:c r="Z46" s="83" t="n">
        <x:f t="shared" si="3">IF(B46="","",IF(N46="Time x Count",M46*R46*IF(U46="",1,U46)*Y46,IF(N46="QS Qty x Factor",E46*R46*(1+IF(V46="",0,V46))*Y46,IF(N46="Direct Qty",S46*(1+IF(V46="",0,V46))*Y46,IF(N46="Lump Sum / Quote",S46*Y46,0)))))</x:f>
        <x:v>0</x:v>
      </x:c>
      <x:c r="AA46" s="81" t="str">
        <x:f>IFERROR(INDEX('Resource Rate Library'!$N$5:$N$85,MATCH(P46,'Resource Rate Library'!$A$5:$A$85,0)),"")</x:f>
        <x:v>Blackline_Estimate_Cost_Tracker_48_Eastglen.xlsx / 48 Eastglen project</x:v>
      </x:c>
      <x:c r="AB46" s="53" t="str">
        <x:v>Coast Concrete formal quote 09-Sep-2026 + Karl clarification 11-Sep-2026</x:v>
      </x:c>
      <x:c r="AC46" s="59" t="str">
        <x:v>11-Sep-2026</x:v>
      </x:c>
      <x:c r="AD46" s="81" t="str">
        <x:f>IFERROR(INDEX('Resource Rate Library'!$G$5:$G$85,MATCH(P46,'Resource Rate Library'!$A$5:$A$85,0)),"")</x:f>
        <x:v>N/A</x:v>
      </x:c>
      <x:c r="AE46" s="81" t="str">
        <x:f>IFERROR(INDEX('Resource Rate Library'!$H$5:$H$85,MATCH(P46,'Resource Rate Library'!$A$5:$A$85,0)),"")</x:f>
        <x:v>N/A</x:v>
      </x:c>
      <x:c r="AF46" s="53" t="str">
        <x:v>GREEN - BY SUBCONTRACT / SITEWORKS COST ZERO</x:v>
      </x:c>
      <x:c r="AG46" s="53" t="str">
        <x:v>Karl confirms 15 PILE2 on Structural Rev B. Coast formal quote includes excavation of 15 P2 piles. Latest clarification excludes footing excavation, bulk excavation and hardfill to 350mm below FFL; therefore only PILE2 boring is transferred from Siteworks.</x:v>
      </x:c>
      <x:c r="AH46" s="53" t="str">
        <x:v>Yes</x:v>
      </x:c>
      <x:c r="AI46" s="81" t="str">
        <x:v>OK - DUPLICATION REMOVED</x:v>
      </x:c>
      <x:c r="AJ46" s="54" t="str">
        <x:v>Historical in-house resource remains visible but count is zero. Do not reinstate unless Coast scope is formally changed.</x:v>
      </x:c>
      <x:c r="AK46" s="473" t="str">
        <x:v>No</x:v>
      </x:c>
      <x:c r="AL46" s="473" t="str">
        <x:v>Bored piles / drilled holes</x:v>
      </x:c>
      <x:c r="AM46" s="473" t="str">
        <x:v>BY COAST / NOT SITEWORKS WEATHER EXPOSED</x:v>
      </x:c>
      <x:c r="AN46" s="500" t="n">
        <x:v>0</x:v>
      </x:c>
    </x:row>
    <x:row r="47" ht="22.049999237060547" customHeight="1">
      <x:c r="A47" s="80" t="str">
        <x:f>IF(B47="","",B47&amp;"-"&amp;TEXT(COUNTIF($B$7:B47,B47),"000"))</x:f>
        <x:v>EW06-003</x:v>
      </x:c>
      <x:c r="B47" s="53" t="str">
        <x:v>EW06</x:v>
      </x:c>
      <x:c r="C47" s="81" t="str">
        <x:f>IFERROR(INDEX('QS Takeoff'!$A$3:$A$194,MATCH(B47,'QS Takeoff'!$B$3:$B$194,0)),"")</x:f>
        <x:v>Earthworks</x:v>
      </x:c>
      <x:c r="D47" s="81" t="str">
        <x:f>IFERROR(INDEX('QS Takeoff'!$C$3:$C$194,MATCH(B47,'QS Takeoff'!$B$3:$B$194,0)),"")</x:f>
        <x:v>PILE2 bored foundation holes 450 dia x 1.2m</x:v>
      </x:c>
      <x:c r="E47" s="81" t="n">
        <x:f>IFERROR(INDEX('QS Takeoff'!$E$3:$E$194,MATCH(B47,'QS Takeoff'!$B$3:$B$194,0)),"")</x:f>
        <x:v>15</x:v>
      </x:c>
      <x:c r="F47" s="81" t="str">
        <x:f>IFERROR(INDEX('QS Takeoff'!$D$3:$D$194,MATCH(B47,'QS Takeoff'!$B$3:$B$194,0)),"")</x:f>
        <x:v>ea</x:v>
      </x:c>
      <x:c r="G47" s="81" t="str">
        <x:v>BY SUBCONTRACT - COAST / REFERENCE ONLY</x:v>
      </x:c>
      <x:c r="H47" s="53" t="str">
        <x:v>Historical labour reference - PILE2 transferred to Coast</x:v>
      </x:c>
      <x:c r="I47" s="60"/>
      <x:c r="J47" s="60"/>
      <x:c r="K47" s="82" t="str">
        <x:f t="shared" si="0">IF(OR(B47="",I47="",I47=0),"",E47/I47)</x:f>
      </x:c>
      <x:c r="L47" s="60" t="n">
        <x:v>11</x:v>
      </x:c>
      <x:c r="M47" s="82" t="n">
        <x:f t="shared" si="1">IF(L47&gt;0,L47,K47)</x:f>
        <x:v>11</x:v>
      </x:c>
      <x:c r="N47" s="53" t="str">
        <x:v>Time x Count</x:v>
      </x:c>
      <x:c r="O47" s="53" t="str">
        <x:v>Labour</x:v>
      </x:c>
      <x:c r="P47" s="53" t="str">
        <x:v>LAB-LABOURER</x:v>
      </x:c>
      <x:c r="Q47" s="81" t="str">
        <x:f>IFERROR(INDEX('Resource Rate Library'!$C$5:$C$85,MATCH(P47,'Resource Rate Library'!$A$5:$A$85,0)),"")</x:f>
        <x:v>Civil labourer</x:v>
      </x:c>
      <x:c r="R47" s="53" t="n">
        <x:v>0</x:v>
      </x:c>
      <x:c r="S47" s="53"/>
      <x:c r="T47" s="81" t="str">
        <x:f>IFERROR(INDEX('Resource Rate Library'!$E$5:$E$85,MATCH(P47,'Resource Rate Library'!$A$5:$A$85,0)),"")</x:f>
        <x:v>hr</x:v>
      </x:c>
      <x:c r="U47" s="62" t="n">
        <x:v>1</x:v>
      </x:c>
      <x:c r="V47" s="62" t="n">
        <x:v>0</x:v>
      </x:c>
      <x:c r="W47" s="83" t="n">
        <x:f>IFERROR(INDEX('Resource Rate Library'!$I$5:$I$85,MATCH(P47,'Resource Rate Library'!$A$5:$A$85,0)),0)</x:f>
        <x:v>38</x:v>
      </x:c>
      <x:c r="X47" s="52"/>
      <x:c r="Y47" s="83" t="n">
        <x:f t="shared" si="2">IF(X47&gt;0,X47,W47)</x:f>
        <x:v>38</x:v>
      </x:c>
      <x:c r="Z47" s="83" t="n">
        <x:f t="shared" si="3">IF(B47="","",IF(N47="Time x Count",M47*R47*IF(U47="",1,U47)*Y47,IF(N47="QS Qty x Factor",E47*R47*(1+IF(V47="",0,V47))*Y47,IF(N47="Direct Qty",S47*(1+IF(V47="",0,V47))*Y47,IF(N47="Lump Sum / Quote",S47*Y47,0)))))</x:f>
        <x:v>0</x:v>
      </x:c>
      <x:c r="AA47" s="81" t="str">
        <x:f>IFERROR(INDEX('Resource Rate Library'!$N$5:$N$85,MATCH(P47,'Resource Rate Library'!$A$5:$A$85,0)),"")</x:f>
        <x:v>https://nz.seek.com/civil-drainage-jobs/in-All-Auckland | https://nz.seek.com/drainage-foreman-jobs/in-All-Auckland/full-time</x:v>
      </x:c>
      <x:c r="AB47" s="53" t="str">
        <x:v>Coast Concrete formal quote 09-Sep-2026 + Karl clarification 11-Sep-2026</x:v>
      </x:c>
      <x:c r="AC47" s="59" t="str">
        <x:v>11-Sep-2026</x:v>
      </x:c>
      <x:c r="AD47" s="81" t="str">
        <x:f>IFERROR(INDEX('Resource Rate Library'!$G$5:$G$85,MATCH(P47,'Resource Rate Library'!$A$5:$A$85,0)),"")</x:f>
        <x:v>N/A</x:v>
      </x:c>
      <x:c r="AE47" s="81" t="str">
        <x:f>IFERROR(INDEX('Resource Rate Library'!$H$5:$H$85,MATCH(P47,'Resource Rate Library'!$A$5:$A$85,0)),"")</x:f>
        <x:v>N/A</x:v>
      </x:c>
      <x:c r="AF47" s="53" t="str">
        <x:v>GREEN - BY SUBCONTRACT / SITEWORKS COST ZERO</x:v>
      </x:c>
      <x:c r="AG47" s="53" t="str">
        <x:v>Karl confirms 15 PILE2 on Structural Rev B. Coast formal quote includes excavation of 15 P2 piles. Latest clarification excludes footing excavation, bulk excavation and hardfill to 350mm below FFL; therefore only PILE2 boring is transferred from Siteworks.</x:v>
      </x:c>
      <x:c r="AH47" s="53" t="str">
        <x:v>Yes</x:v>
      </x:c>
      <x:c r="AI47" s="81" t="str">
        <x:v>OK - DUPLICATION REMOVED</x:v>
      </x:c>
      <x:c r="AJ47" s="54" t="str">
        <x:v>Historical in-house resource remains visible but count is zero. Do not reinstate unless Coast scope is formally changed.</x:v>
      </x:c>
      <x:c r="AK47" s="473" t="str">
        <x:v>No</x:v>
      </x:c>
      <x:c r="AL47" s="473" t="str">
        <x:v>Bored piles / drilled holes</x:v>
      </x:c>
      <x:c r="AM47" s="473" t="str">
        <x:v>BY COAST / NOT SITEWORKS WEATHER EXPOSED</x:v>
      </x:c>
      <x:c r="AN47" s="500" t="n">
        <x:v>0</x:v>
      </x:c>
    </x:row>
    <x:row r="48" ht="22.049999237060547" customHeight="1">
      <x:c r="A48" s="80" t="str">
        <x:f>IF(B48="","",B48&amp;"-"&amp;TEXT(COUNTIF($B$7:B48,B48),"000"))</x:f>
        <x:v>PG01-002</x:v>
      </x:c>
      <x:c r="B48" s="53" t="str">
        <x:v>PG01</x:v>
      </x:c>
      <x:c r="C48" s="81" t="str">
        <x:f>IFERROR(INDEX('QS Takeoff'!$A$3:$A$194,MATCH(B48,'QS Takeoff'!$B$3:$B$194,0)),"")</x:f>
        <x:v>Preliminaries &amp; General</x:v>
      </x:c>
      <x:c r="D48" s="81" t="str">
        <x:f>IFERROR(INDEX('QS Takeoff'!$C$3:$C$194,MATCH(B48,'QS Takeoff'!$B$3:$B$194,0)),"")</x:f>
        <x:v>Project preliminaries / site management - programme dependent</x:v>
      </x:c>
      <x:c r="E48" s="81" t="n">
        <x:f>IFERROR(INDEX('QS Takeoff'!$E$3:$E$194,MATCH(B48,'QS Takeoff'!$B$3:$B$194,0)),"")</x:f>
        <x:v>1</x:v>
      </x:c>
      <x:c r="F48" s="81" t="str">
        <x:f>IFERROR(INDEX('QS Takeoff'!$D$3:$D$194,MATCH(B48,'QS Takeoff'!$B$3:$B$194,0)),"")</x:f>
        <x:v>LS</x:v>
      </x:c>
      <x:c r="G48" s="81" t="str">
        <x:f>IFERROR(INDEX('QS Takeoff'!$J$3:$J$194,MATCH(B48,'QS Takeoff'!$B$3:$B$194,0)),"")</x:f>
        <x:v>AMBER - ITEMISED / Q-07 QUOTED CORE</x:v>
      </x:c>
      <x:c r="H48" s="53" t="str">
        <x:v>Portable toilet hire / servicing - 11 billed weeks</x:v>
      </x:c>
      <x:c r="I48" s="60"/>
      <x:c r="J48" s="60"/>
      <x:c r="K48" s="82" t="str">
        <x:f t="shared" si="0">IF(OR(B48="",I48="",I48=0),"",E48/I48)</x:f>
      </x:c>
      <x:c r="L48" s="60"/>
      <x:c r="M48" s="82" t="str">
        <x:f t="shared" si="1">IF(L48&gt;0,L48,K48)</x:f>
      </x:c>
      <x:c r="N48" s="53" t="str">
        <x:v>Direct Qty</x:v>
      </x:c>
      <x:c r="O48" s="53" t="str">
        <x:v>Other</x:v>
      </x:c>
      <x:c r="P48" s="53" t="str">
        <x:v>OTH-PORTABLE-TOILET</x:v>
      </x:c>
      <x:c r="Q48" s="81" t="str">
        <x:f>IFERROR(INDEX('Resource Rate Library'!$C$5:$C$85,MATCH(P48,'Resource Rate Library'!$A$5:$A$85,0)),"")</x:f>
        <x:v>Portable toilet hire and servicing - tender benchmark</x:v>
      </x:c>
      <x:c r="R48" s="53" t="n">
        <x:v>1</x:v>
      </x:c>
      <x:c r="S48" s="53" t="n">
        <x:v>11</x:v>
      </x:c>
      <x:c r="T48" s="81" t="str">
        <x:f>IFERROR(INDEX('Resource Rate Library'!$E$5:$E$85,MATCH(P48,'Resource Rate Library'!$A$5:$A$85,0)),"")</x:f>
        <x:v>week</x:v>
      </x:c>
      <x:c r="U48" s="62" t="n">
        <x:v>1</x:v>
      </x:c>
      <x:c r="V48" s="62" t="n">
        <x:v>0</x:v>
      </x:c>
      <x:c r="W48" s="83" t="n">
        <x:f>IFERROR(INDEX('Resource Rate Library'!$I$5:$I$85,MATCH(P48,'Resource Rate Library'!$A$5:$A$85,0)),0)</x:f>
        <x:v>120</x:v>
      </x:c>
      <x:c r="X48" s="52"/>
      <x:c r="Y48" s="83" t="n">
        <x:f t="shared" si="2">IF(X48&gt;0,X48,W48)</x:f>
        <x:v>120</x:v>
      </x:c>
      <x:c r="Z48" s="83" t="n">
        <x:f t="shared" si="3">IF(B48="","",IF(N48="Time x Count",M48*R48*IF(U48="",1,U48)*Y48,IF(N48="QS Qty x Factor",E48*R48*(1+IF(V48="",0,V48))*Y48,IF(N48="Direct Qty",S48*(1+IF(V48="",0,V48))*Y48,IF(N48="Lump Sum / Quote",S48*Y48,0)))))</x:f>
        <x:v>1320</x:v>
      </x:c>
      <x:c r="AA48" s="81" t="str">
        <x:f>IFERROR(INDEX('Resource Rate Library'!$N$5:$N$85,MATCH(P48,'Resource Rate Library'!$A$5:$A$85,0)),"")</x:f>
        <x:v>Orion_Point_Stage5_Client_Estimate_Report_Draft.pdf</x:v>
      </x:c>
      <x:c r="AB48" s="53" t="str">
        <x:v>3Bears Orion Point comparable; Rosebank site-hut/portaloo package used as independent reasonableness check.</x:v>
      </x:c>
      <x:c r="AC48" s="59" t="str">
        <x:v>08-Sep-2026</x:v>
      </x:c>
      <x:c r="AD48" s="81" t="str">
        <x:f>IFERROR(INDEX('Resource Rate Library'!$G$5:$G$85,MATCH(P48,'Resource Rate Library'!$A$5:$A$85,0)),"")</x:f>
        <x:v>N/A</x:v>
      </x:c>
      <x:c r="AE48" s="81" t="str">
        <x:f>IFERROR(INDEX('Resource Rate Library'!$H$5:$H$85,MATCH(P48,'Resource Rate Library'!$A$5:$A$85,0)),"")</x:f>
        <x:v>N/A</x:v>
      </x:c>
      <x:c r="AF48" s="53" t="str">
        <x:v>AMBER - comparable benchmark</x:v>
      </x:c>
      <x:c r="AG48" s="53" t="str">
        <x:v>11 weeks = 55WD / 5. Principal/common facilities not otherwise charged to Siteworks. Weather-extension hire remains handled separately in Weather Risk.</x:v>
      </x:c>
      <x:c r="AH48" s="53" t="str">
        <x:v>Yes</x:v>
      </x:c>
      <x:c r="AI48" s="81" t="str">
        <x:f>IF(B48="","",IF(AND(P48="",N48&lt;&gt;"Lump Sum / Quote"),"RESOURCE CODE",IF(Y48=0,"RATE MISSING",IF(AND(O48="Plant",AD48="Yes",COUNTIFS($B$7:$B$306,B48,$O$7:$O$306,"Labour",$Q$7:$Q$306,"*Operator*")&gt;0),"OPERATOR DOUBLE-COUNT",IF(AND(O48="Plant",AE48="Yes",COUNTIFS($B$7:$B$306,B48,$Q$7:$Q$306,"*Fuel*")&gt;0),"FUEL DOUBLE-COUNT",IF(AH48&lt;&gt;"Yes","VERIFY","OK"))))))</x:f>
        <x:v>OK</x:v>
      </x:c>
      <x:c r="AJ48" s="54" t="str">
        <x:v>Rev21 current basis: 11 base billed weeks; weather-extension hire remains CA10.</x:v>
      </x:c>
      <x:c r="AK48" s="473" t="str">
        <x:v>No</x:v>
      </x:c>
      <x:c r="AL48" s="473"/>
      <x:c r="AM48" s="473" t="str">
        <x:v>N/A - fixed/weekly prelim</x:v>
      </x:c>
      <x:c r="AN48" s="500" t="n">
        <x:f>IF(AND(AK48="Yes",OR(O48="Labour",O48="Plant")),Z48,0)</x:f>
        <x:v>0</x:v>
      </x:c>
    </x:row>
    <x:row r="49" ht="22.049999237060547" customHeight="1">
      <x:c r="A49" s="80" t="str">
        <x:f>IF(B49="","",B49&amp;"-"&amp;TEXT(COUNTIF($B$7:B49,B49),"000"))</x:f>
        <x:v>PG01-003</x:v>
      </x:c>
      <x:c r="B49" s="53" t="str">
        <x:v>PG01</x:v>
      </x:c>
      <x:c r="C49" s="81" t="str">
        <x:f>IFERROR(INDEX('QS Takeoff'!$A$3:$A$194,MATCH(B49,'QS Takeoff'!$B$3:$B$194,0)),"")</x:f>
        <x:v>Preliminaries &amp; General</x:v>
      </x:c>
      <x:c r="D49" s="81" t="str">
        <x:f>IFERROR(INDEX('QS Takeoff'!$C$3:$C$194,MATCH(B49,'QS Takeoff'!$B$3:$B$194,0)),"")</x:f>
        <x:v>Project preliminaries / site management - programme dependent</x:v>
      </x:c>
      <x:c r="E49" s="81" t="n">
        <x:f>IFERROR(INDEX('QS Takeoff'!$E$3:$E$194,MATCH(B49,'QS Takeoff'!$B$3:$B$194,0)),"")</x:f>
        <x:v>1</x:v>
      </x:c>
      <x:c r="F49" s="81" t="str">
        <x:f>IFERROR(INDEX('QS Takeoff'!$D$3:$D$194,MATCH(B49,'QS Takeoff'!$B$3:$B$194,0)),"")</x:f>
        <x:v>LS</x:v>
      </x:c>
      <x:c r="G49" s="81" t="str">
        <x:f>IFERROR(INDEX('QS Takeoff'!$J$3:$J$194,MATCH(B49,'QS Takeoff'!$B$3:$B$194,0)),"")</x:f>
        <x:v>AMBER - ITEMISED / Q-07 QUOTED CORE</x:v>
      </x:c>
      <x:c r="H49" s="53" t="str">
        <x:v>20ft lockable container / Siteworks lockup - 11 billed weeks</x:v>
      </x:c>
      <x:c r="I49" s="60"/>
      <x:c r="J49" s="60"/>
      <x:c r="K49" s="82" t="str">
        <x:f t="shared" si="0">IF(OR(B49="",I49="",I49=0),"",E49/I49)</x:f>
      </x:c>
      <x:c r="L49" s="60"/>
      <x:c r="M49" s="82" t="str">
        <x:f t="shared" si="1">IF(L49&gt;0,L49,K49)</x:f>
      </x:c>
      <x:c r="N49" s="53" t="str">
        <x:v>Direct Qty</x:v>
      </x:c>
      <x:c r="O49" s="53" t="str">
        <x:v>Other</x:v>
      </x:c>
      <x:c r="P49" s="53" t="str">
        <x:v>OTH-SITE-LOCKUP</x:v>
      </x:c>
      <x:c r="Q49" s="81" t="str">
        <x:f>IFERROR(INDEX('Resource Rate Library'!$C$5:$C$85,MATCH(P49,'Resource Rate Library'!$A$5:$A$85,0)),"")</x:f>
        <x:v>20ft lockable container / site lockup - tender benchmark</x:v>
      </x:c>
      <x:c r="R49" s="53" t="n">
        <x:v>1</x:v>
      </x:c>
      <x:c r="S49" s="53" t="n">
        <x:v>11</x:v>
      </x:c>
      <x:c r="T49" s="81" t="str">
        <x:f>IFERROR(INDEX('Resource Rate Library'!$E$5:$E$85,MATCH(P49,'Resource Rate Library'!$A$5:$A$85,0)),"")</x:f>
        <x:v>week</x:v>
      </x:c>
      <x:c r="U49" s="62" t="n">
        <x:v>1</x:v>
      </x:c>
      <x:c r="V49" s="62" t="n">
        <x:v>0</x:v>
      </x:c>
      <x:c r="W49" s="83" t="n">
        <x:f>IFERROR(INDEX('Resource Rate Library'!$I$5:$I$85,MATCH(P49,'Resource Rate Library'!$A$5:$A$85,0)),0)</x:f>
        <x:v>175</x:v>
      </x:c>
      <x:c r="X49" s="52"/>
      <x:c r="Y49" s="83" t="n">
        <x:f t="shared" si="2">IF(X49&gt;0,X49,W49)</x:f>
        <x:v>175</x:v>
      </x:c>
      <x:c r="Z49" s="83" t="n">
        <x:f t="shared" si="3">IF(B49="","",IF(N49="Time x Count",M49*R49*IF(U49="",1,U49)*Y49,IF(N49="QS Qty x Factor",E49*R49*(1+IF(V49="",0,V49))*Y49,IF(N49="Direct Qty",S49*(1+IF(V49="",0,V49))*Y49,IF(N49="Lump Sum / Quote",S49*Y49,0)))))</x:f>
        <x:v>1925</x:v>
      </x:c>
      <x:c r="AA49" s="81" t="str">
        <x:f>IFERROR(INDEX('Resource Rate Library'!$N$5:$N$85,MATCH(P49,'Resource Rate Library'!$A$5:$A$85,0)),"")</x:f>
        <x:v>Orion_Point_Stage5_Client_Estimate_Report_Draft.pdf</x:v>
      </x:c>
      <x:c r="AB49" s="53" t="str">
        <x:v>3Bears Orion Point comparable; Rosebank site-hut/portaloo package used as independent reasonableness check.</x:v>
      </x:c>
      <x:c r="AC49" s="59" t="str">
        <x:v>08-Sep-2026</x:v>
      </x:c>
      <x:c r="AD49" s="81" t="str">
        <x:f>IFERROR(INDEX('Resource Rate Library'!$G$5:$G$85,MATCH(P49,'Resource Rate Library'!$A$5:$A$85,0)),"")</x:f>
        <x:v>N/A</x:v>
      </x:c>
      <x:c r="AE49" s="81" t="str">
        <x:f>IFERROR(INDEX('Resource Rate Library'!$H$5:$H$85,MATCH(P49,'Resource Rate Library'!$A$5:$A$85,0)),"")</x:f>
        <x:v>N/A</x:v>
      </x:c>
      <x:c r="AF49" s="53" t="str">
        <x:v>AMBER - comparable benchmark</x:v>
      </x:c>
      <x:c r="AG49" s="53" t="str">
        <x:v>11 weeks = 55WD / 5. No separate office cabin or temporary power included. Weather-extension hire remains handled separately in Weather Risk.</x:v>
      </x:c>
      <x:c r="AH49" s="53" t="str">
        <x:v>Yes</x:v>
      </x:c>
      <x:c r="AI49" s="81" t="str">
        <x:f>IF(B49="","",IF(AND(P49="",N49&lt;&gt;"Lump Sum / Quote"),"RESOURCE CODE",IF(Y49=0,"RATE MISSING",IF(AND(O49="Plant",AD49="Yes",COUNTIFS($B$7:$B$306,B49,$O$7:$O$306,"Labour",$Q$7:$Q$306,"*Operator*")&gt;0),"OPERATOR DOUBLE-COUNT",IF(AND(O49="Plant",AE49="Yes",COUNTIFS($B$7:$B$306,B49,$Q$7:$Q$306,"*Fuel*")&gt;0),"FUEL DOUBLE-COUNT",IF(AH49&lt;&gt;"Yes","VERIFY","OK"))))))</x:f>
        <x:v>OK</x:v>
      </x:c>
      <x:c r="AJ49" s="54" t="str">
        <x:v>Rev21 current basis: 11 base billed weeks; weather-extension hire remains CA10.</x:v>
      </x:c>
      <x:c r="AK49" s="473" t="str">
        <x:v>No</x:v>
      </x:c>
      <x:c r="AL49" s="473"/>
      <x:c r="AM49" s="473" t="str">
        <x:v>N/A - fixed/weekly prelim</x:v>
      </x:c>
      <x:c r="AN49" s="500" t="n">
        <x:f>IF(AND(AK49="Yes",OR(O49="Labour",O49="Plant")),Z49,0)</x:f>
        <x:v>0</x:v>
      </x:c>
    </x:row>
    <x:row r="50" ht="22.049999237060547" customHeight="1">
      <x:c r="A50" s="80" t="str">
        <x:f>IF(B50="","",B50&amp;"-"&amp;TEXT(COUNTIF($B$7:B50,B50),"000"))</x:f>
        <x:v>PG01-004</x:v>
      </x:c>
      <x:c r="B50" s="53" t="str">
        <x:v>PG01</x:v>
      </x:c>
      <x:c r="C50" s="81" t="str">
        <x:f>IFERROR(INDEX('QS Takeoff'!$A$3:$A$194,MATCH(B50,'QS Takeoff'!$B$3:$B$194,0)),"")</x:f>
        <x:v>Preliminaries &amp; General</x:v>
      </x:c>
      <x:c r="D50" s="81" t="str">
        <x:f>IFERROR(INDEX('QS Takeoff'!$C$3:$C$194,MATCH(B50,'QS Takeoff'!$B$3:$B$194,0)),"")</x:f>
        <x:v>Project preliminaries / site management - programme dependent</x:v>
      </x:c>
      <x:c r="E50" s="81" t="n">
        <x:f>IFERROR(INDEX('QS Takeoff'!$E$3:$E$194,MATCH(B50,'QS Takeoff'!$B$3:$B$194,0)),"")</x:f>
        <x:v>1</x:v>
      </x:c>
      <x:c r="F50" s="81" t="str">
        <x:f>IFERROR(INDEX('QS Takeoff'!$D$3:$D$194,MATCH(B50,'QS Takeoff'!$B$3:$B$194,0)),"")</x:f>
        <x:v>LS</x:v>
      </x:c>
      <x:c r="G50" s="81" t="str">
        <x:f>IFERROR(INDEX('QS Takeoff'!$J$3:$J$194,MATCH(B50,'QS Takeoff'!$B$3:$B$194,0)),"")</x:f>
        <x:v>AMBER - ITEMISED / Q-07 QUOTED CORE</x:v>
      </x:c>
      <x:c r="H50" s="53" t="str">
        <x:v>Setout / survey control / services search / Siteworks as-built support</x:v>
      </x:c>
      <x:c r="I50" s="60"/>
      <x:c r="J50" s="60"/>
      <x:c r="K50" s="82" t="str">
        <x:f t="shared" si="0">IF(OR(B50="",I50="",I50=0),"",E50/I50)</x:f>
      </x:c>
      <x:c r="L50" s="60"/>
      <x:c r="M50" s="82" t="str">
        <x:f t="shared" si="1">IF(L50&gt;0,L50,K50)</x:f>
      </x:c>
      <x:c r="N50" s="53" t="str">
        <x:v>Lump Sum / Quote</x:v>
      </x:c>
      <x:c r="O50" s="53" t="str">
        <x:v>Other</x:v>
      </x:c>
      <x:c r="P50" s="53" t="str">
        <x:v>OTH-GENERAL</x:v>
      </x:c>
      <x:c r="Q50" s="81" t="str">
        <x:f>IFERROR(INDEX('Resource Rate Library'!$C$5:$C$85,MATCH(P50,'Resource Rate Library'!$A$5:$A$85,0)),"")</x:f>
        <x:v>Project-specific transparent allowance</x:v>
      </x:c>
      <x:c r="R50" s="53" t="n">
        <x:v>1</x:v>
      </x:c>
      <x:c r="S50" s="53" t="n">
        <x:v>1</x:v>
      </x:c>
      <x:c r="T50" s="81" t="str">
        <x:f>IFERROR(INDEX('Resource Rate Library'!$E$5:$E$85,MATCH(P50,'Resource Rate Library'!$A$5:$A$85,0)),"")</x:f>
        <x:v>LS</x:v>
      </x:c>
      <x:c r="U50" s="62" t="n">
        <x:v>1</x:v>
      </x:c>
      <x:c r="V50" s="62" t="n">
        <x:v>0</x:v>
      </x:c>
      <x:c r="W50" s="83" t="n">
        <x:f>IFERROR(INDEX('Resource Rate Library'!$I$5:$I$85,MATCH(P50,'Resource Rate Library'!$A$5:$A$85,0)),0)</x:f>
        <x:v>1</x:v>
      </x:c>
      <x:c r="X50" s="52" t="n">
        <x:v>4000</x:v>
      </x:c>
      <x:c r="Y50" s="83" t="n">
        <x:f t="shared" si="2">IF(X50&gt;0,X50,W50)</x:f>
        <x:v>4000</x:v>
      </x:c>
      <x:c r="Z50" s="83" t="n">
        <x:f t="shared" si="3">IF(B50="","",IF(N50="Time x Count",M50*R50*IF(U50="",1,U50)*Y50,IF(N50="QS Qty x Factor",E50*R50*(1+IF(V50="",0,V50))*Y50,IF(N50="Direct Qty",S50*(1+IF(V50="",0,V50))*Y50,IF(N50="Lump Sum / Quote",S50*Y50,0)))))</x:f>
        <x:v>4000</x:v>
      </x:c>
      <x:c r="AA50" s="81" t="str">
        <x:f>IFERROR(INDEX('Resource Rate Library'!$N$5:$N$85,MATCH(P50,'Resource Rate Library'!$A$5:$A$85,0)),"")</x:f>
        <x:v>Basis shown in Resource Build-Up</x:v>
      </x:c>
      <x:c r="AB50" s="53" t="str">
        <x:v>Rosebank P&amp;G $4,000 survey/services search; Allied comparable $1,500 setout + $2,500 as-built.</x:v>
      </x:c>
      <x:c r="AC50" s="59" t="str">
        <x:v>08-Sep-2026</x:v>
      </x:c>
      <x:c r="AD50" s="81" t="str">
        <x:f>IFERROR(INDEX('Resource Rate Library'!$G$5:$G$85,MATCH(P50,'Resource Rate Library'!$A$5:$A$85,0)),"")</x:f>
        <x:v>N/A</x:v>
      </x:c>
      <x:c r="AE50" s="81" t="str">
        <x:f>IFERROR(INDEX('Resource Rate Library'!$H$5:$H$85,MATCH(P50,'Resource Rate Library'!$A$5:$A$85,0)),"")</x:f>
        <x:v>N/A</x:v>
      </x:c>
      <x:c r="AF50" s="53" t="str">
        <x:v>AMBER - two comparable controls</x:v>
      </x:c>
      <x:c r="AG50" s="53" t="str">
        <x:v>Project allowance for normal Siteworks setout, service search and as-built support. Principal survey control remains an interface.</x:v>
      </x:c>
      <x:c r="AH50" s="53" t="str">
        <x:v>Yes</x:v>
      </x:c>
      <x:c r="AI50" s="81" t="str">
        <x:f>IF(B50="","",IF(AND(P50="",N50&lt;&gt;"Lump Sum / Quote"),"RESOURCE CODE",IF(Y50=0,"RATE MISSING",IF(AND(O50="Plant",AD50="Yes",COUNTIFS($B$7:$B$306,B50,$O$7:$O$306,"Labour",$Q$7:$Q$306,"*Operator*")&gt;0),"OPERATOR DOUBLE-COUNT",IF(AND(O50="Plant",AE50="Yes",COUNTIFS($B$7:$B$306,B50,$Q$7:$Q$306,"*Fuel*")&gt;0),"FUEL DOUBLE-COUNT",IF(AH50&lt;&gt;"Yes","VERIFY","OK"))))))</x:f>
        <x:v>OK</x:v>
      </x:c>
      <x:c r="AJ50" s="54" t="str">
        <x:v>Project-specific allowance; no OH/profit.</x:v>
      </x:c>
      <x:c r="AK50" s="473" t="str">
        <x:v>No</x:v>
      </x:c>
      <x:c r="AL50" s="473"/>
      <x:c r="AM50" s="473" t="str">
        <x:v>N/A - fixed/weekly prelim</x:v>
      </x:c>
      <x:c r="AN50" s="500" t="n">
        <x:f>IF(AND(AK50="Yes",OR(O50="Labour",O50="Plant")),Z50,0)</x:f>
        <x:v>0</x:v>
      </x:c>
    </x:row>
    <x:row r="51" ht="22.049999237060547" customHeight="1">
      <x:c r="A51" s="80" t="str">
        <x:f>IF(B51="","",B51&amp;"-"&amp;TEXT(COUNTIF($B$7:B51,B51),"000"))</x:f>
        <x:v>PG01-005</x:v>
      </x:c>
      <x:c r="B51" s="53" t="str">
        <x:v>PG01</x:v>
      </x:c>
      <x:c r="C51" s="81" t="str">
        <x:f>IFERROR(INDEX('QS Takeoff'!$A$3:$A$194,MATCH(B51,'QS Takeoff'!$B$3:$B$194,0)),"")</x:f>
        <x:v>Preliminaries &amp; General</x:v>
      </x:c>
      <x:c r="D51" s="81" t="str">
        <x:f>IFERROR(INDEX('QS Takeoff'!$C$3:$C$194,MATCH(B51,'QS Takeoff'!$B$3:$B$194,0)),"")</x:f>
        <x:v>Project preliminaries / site management - programme dependent</x:v>
      </x:c>
      <x:c r="E51" s="81" t="n">
        <x:f>IFERROR(INDEX('QS Takeoff'!$E$3:$E$194,MATCH(B51,'QS Takeoff'!$B$3:$B$194,0)),"")</x:f>
        <x:v>1</x:v>
      </x:c>
      <x:c r="F51" s="81" t="str">
        <x:f>IFERROR(INDEX('QS Takeoff'!$D$3:$D$194,MATCH(B51,'QS Takeoff'!$B$3:$B$194,0)),"")</x:f>
        <x:v>LS</x:v>
      </x:c>
      <x:c r="G51" s="81" t="str">
        <x:v>AMBER - QUOTED / AUTHORITY EXCLUSIONS</x:v>
      </x:c>
      <x:c r="H51" s="53" t="str">
        <x:v>Traffic Safe CAR/TMP quoted core - planning + one Stop/Go shift + one shoulder/pedestrian shift</x:v>
      </x:c>
      <x:c r="I51" s="60"/>
      <x:c r="J51" s="60"/>
      <x:c r="K51" s="82" t="str">
        <x:f t="shared" si="0">IF(OR(B51="",I51="",I51=0),"",E51/I51)</x:f>
      </x:c>
      <x:c r="L51" s="60"/>
      <x:c r="M51" s="82" t="str">
        <x:f t="shared" si="1">IF(L51&gt;0,L51,K51)</x:f>
      </x:c>
      <x:c r="N51" s="53" t="str">
        <x:v>Lump Sum / Quote</x:v>
      </x:c>
      <x:c r="O51" s="53" t="str">
        <x:v>Other</x:v>
      </x:c>
      <x:c r="P51" s="53" t="str">
        <x:v>OTH-GENERAL</x:v>
      </x:c>
      <x:c r="Q51" s="81" t="str">
        <x:f>IFERROR(INDEX('Resource Rate Library'!$C$5:$C$85,MATCH(P51,'Resource Rate Library'!$A$5:$A$85,0)),"")</x:f>
        <x:v>Project-specific transparent allowance</x:v>
      </x:c>
      <x:c r="R51" s="53" t="n">
        <x:v>1</x:v>
      </x:c>
      <x:c r="S51" s="53" t="n">
        <x:v>1</x:v>
      </x:c>
      <x:c r="T51" s="81" t="str">
        <x:f>IFERROR(INDEX('Resource Rate Library'!$E$5:$E$85,MATCH(P51,'Resource Rate Library'!$A$5:$A$85,0)),"")</x:f>
        <x:v>LS</x:v>
      </x:c>
      <x:c r="U51" s="62" t="n">
        <x:v>1</x:v>
      </x:c>
      <x:c r="V51" s="62" t="n">
        <x:v>0</x:v>
      </x:c>
      <x:c r="W51" s="83" t="n">
        <x:f>IFERROR(INDEX('Resource Rate Library'!$I$5:$I$85,MATCH(P51,'Resource Rate Library'!$A$5:$A$85,0)),0)</x:f>
        <x:v>1</x:v>
      </x:c>
      <x:c r="X51" s="52" t="n">
        <x:v>3938.4</x:v>
      </x:c>
      <x:c r="Y51" s="83" t="n">
        <x:f t="shared" si="2">IF(X51&gt;0,X51,W51)</x:f>
        <x:v>3938.4</x:v>
      </x:c>
      <x:c r="Z51" s="83" t="n">
        <x:f t="shared" si="3">IF(B51="","",IF(N51="Time x Count",M51*R51*IF(U51="",1,U51)*Y51,IF(N51="QS Qty x Factor",E51*R51*(1+IF(V51="",0,V51))*Y51,IF(N51="Direct Qty",S51*(1+IF(V51="",0,V51))*Y51,IF(N51="Lump Sum / Quote",S51*Y51,0)))))</x:f>
        <x:v>3938.4</x:v>
      </x:c>
      <x:c r="AA51" s="81" t="str">
        <x:f>IFERROR(INDEX('Resource Rate Library'!$N$5:$N$85,MATCH(P51,'Resource Rate Library'!$A$5:$A$85,0)),"")</x:f>
        <x:v>Basis shown in Resource Build-Up</x:v>
      </x:c>
      <x:c r="AB51" s="53" t="str">
        <x:v>Traffic Safe Estimate dated 10-Sep-2026: TMP planning/submission $500 + Stop/Go $2,275.60 + shoulder closure/pedestrian management $1,162.80 = $3,938.40 excl GST.</x:v>
      </x:c>
      <x:c r="AC51" s="59" t="str">
        <x:v>10-Sep-2026</x:v>
      </x:c>
      <x:c r="AD51" s="81" t="str">
        <x:v>N/A</x:v>
      </x:c>
      <x:c r="AE51" s="81" t="str">
        <x:v>N/A</x:v>
      </x:c>
      <x:c r="AF51" s="53" t="str">
        <x:v>AMBER - current project quote / exclusions remain</x:v>
      </x:c>
      <x:c r="AG51" s="53" t="str">
        <x:v>Quote assumes one 8h Stop/Go day and one 8h shoulder/pedestrian day. Road occupation expected approx 10:00-16:00. Additional RCA/CAR/cable-locate/restricted-parking fees and temporary FAF are excluded/on-charge; VMS/barriers/plating/light towers excluded unless required.</x:v>
      </x:c>
      <x:c r="AH51" s="53" t="str">
        <x:v>Yes</x:v>
      </x:c>
      <x:c r="AI51" s="81" t="str">
        <x:v>OK</x:v>
      </x:c>
      <x:c r="AJ51" s="54" t="str">
        <x:v>Q-07 quote is included once in PG01. No separate CAR/TMP risk dollar added. Additional authority/FAF or extra traffic shifts remain AMBER/unpriced pending instruction.</x:v>
      </x:c>
      <x:c r="AK51" s="473" t="str">
        <x:v>No</x:v>
      </x:c>
      <x:c r="AL51" s="473"/>
      <x:c r="AM51" s="473" t="str">
        <x:v>N/A - fixed/weekly prelim</x:v>
      </x:c>
      <x:c r="AN51" s="500" t="n">
        <x:f>IF(AND(AK51="Yes",OR(O51="Labour",O51="Plant")),Z51,0)</x:f>
        <x:v>0</x:v>
      </x:c>
    </x:row>
    <x:row r="52" ht="22.049999237060547" customHeight="1">
      <x:c r="A52" s="80" t="str">
        <x:f>IF(B52="","",B52&amp;"-"&amp;TEXT(COUNTIF($B$7:B52,B52),"000"))</x:f>
        <x:v>PG01-006</x:v>
      </x:c>
      <x:c r="B52" s="53" t="str">
        <x:v>PG01</x:v>
      </x:c>
      <x:c r="C52" s="81" t="str">
        <x:f>IFERROR(INDEX('QS Takeoff'!$A$3:$A$194,MATCH(B52,'QS Takeoff'!$B$3:$B$194,0)),"")</x:f>
        <x:v>Preliminaries &amp; General</x:v>
      </x:c>
      <x:c r="D52" s="81" t="str">
        <x:f>IFERROR(INDEX('QS Takeoff'!$C$3:$C$194,MATCH(B52,'QS Takeoff'!$B$3:$B$194,0)),"")</x:f>
        <x:v>Project preliminaries / site management - programme dependent</x:v>
      </x:c>
      <x:c r="E52" s="81" t="n">
        <x:f>IFERROR(INDEX('QS Takeoff'!$E$3:$E$194,MATCH(B52,'QS Takeoff'!$B$3:$B$194,0)),"")</x:f>
        <x:v>1</x:v>
      </x:c>
      <x:c r="F52" s="81" t="str">
        <x:f>IFERROR(INDEX('QS Takeoff'!$D$3:$D$194,MATCH(B52,'QS Takeoff'!$B$3:$B$194,0)),"")</x:f>
        <x:v>LS</x:v>
      </x:c>
      <x:c r="G52" s="81" t="str">
        <x:f>IFERROR(INDEX('QS Takeoff'!$J$3:$J$194,MATCH(B52,'QS Takeoff'!$B$3:$B$194,0)),"")</x:f>
        <x:v>AMBER - ITEMISED / Q-07 QUOTED CORE</x:v>
      </x:c>
      <x:c r="H52" s="53" t="str">
        <x:v>Site H&amp;S board, signage, visitor controls and local workfront barriers</x:v>
      </x:c>
      <x:c r="I52" s="60"/>
      <x:c r="J52" s="60"/>
      <x:c r="K52" s="82" t="str">
        <x:f t="shared" si="0">IF(OR(B52="",I52="",I52=0),"",E52/I52)</x:f>
      </x:c>
      <x:c r="L52" s="60"/>
      <x:c r="M52" s="82" t="str">
        <x:f t="shared" si="1">IF(L52&gt;0,L52,K52)</x:f>
      </x:c>
      <x:c r="N52" s="53" t="str">
        <x:v>Lump Sum / Quote</x:v>
      </x:c>
      <x:c r="O52" s="53" t="str">
        <x:v>Other</x:v>
      </x:c>
      <x:c r="P52" s="53" t="str">
        <x:v>OTH-GENERAL</x:v>
      </x:c>
      <x:c r="Q52" s="81" t="str">
        <x:f>IFERROR(INDEX('Resource Rate Library'!$C$5:$C$85,MATCH(P52,'Resource Rate Library'!$A$5:$A$85,0)),"")</x:f>
        <x:v>Project-specific transparent allowance</x:v>
      </x:c>
      <x:c r="R52" s="53" t="n">
        <x:v>1</x:v>
      </x:c>
      <x:c r="S52" s="53" t="n">
        <x:v>1</x:v>
      </x:c>
      <x:c r="T52" s="81" t="str">
        <x:f>IFERROR(INDEX('Resource Rate Library'!$E$5:$E$85,MATCH(P52,'Resource Rate Library'!$A$5:$A$85,0)),"")</x:f>
        <x:v>LS</x:v>
      </x:c>
      <x:c r="U52" s="62" t="n">
        <x:v>1</x:v>
      </x:c>
      <x:c r="V52" s="62" t="n">
        <x:v>0</x:v>
      </x:c>
      <x:c r="W52" s="83" t="n">
        <x:f>IFERROR(INDEX('Resource Rate Library'!$I$5:$I$85,MATCH(P52,'Resource Rate Library'!$A$5:$A$85,0)),0)</x:f>
        <x:v>1</x:v>
      </x:c>
      <x:c r="X52" s="52" t="n">
        <x:v>1500</x:v>
      </x:c>
      <x:c r="Y52" s="83" t="n">
        <x:f t="shared" si="2">IF(X52&gt;0,X52,W52)</x:f>
        <x:v>1500</x:v>
      </x:c>
      <x:c r="Z52" s="83" t="n">
        <x:f t="shared" si="3">IF(B52="","",IF(N52="Time x Count",M52*R52*IF(U52="",1,U52)*Y52,IF(N52="QS Qty x Factor",E52*R52*(1+IF(V52="",0,V52))*Y52,IF(N52="Direct Qty",S52*(1+IF(V52="",0,V52))*Y52,IF(N52="Lump Sum / Quote",S52*Y52,0)))))</x:f>
        <x:v>1500</x:v>
      </x:c>
      <x:c r="AA52" s="81" t="str">
        <x:f>IFERROR(INDEX('Resource Rate Library'!$N$5:$N$85,MATCH(P52,'Resource Rate Library'!$A$5:$A$85,0)),"")</x:f>
        <x:v>Basis shown in Resource Build-Up</x:v>
      </x:c>
      <x:c r="AB52" s="53" t="str">
        <x:v>3Bears Orion Point comparable $1,500; Rosebank H&amp;S $1,680 independent check.</x:v>
      </x:c>
      <x:c r="AC52" s="59" t="str">
        <x:v>08-Sep-2026</x:v>
      </x:c>
      <x:c r="AD52" s="81" t="str">
        <x:f>IFERROR(INDEX('Resource Rate Library'!$G$5:$G$85,MATCH(P52,'Resource Rate Library'!$A$5:$A$85,0)),"")</x:f>
        <x:v>N/A</x:v>
      </x:c>
      <x:c r="AE52" s="81" t="str">
        <x:f>IFERROR(INDEX('Resource Rate Library'!$H$5:$H$85,MATCH(P52,'Resource Rate Library'!$A$5:$A$85,0)),"")</x:f>
        <x:v>N/A</x:v>
      </x:c>
      <x:c r="AF52" s="53" t="str">
        <x:v>AMBER - comparable benchmark</x:v>
      </x:c>
      <x:c r="AG52" s="53" t="str">
        <x:v>Siteworks local H&amp;S signage/barriers only. Whole-site temporary perimeter fence/hoarding is by principal contractor unless instructed.</x:v>
      </x:c>
      <x:c r="AH52" s="53" t="str">
        <x:v>Yes</x:v>
      </x:c>
      <x:c r="AI52" s="81" t="str">
        <x:f>IF(B52="","",IF(AND(P52="",N52&lt;&gt;"Lump Sum / Quote"),"RESOURCE CODE",IF(Y52=0,"RATE MISSING",IF(AND(O52="Plant",AD52="Yes",COUNTIFS($B$7:$B$306,B52,$O$7:$O$306,"Labour",$Q$7:$Q$306,"*Operator*")&gt;0),"OPERATOR DOUBLE-COUNT",IF(AND(O52="Plant",AE52="Yes",COUNTIFS($B$7:$B$306,B52,$Q$7:$Q$306,"*Fuel*")&gt;0),"FUEL DOUBLE-COUNT",IF(AH52&lt;&gt;"Yes","VERIFY","OK"))))))</x:f>
        <x:v>OK</x:v>
      </x:c>
      <x:c r="AJ52" s="54" t="str">
        <x:v>Direct project prelim; no corporate OH.</x:v>
      </x:c>
      <x:c r="AK52" s="473" t="str">
        <x:v>No</x:v>
      </x:c>
      <x:c r="AL52" s="473"/>
      <x:c r="AM52" s="473" t="str">
        <x:v>N/A - fixed/weekly prelim</x:v>
      </x:c>
      <x:c r="AN52" s="500" t="n">
        <x:f>IF(AND(AK52="Yes",OR(O52="Labour",O52="Plant")),Z52,0)</x:f>
        <x:v>0</x:v>
      </x:c>
    </x:row>
    <x:row r="53" ht="22.049999237060547" customHeight="1">
      <x:c r="A53" s="80" t="str">
        <x:f>IF(B53="","",B53&amp;"-"&amp;TEXT(COUNTIF($B$7:B53,B53),"000"))</x:f>
        <x:v>PG01-007</x:v>
      </x:c>
      <x:c r="B53" s="53" t="str">
        <x:v>PG01</x:v>
      </x:c>
      <x:c r="C53" s="81" t="str">
        <x:f>IFERROR(INDEX('QS Takeoff'!$A$3:$A$194,MATCH(B53,'QS Takeoff'!$B$3:$B$194,0)),"")</x:f>
        <x:v>Preliminaries &amp; General</x:v>
      </x:c>
      <x:c r="D53" s="81" t="str">
        <x:f>IFERROR(INDEX('QS Takeoff'!$C$3:$C$194,MATCH(B53,'QS Takeoff'!$B$3:$B$194,0)),"")</x:f>
        <x:v>Project preliminaries / site management - programme dependent</x:v>
      </x:c>
      <x:c r="E53" s="81" t="n">
        <x:f>IFERROR(INDEX('QS Takeoff'!$E$3:$E$194,MATCH(B53,'QS Takeoff'!$B$3:$B$194,0)),"")</x:f>
        <x:v>1</x:v>
      </x:c>
      <x:c r="F53" s="81" t="str">
        <x:f>IFERROR(INDEX('QS Takeoff'!$D$3:$D$194,MATCH(B53,'QS Takeoff'!$B$3:$B$194,0)),"")</x:f>
        <x:v>LS</x:v>
      </x:c>
      <x:c r="G53" s="81" t="str">
        <x:f>IFERROR(INDEX('QS Takeoff'!$J$3:$J$194,MATCH(B53,'QS Takeoff'!$B$3:$B$194,0)),"")</x:f>
        <x:v>AMBER - ITEMISED / Q-07 QUOTED CORE</x:v>
      </x:c>
      <x:c r="H53" s="53" t="str">
        <x:v>General Siteworks rubbish / small waste handling allowance</x:v>
      </x:c>
      <x:c r="I53" s="60"/>
      <x:c r="J53" s="60"/>
      <x:c r="K53" s="82" t="str">
        <x:f t="shared" si="0">IF(OR(B53="",I53="",I53=0),"",E53/I53)</x:f>
      </x:c>
      <x:c r="L53" s="60"/>
      <x:c r="M53" s="82" t="str">
        <x:f t="shared" si="1">IF(L53&gt;0,L53,K53)</x:f>
      </x:c>
      <x:c r="N53" s="53" t="str">
        <x:v>Lump Sum / Quote</x:v>
      </x:c>
      <x:c r="O53" s="53" t="str">
        <x:v>Other</x:v>
      </x:c>
      <x:c r="P53" s="53" t="str">
        <x:v>OTH-GENERAL</x:v>
      </x:c>
      <x:c r="Q53" s="81" t="str">
        <x:f>IFERROR(INDEX('Resource Rate Library'!$C$5:$C$85,MATCH(P53,'Resource Rate Library'!$A$5:$A$85,0)),"")</x:f>
        <x:v>Project-specific transparent allowance</x:v>
      </x:c>
      <x:c r="R53" s="53" t="n">
        <x:v>1</x:v>
      </x:c>
      <x:c r="S53" s="53" t="n">
        <x:v>1</x:v>
      </x:c>
      <x:c r="T53" s="81" t="str">
        <x:f>IFERROR(INDEX('Resource Rate Library'!$E$5:$E$85,MATCH(P53,'Resource Rate Library'!$A$5:$A$85,0)),"")</x:f>
        <x:v>LS</x:v>
      </x:c>
      <x:c r="U53" s="62" t="n">
        <x:v>1</x:v>
      </x:c>
      <x:c r="V53" s="62" t="n">
        <x:v>0</x:v>
      </x:c>
      <x:c r="W53" s="83" t="n">
        <x:f>IFERROR(INDEX('Resource Rate Library'!$I$5:$I$85,MATCH(P53,'Resource Rate Library'!$A$5:$A$85,0)),0)</x:f>
        <x:v>1</x:v>
      </x:c>
      <x:c r="X53" s="52" t="n">
        <x:v>800</x:v>
      </x:c>
      <x:c r="Y53" s="83" t="n">
        <x:f t="shared" si="2">IF(X53&gt;0,X53,W53)</x:f>
        <x:v>800</x:v>
      </x:c>
      <x:c r="Z53" s="83" t="n">
        <x:f t="shared" si="3">IF(B53="","",IF(N53="Time x Count",M53*R53*IF(U53="",1,U53)*Y53,IF(N53="QS Qty x Factor",E53*R53*(1+IF(V53="",0,V53))*Y53,IF(N53="Direct Qty",S53*(1+IF(V53="",0,V53))*Y53,IF(N53="Lump Sum / Quote",S53*Y53,0)))))</x:f>
        <x:v>800</x:v>
      </x:c>
      <x:c r="AA53" s="81" t="str">
        <x:f>IFERROR(INDEX('Resource Rate Library'!$N$5:$N$85,MATCH(P53,'Resource Rate Library'!$A$5:$A$85,0)),"")</x:f>
        <x:v>Basis shown in Resource Build-Up</x:v>
      </x:c>
      <x:c r="AB53" s="53" t="str">
        <x:v>Rosebank P&amp;G rubbish $800; Orion Point waste allowances used as independent check.</x:v>
      </x:c>
      <x:c r="AC53" s="59" t="str">
        <x:v>08-Sep-2026</x:v>
      </x:c>
      <x:c r="AD53" s="81" t="str">
        <x:f>IFERROR(INDEX('Resource Rate Library'!$G$5:$G$85,MATCH(P53,'Resource Rate Library'!$A$5:$A$85,0)),"")</x:f>
        <x:v>N/A</x:v>
      </x:c>
      <x:c r="AE53" s="81" t="str">
        <x:f>IFERROR(INDEX('Resource Rate Library'!$H$5:$H$85,MATCH(P53,'Resource Rate Library'!$A$5:$A$85,0)),"")</x:f>
        <x:v>N/A</x:v>
      </x:c>
      <x:c r="AF53" s="53" t="str">
        <x:v>AMBER - comparable benchmark</x:v>
      </x:c>
      <x:c r="AG53" s="53" t="str">
        <x:v>Minor Siteworks waste/clean-up during works. Final handover clean remains RH01.</x:v>
      </x:c>
      <x:c r="AH53" s="53" t="str">
        <x:v>Yes</x:v>
      </x:c>
      <x:c r="AI53" s="81" t="str">
        <x:f>IF(B53="","",IF(AND(P53="",N53&lt;&gt;"Lump Sum / Quote"),"RESOURCE CODE",IF(Y53=0,"RATE MISSING",IF(AND(O53="Plant",AD53="Yes",COUNTIFS($B$7:$B$306,B53,$O$7:$O$306,"Labour",$Q$7:$Q$306,"*Operator*")&gt;0),"OPERATOR DOUBLE-COUNT",IF(AND(O53="Plant",AE53="Yes",COUNTIFS($B$7:$B$306,B53,$Q$7:$Q$306,"*Fuel*")&gt;0),"FUEL DOUBLE-COUNT",IF(AH53&lt;&gt;"Yes","VERIFY","OK"))))))</x:f>
        <x:v>OK</x:v>
      </x:c>
      <x:c r="AJ53" s="54" t="str">
        <x:v>Does not duplicate RH01 final clean.</x:v>
      </x:c>
      <x:c r="AK53" s="473" t="str">
        <x:v>No</x:v>
      </x:c>
      <x:c r="AL53" s="473"/>
      <x:c r="AM53" s="473" t="str">
        <x:v>N/A - fixed/weekly prelim</x:v>
      </x:c>
      <x:c r="AN53" s="500" t="n">
        <x:f>IF(AND(AK53="Yes",OR(O53="Labour",O53="Plant")),Z53,0)</x:f>
        <x:v>0</x:v>
      </x:c>
    </x:row>
    <x:row r="54" ht="22.049999237060547" customHeight="1">
      <x:c r="A54" s="80" t="str">
        <x:f>IF(B54="","",B54&amp;"-"&amp;TEXT(COUNTIF($B$7:B54,B54),"000"))</x:f>
        <x:v>PG01-008</x:v>
      </x:c>
      <x:c r="B54" s="53" t="str">
        <x:v>PG01</x:v>
      </x:c>
      <x:c r="C54" s="81" t="str">
        <x:f>IFERROR(INDEX('QS Takeoff'!$A$3:$A$194,MATCH(B54,'QS Takeoff'!$B$3:$B$194,0)),"")</x:f>
        <x:v>Preliminaries &amp; General</x:v>
      </x:c>
      <x:c r="D54" s="81" t="str">
        <x:f>IFERROR(INDEX('QS Takeoff'!$C$3:$C$194,MATCH(B54,'QS Takeoff'!$B$3:$B$194,0)),"")</x:f>
        <x:v>Project preliminaries / site management - programme dependent</x:v>
      </x:c>
      <x:c r="E54" s="81" t="n">
        <x:f>IFERROR(INDEX('QS Takeoff'!$E$3:$E$194,MATCH(B54,'QS Takeoff'!$B$3:$B$194,0)),"")</x:f>
        <x:v>1</x:v>
      </x:c>
      <x:c r="F54" s="81" t="str">
        <x:f>IFERROR(INDEX('QS Takeoff'!$D$3:$D$194,MATCH(B54,'QS Takeoff'!$B$3:$B$194,0)),"")</x:f>
        <x:v>LS</x:v>
      </x:c>
      <x:c r="G54" s="81" t="str">
        <x:f>IFERROR(INDEX('QS Takeoff'!$J$3:$J$194,MATCH(B54,'QS Takeoff'!$B$3:$B$194,0)),"")</x:f>
        <x:v>AMBER - ITEMISED / Q-07 QUOTED CORE</x:v>
      </x:c>
      <x:c r="H54" s="53" t="str">
        <x:v>Plant mobilisation / demobilisation - 4 plant classes, in/out transport control</x:v>
      </x:c>
      <x:c r="I54" s="60"/>
      <x:c r="J54" s="60"/>
      <x:c r="K54" s="82" t="str">
        <x:f t="shared" si="0">IF(OR(B54="",I54="",I54=0),"",E54/I54)</x:f>
      </x:c>
      <x:c r="L54" s="60"/>
      <x:c r="M54" s="82" t="str">
        <x:f t="shared" si="1">IF(L54&gt;0,L54,K54)</x:f>
      </x:c>
      <x:c r="N54" s="53" t="str">
        <x:v>Direct Qty</x:v>
      </x:c>
      <x:c r="O54" s="53" t="str">
        <x:v>Other</x:v>
      </x:c>
      <x:c r="P54" s="53" t="str">
        <x:v>OTH-PLANT-TRANSPORT-PROXY</x:v>
      </x:c>
      <x:c r="Q54" s="81" t="str">
        <x:f>IFERROR(INDEX('Resource Rate Library'!$C$5:$C$85,MATCH(P54,'Resource Rate Library'!$A$5:$A$85,0)),"")</x:f>
        <x:v>Plant mobilisation / transporter wet-hire proxy</x:v>
      </x:c>
      <x:c r="R54" s="53" t="n">
        <x:v>1</x:v>
      </x:c>
      <x:c r="S54" s="53" t="n">
        <x:v>16</x:v>
      </x:c>
      <x:c r="T54" s="81" t="str">
        <x:f>IFERROR(INDEX('Resource Rate Library'!$E$5:$E$85,MATCH(P54,'Resource Rate Library'!$A$5:$A$85,0)),"")</x:f>
        <x:v>hr</x:v>
      </x:c>
      <x:c r="U54" s="62" t="n">
        <x:v>1</x:v>
      </x:c>
      <x:c r="V54" s="62" t="n">
        <x:v>0</x:v>
      </x:c>
      <x:c r="W54" s="83" t="n">
        <x:f>IFERROR(INDEX('Resource Rate Library'!$I$5:$I$85,MATCH(P54,'Resource Rate Library'!$A$5:$A$85,0)),0)</x:f>
        <x:v>175</x:v>
      </x:c>
      <x:c r="X54" s="52"/>
      <x:c r="Y54" s="83" t="n">
        <x:f t="shared" si="2">IF(X54&gt;0,X54,W54)</x:f>
        <x:v>175</x:v>
      </x:c>
      <x:c r="Z54" s="83" t="n">
        <x:f t="shared" si="3">IF(B54="","",IF(N54="Time x Count",M54*R54*IF(U54="",1,U54)*Y54,IF(N54="QS Qty x Factor",E54*R54*(1+IF(V54="",0,V54))*Y54,IF(N54="Direct Qty",S54*(1+IF(V54="",0,V54))*Y54,IF(N54="Lump Sum / Quote",S54*Y54,0)))))</x:f>
        <x:v>2800</x:v>
      </x:c>
      <x:c r="AA54" s="81" t="str">
        <x:f>IFERROR(INDEX('Resource Rate Library'!$N$5:$N$85,MATCH(P54,'Resource Rate Library'!$A$5:$A$85,0)),"")</x:f>
        <x:v>https://www.asapmachinehire.co.nz/price-list</x:v>
      </x:c>
      <x:c r="AB54" s="53" t="str">
        <x:v>ASAP Machine Hire published truck-and-trailer wet hire $175/hr; 5.5t+ transporter rates by quote.</x:v>
      </x:c>
      <x:c r="AC54" s="59" t="str">
        <x:v>08-Sep-2026</x:v>
      </x:c>
      <x:c r="AD54" s="81" t="str">
        <x:f>IFERROR(INDEX('Resource Rate Library'!$G$5:$G$85,MATCH(P54,'Resource Rate Library'!$A$5:$A$85,0)),"")</x:f>
        <x:v>Yes</x:v>
      </x:c>
      <x:c r="AE54" s="81" t="str">
        <x:f>IFERROR(INDEX('Resource Rate Library'!$H$5:$H$85,MATCH(P54,'Resource Rate Library'!$A$5:$A$85,0)),"")</x:f>
        <x:v>Yes</x:v>
      </x:c>
      <x:c r="AF54" s="53" t="str">
        <x:v>AMBER - current published transport proxy</x:v>
      </x:c>
      <x:c r="AG54" s="53" t="str">
        <x:v>16 transporter/truck-trailer hours = 4 plant classes x in/out x approx. 2h movement. Actual heavy transporter rates remain to verify.</x:v>
      </x:c>
      <x:c r="AH54" s="53" t="str">
        <x:v>Yes</x:v>
      </x:c>
      <x:c r="AI54" s="81" t="str">
        <x:f>IF(B54="","",IF(AND(P54="",N54&lt;&gt;"Lump Sum / Quote"),"RESOURCE CODE",IF(Y54=0,"RATE MISSING",IF(AND(O54="Plant",AD54="Yes",COUNTIFS($B$7:$B$306,B54,$O$7:$O$306,"Labour",$Q$7:$Q$306,"*Operator*")&gt;0),"OPERATOR DOUBLE-COUNT",IF(AND(O54="Plant",AE54="Yes",COUNTIFS($B$7:$B$306,B54,$Q$7:$Q$306,"*Fuel*")&gt;0),"FUEL DOUBLE-COUNT",IF(AH54&lt;&gt;"Yes","VERIFY","OK"))))))</x:f>
        <x:v>OK</x:v>
      </x:c>
      <x:c r="AJ54" s="54" t="str">
        <x:v>Includes only one 3t+auger mobilisation if not already onsite; do not duplicate PILE1/PILE2 mobilisation.</x:v>
      </x:c>
      <x:c r="AK54" s="473" t="str">
        <x:v>No</x:v>
      </x:c>
      <x:c r="AL54" s="473"/>
      <x:c r="AM54" s="473" t="str">
        <x:v>N/A - fixed/weekly prelim</x:v>
      </x:c>
      <x:c r="AN54" s="500" t="n">
        <x:f>IF(AND(AK54="Yes",OR(O54="Labour",O54="Plant")),Z54,0)</x:f>
        <x:v>0</x:v>
      </x:c>
    </x:row>
    <x:row r="55" ht="22.049999237060547" customHeight="1">
      <x:c r="A55" s="80" t="str">
        <x:f>IF(B55="","",B55&amp;"-"&amp;TEXT(COUNTIF($B$7:B55,B55),"000"))</x:f>
        <x:v>PV01-007</x:v>
      </x:c>
      <x:c r="B55" s="53" t="str">
        <x:v>PV01</x:v>
      </x:c>
      <x:c r="C55" s="81" t="str">
        <x:f>IFERROR(INDEX('QS Takeoff'!$A$3:$A$194,MATCH(B55,'QS Takeoff'!$B$3:$B$194,0)),"")</x:f>
        <x:v>Pavements &amp; Concrete</x:v>
      </x:c>
      <x:c r="D55" s="81" t="str">
        <x:f>IFERROR(INDEX('QS Takeoff'!$C$3:$C$194,MATCH(B55,'QS Takeoff'!$B$3:$B$194,0)),"")</x:f>
        <x:v>Internal carpark / driveway concrete pavement</x:v>
      </x:c>
      <x:c r="E55" s="81" t="n">
        <x:f>IFERROR(INDEX('QS Takeoff'!$E$3:$E$194,MATCH(B55,'QS Takeoff'!$B$3:$B$194,0)),"")</x:f>
        <x:v>478.35</x:v>
      </x:c>
      <x:c r="F55" s="81" t="str">
        <x:f>IFERROR(INDEX('QS Takeoff'!$D$3:$D$194,MATCH(B55,'QS Takeoff'!$B$3:$B$194,0)),"")</x:f>
        <x:v>m2</x:v>
      </x:c>
      <x:c r="G55" s="81" t="str">
        <x:f>IFERROR(INDEX('QS Takeoff'!$J$3:$J$194,MATCH(B55,'QS Takeoff'!$B$3:$B$194,0)),"")</x:f>
        <x:v>Civil DWG301/311 + LUC60463161 Stamped Plans A1 Rev11e + TPW clarification 11-Sep-2026</x:v>
      </x:c>
      <x:c r="H55" s="53" t="str">
        <x:v>AP40/AP20 basecourse placement and compaction - 90.22m3, 11h crew control</x:v>
      </x:c>
      <x:c r="I55" s="60"/>
      <x:c r="J55" s="60"/>
      <x:c r="K55" s="82" t="str">
        <x:f t="shared" si="0">IF(OR(B55="",I55="",I55=0),"",E55/I55)</x:f>
      </x:c>
      <x:c r="L55" s="60" t="n">
        <x:v>12</x:v>
      </x:c>
      <x:c r="M55" s="82" t="n">
        <x:f t="shared" si="1">IF(L55&gt;0,L55,K55)</x:f>
        <x:v>12</x:v>
      </x:c>
      <x:c r="N55" s="53" t="str">
        <x:v>Lump Sum / Quote</x:v>
      </x:c>
      <x:c r="O55" s="53" t="str">
        <x:v>Other</x:v>
      </x:c>
      <x:c r="P55" s="53" t="str">
        <x:v>OTH-GENERAL</x:v>
      </x:c>
      <x:c r="Q55" s="81" t="str">
        <x:f>IFERROR(INDEX('Resource Rate Library'!$C$5:$C$85,MATCH(P55,'Resource Rate Library'!$A$5:$A$85,0)),"")</x:f>
        <x:v>Project-specific transparent allowance</x:v>
      </x:c>
      <x:c r="R55" s="53" t="n">
        <x:v>1</x:v>
      </x:c>
      <x:c r="S55" s="53" t="n">
        <x:v>1</x:v>
      </x:c>
      <x:c r="T55" s="81" t="str">
        <x:f>IFERROR(INDEX('Resource Rate Library'!$E$5:$E$85,MATCH(P55,'Resource Rate Library'!$A$5:$A$85,0)),"")</x:f>
        <x:v>LS</x:v>
      </x:c>
      <x:c r="U55" s="62" t="n">
        <x:v>1</x:v>
      </x:c>
      <x:c r="V55" s="62" t="n">
        <x:v>0</x:v>
      </x:c>
      <x:c r="W55" s="83" t="n">
        <x:f>IFERROR(INDEX('Resource Rate Library'!$I$5:$I$85,MATCH(P55,'Resource Rate Library'!$A$5:$A$85,0)),0)</x:f>
        <x:v>1</x:v>
      </x:c>
      <x:c r="X55" s="52" t="n">
        <x:v>3096</x:v>
      </x:c>
      <x:c r="Y55" s="83" t="n">
        <x:f t="shared" si="2">IF(X55&gt;0,X55,W55)</x:f>
        <x:v>3096</x:v>
      </x:c>
      <x:c r="Z55" s="83" t="n">
        <x:f t="shared" si="3">IF(B55="","",IF(N55="Time x Count",M55*R55*IF(U55="",1,U55)*Y55,IF(N55="QS Qty x Factor",E55*R55*(1+IF(V55="",0,V55))*Y55,IF(N55="Direct Qty",S55*(1+IF(V55="",0,V55))*Y55,IF(N55="Lump Sum / Quote",S55*Y55,0)))))</x:f>
        <x:v>3096</x:v>
      </x:c>
      <x:c r="AA55" s="81" t="str">
        <x:f>IFERROR(INDEX('Resource Rate Library'!$N$5:$N$85,MATCH(P55,'Resource Rate Library'!$A$5:$A$85,0)),"")</x:f>
        <x:v>Basis shown in Resource Build-Up</x:v>
      </x:c>
      <x:c r="AB55" s="53" t="str">
        <x:v>First-principles basecourse placement control updated for 478.35m2. Approx 95.67m3 / 8.60m3/hr = 12h rounded control; crew $258/hr.</x:v>
      </x:c>
      <x:c r="AC55" s="59" t="str">
        <x:v>11-Sep-2026</x:v>
      </x:c>
      <x:c r="AD55" s="81" t="str">
        <x:v>N/A</x:v>
      </x:c>
      <x:c r="AE55" s="81" t="str">
        <x:v>N/A</x:v>
      </x:c>
      <x:c r="AF55" s="53" t="str">
        <x:v>AMBER - RECENT INTERNAL COMPARABLE / FIRST PRINCIPLES</x:v>
      </x:c>
      <x:c r="AG55" s="53" t="str">
        <x:v>Physical AP40/AP20 placement and compaction only. Formation/final trim remains EW03. Supplier rates in PV01-003/004 include delivery benchmark but product compliance/T&amp;T access remain AMBER.</x:v>
      </x:c>
      <x:c r="AH55" s="53" t="str">
        <x:v>Yes</x:v>
      </x:c>
      <x:c r="AI55" s="81" t="str">
        <x:f>IF(B55="","",IF(AND(P55="",N55&lt;&gt;"Lump Sum / Quote"),"RESOURCE CODE",IF(Y55=0,"RATE MISSING",IF(AND(O55="Plant",AD55="Yes",COUNTIFS($B$7:$B$306,B55,$O$7:$O$306,"Labour",$Q$7:$Q$306,"*Operator*")&gt;0),"OPERATOR DOUBLE-COUNT",IF(AND(O55="Plant",AE55="Yes",COUNTIFS($B$7:$B$306,B55,$Q$7:$Q$306,"*Fuel*")&gt;0),"FUEL DOUBLE-COUNT",IF(AH55&lt;&gt;"Yes","VERIFY","OK"))))))</x:f>
        <x:v>OK</x:v>
      </x:c>
      <x:c r="AJ55" s="54" t="str">
        <x:v>Added after Rosebank benchmarking exposed that PV01 previously carried basecourse materials without explicit place/compact resources.</x:v>
      </x:c>
      <x:c r="AK55" s="473" t="str">
        <x:v>No</x:v>
      </x:c>
      <x:c r="AL55" s="473"/>
      <x:c r="AM55" s="473" t="str">
        <x:v>N/A - 11h base-prep control embedded before concrete programme</x:v>
      </x:c>
      <x:c r="AN55" s="500" t="n">
        <x:f>IF(AND(AK55="Yes",OR(O55="Labour",O55="Plant")),Z55,0)</x:f>
        <x:v>0</x:v>
      </x:c>
    </x:row>
    <x:row r="56" ht="22.049999237060547" customHeight="1">
      <x:c r="A56" s="80" t="str">
        <x:f>IF(B56="","",B56&amp;"-"&amp;TEXT(COUNTIF($B$7:B56,B56),"000"))</x:f>
        <x:v>ESC01-002</x:v>
      </x:c>
      <x:c r="B56" s="53" t="str">
        <x:v>ESC01</x:v>
      </x:c>
      <x:c r="C56" s="81" t="str">
        <x:f>IFERROR(INDEX('QS Takeoff'!$A$3:$A$194,MATCH(B56,'QS Takeoff'!$B$3:$B$194,0)),"")</x:f>
        <x:v>Erosion &amp; Sediment Control</x:v>
      </x:c>
      <x:c r="D56" s="81" t="str">
        <x:f>IFERROR(INDEX('QS Takeoff'!$C$3:$C$194,MATCH(B56,'QS Takeoff'!$B$3:$B$194,0)),"")</x:f>
        <x:v>Erosion &amp; sediment control - site-specific layout and extents</x:v>
      </x:c>
      <x:c r="E56" s="81" t="n">
        <x:f>IFERROR(INDEX('QS Takeoff'!$E$3:$E$194,MATCH(B56,'QS Takeoff'!$B$3:$B$194,0)),"")</x:f>
        <x:v>1</x:v>
      </x:c>
      <x:c r="F56" s="81" t="str">
        <x:f>IFERROR(INDEX('QS Takeoff'!$D$3:$D$194,MATCH(B56,'QS Takeoff'!$B$3:$B$194,0)),"")</x:f>
        <x:v>LS</x:v>
      </x:c>
      <x:c r="G56" s="81" t="str">
        <x:f>IFERROR(INDEX('QS Takeoff'!$J$3:$J$194,MATCH(B56,'QS Takeoff'!$B$3:$B$194,0)),"")</x:f>
        <x:v>AMBER - MEASURED / FIRST PRINCIPLES</x:v>
      </x:c>
      <x:c r="H56" s="53" t="str">
        <x:v>Y posts at 4m spacing to 234.3lm working fence</x:v>
      </x:c>
      <x:c r="I56" s="60"/>
      <x:c r="J56" s="60"/>
      <x:c r="K56" s="82" t="str">
        <x:f t="shared" si="0">IF(OR(B56="",I56="",I56=0),"",E56/I56)</x:f>
      </x:c>
      <x:c r="L56" s="60"/>
      <x:c r="M56" s="82" t="str">
        <x:f t="shared" si="1">IF(L56&gt;0,L56,K56)</x:f>
      </x:c>
      <x:c r="N56" s="53" t="str">
        <x:v>Direct Qty</x:v>
      </x:c>
      <x:c r="O56" s="53" t="str">
        <x:v>Material</x:v>
      </x:c>
      <x:c r="P56" s="53" t="str">
        <x:v>MAT-YPOST-180</x:v>
      </x:c>
      <x:c r="Q56" s="81" t="str">
        <x:f>IFERROR(INDEX('Resource Rate Library'!$C$5:$C$85,MATCH(P56,'Resource Rate Library'!$A$5:$A$85,0)),"")</x:f>
        <x:v>Fencing standard Y post 1.80m</x:v>
      </x:c>
      <x:c r="R56" s="53"/>
      <x:c r="S56" s="53" t="n">
        <x:v>60</x:v>
      </x:c>
      <x:c r="T56" s="81" t="str">
        <x:f>IFERROR(INDEX('Resource Rate Library'!$E$5:$E$85,MATCH(P56,'Resource Rate Library'!$A$5:$A$85,0)),"")</x:f>
        <x:v>ea</x:v>
      </x:c>
      <x:c r="U56" s="62" t="n">
        <x:v>1</x:v>
      </x:c>
      <x:c r="V56" s="62" t="n">
        <x:v>0</x:v>
      </x:c>
      <x:c r="W56" s="83" t="n">
        <x:f>IFERROR(INDEX('Resource Rate Library'!$I$5:$I$85,MATCH(P56,'Resource Rate Library'!$A$5:$A$85,0)),0)</x:f>
        <x:v>12.8</x:v>
      </x:c>
      <x:c r="X56" s="52"/>
      <x:c r="Y56" s="83" t="n">
        <x:f t="shared" si="2">IF(X56&gt;0,X56,W56)</x:f>
        <x:v>12.8</x:v>
      </x:c>
      <x:c r="Z56" s="83" t="n">
        <x:f t="shared" si="3">IF(B56="","",IF(N56="Time x Count",M56*R56*IF(U56="",1,U56)*Y56,IF(N56="QS Qty x Factor",E56*R56*(1+IF(V56="",0,V56))*Y56,IF(N56="Direct Qty",S56*(1+IF(V56="",0,V56))*Y56,IF(N56="Lump Sum / Quote",S56*Y56,0)))))</x:f>
        <x:v>768</x:v>
      </x:c>
      <x:c r="AA56" s="81" t="str">
        <x:f>IFERROR(INDEX('Resource Rate Library'!$N$5:$N$85,MATCH(P56,'Resource Rate Library'!$A$5:$A$85,0)),"")</x:f>
        <x:v>CARTERS Standard Price Book export 08-Sep-2026</x:v>
      </x:c>
      <x:c r="AB56" s="53" t="str">
        <x:v>DWG241 + Cirtex installation guide https://cirtexcivil.co.nz/products/erosion-sediment-control/siltfence/</x:v>
      </x:c>
      <x:c r="AC56" s="59" t="str">
        <x:v>09-Sep-2026</x:v>
      </x:c>
      <x:c r="AD56" s="81" t="str">
        <x:f>IFERROR(INDEX('Resource Rate Library'!$G$5:$G$85,MATCH(P56,'Resource Rate Library'!$A$5:$A$85,0)),"")</x:f>
        <x:v>N/A</x:v>
      </x:c>
      <x:c r="AE56" s="81" t="str">
        <x:f>IFERROR(INDEX('Resource Rate Library'!$H$5:$H$85,MATCH(P56,'Resource Rate Library'!$A$5:$A$85,0)),"")</x:f>
        <x:v>N/A</x:v>
      </x:c>
      <x:c r="AF56" s="53" t="str">
        <x:v>GREEN - current rate / calculated quantity</x:v>
      </x:c>
      <x:c r="AG56" s="53" t="str">
        <x:v>60 posts = ceil(234.3/4m)+1. High-tensile support wire basis permits 4m centres.</x:v>
      </x:c>
      <x:c r="AH56" s="53" t="str">
        <x:v>Yes</x:v>
      </x:c>
      <x:c r="AI56" s="81" t="str">
        <x:f>IF(B56="","",IF(AND(P56="",N56&lt;&gt;"Lump Sum / Quote"),"RESOURCE CODE",IF(Y56=0,"RATE MISSING",IF(AND(O56="Plant",AD56="Yes",COUNTIFS($B$7:$B$306,B56,$O$7:$O$306,"Labour",$Q$7:$Q$306,"*Operator*")&gt;0),"OPERATOR DOUBLE-COUNT",IF(AND(O56="Plant",AE56="Yes",COUNTIFS($B$7:$B$306,B56,$Q$7:$Q$306,"*Fuel*")&gt;0),"FUEL DOUBLE-COUNT",IF(AH56&lt;&gt;"Yes","VERIFY","OK"))))))</x:f>
        <x:v>OK</x:v>
      </x:c>
      <x:c r="AJ56" s="54" t="str">
        <x:v>Final corner/return positions to verify at setout.</x:v>
      </x:c>
      <x:c r="AK56" s="473" t="str">
        <x:v>No</x:v>
      </x:c>
      <x:c r="AL56" s="473"/>
      <x:c r="AM56" s="473"/>
      <x:c r="AN56" s="500" t="n">
        <x:f>IF(AND(AK56="Yes",OR(O56="Labour",O56="Plant")),Z56,0)</x:f>
        <x:v>0</x:v>
      </x:c>
    </x:row>
    <x:row r="57" ht="22.049999237060547" customHeight="1">
      <x:c r="A57" s="80" t="str">
        <x:f>IF(B57="","",B57&amp;"-"&amp;TEXT(COUNTIF($B$7:B57,B57),"000"))</x:f>
        <x:v>ESC01-003</x:v>
      </x:c>
      <x:c r="B57" s="53" t="str">
        <x:v>ESC01</x:v>
      </x:c>
      <x:c r="C57" s="81" t="str">
        <x:f>IFERROR(INDEX('QS Takeoff'!$A$3:$A$194,MATCH(B57,'QS Takeoff'!$B$3:$B$194,0)),"")</x:f>
        <x:v>Erosion &amp; Sediment Control</x:v>
      </x:c>
      <x:c r="D57" s="81" t="str">
        <x:f>IFERROR(INDEX('QS Takeoff'!$C$3:$C$194,MATCH(B57,'QS Takeoff'!$B$3:$B$194,0)),"")</x:f>
        <x:v>Erosion &amp; sediment control - site-specific layout and extents</x:v>
      </x:c>
      <x:c r="E57" s="81" t="n">
        <x:f>IFERROR(INDEX('QS Takeoff'!$E$3:$E$194,MATCH(B57,'QS Takeoff'!$B$3:$B$194,0)),"")</x:f>
        <x:v>1</x:v>
      </x:c>
      <x:c r="F57" s="81" t="str">
        <x:f>IFERROR(INDEX('QS Takeoff'!$D$3:$D$194,MATCH(B57,'QS Takeoff'!$B$3:$B$194,0)),"")</x:f>
        <x:v>LS</x:v>
      </x:c>
      <x:c r="G57" s="81" t="str">
        <x:f>IFERROR(INDEX('QS Takeoff'!$J$3:$J$194,MATCH(B57,'QS Takeoff'!$B$3:$B$194,0)),"")</x:f>
        <x:v>AMBER - MEASURED / FIRST PRINCIPLES</x:v>
      </x:c>
      <x:c r="H57" s="53" t="str">
        <x:v>Safety caps to all silt-fence Y posts</x:v>
      </x:c>
      <x:c r="I57" s="60"/>
      <x:c r="J57" s="60"/>
      <x:c r="K57" s="82" t="str">
        <x:f t="shared" si="0">IF(OR(B57="",I57="",I57=0),"",E57/I57)</x:f>
      </x:c>
      <x:c r="L57" s="60"/>
      <x:c r="M57" s="82" t="str">
        <x:f t="shared" si="1">IF(L57&gt;0,L57,K57)</x:f>
      </x:c>
      <x:c r="N57" s="53" t="str">
        <x:v>Direct Qty</x:v>
      </x:c>
      <x:c r="O57" s="53" t="str">
        <x:v>Material</x:v>
      </x:c>
      <x:c r="P57" s="53" t="str">
        <x:v>MAT-YPOST-CAP</x:v>
      </x:c>
      <x:c r="Q57" s="81" t="str">
        <x:f>IFERROR(INDEX('Resource Rate Library'!$C$5:$C$85,MATCH(P57,'Resource Rate Library'!$A$5:$A$85,0)),"")</x:f>
        <x:v>Safety cap for starter / Y post</x:v>
      </x:c>
      <x:c r="R57" s="53"/>
      <x:c r="S57" s="53" t="n">
        <x:v>60</x:v>
      </x:c>
      <x:c r="T57" s="81" t="str">
        <x:f>IFERROR(INDEX('Resource Rate Library'!$E$5:$E$85,MATCH(P57,'Resource Rate Library'!$A$5:$A$85,0)),"")</x:f>
        <x:v>ea</x:v>
      </x:c>
      <x:c r="U57" s="62" t="n">
        <x:v>1</x:v>
      </x:c>
      <x:c r="V57" s="62" t="n">
        <x:v>0</x:v>
      </x:c>
      <x:c r="W57" s="83" t="n">
        <x:f>IFERROR(INDEX('Resource Rate Library'!$I$5:$I$85,MATCH(P57,'Resource Rate Library'!$A$5:$A$85,0)),0)</x:f>
        <x:v>0.98</x:v>
      </x:c>
      <x:c r="X57" s="52"/>
      <x:c r="Y57" s="83" t="n">
        <x:f t="shared" si="2">IF(X57&gt;0,X57,W57)</x:f>
        <x:v>0.98</x:v>
      </x:c>
      <x:c r="Z57" s="83" t="n">
        <x:f t="shared" si="3">IF(B57="","",IF(N57="Time x Count",M57*R57*IF(U57="",1,U57)*Y57,IF(N57="QS Qty x Factor",E57*R57*(1+IF(V57="",0,V57))*Y57,IF(N57="Direct Qty",S57*(1+IF(V57="",0,V57))*Y57,IF(N57="Lump Sum / Quote",S57*Y57,0)))))</x:f>
        <x:v>58.8</x:v>
      </x:c>
      <x:c r="AA57" s="81" t="str">
        <x:f>IFERROR(INDEX('Resource Rate Library'!$N$5:$N$85,MATCH(P57,'Resource Rate Library'!$A$5:$A$85,0)),"")</x:f>
        <x:v>CARTERS Standard Price Book export 08-Sep-2026</x:v>
      </x:c>
      <x:c r="AB57" s="53" t="str">
        <x:v>CARTERS 08-Sep-2026 + Cirtex site-safety accessory requirement</x:v>
      </x:c>
      <x:c r="AC57" s="59" t="str">
        <x:v>09-Sep-2026</x:v>
      </x:c>
      <x:c r="AD57" s="81" t="str">
        <x:f>IFERROR(INDEX('Resource Rate Library'!$G$5:$G$85,MATCH(P57,'Resource Rate Library'!$A$5:$A$85,0)),"")</x:f>
        <x:v>N/A</x:v>
      </x:c>
      <x:c r="AE57" s="81" t="str">
        <x:f>IFERROR(INDEX('Resource Rate Library'!$H$5:$H$85,MATCH(P57,'Resource Rate Library'!$A$5:$A$85,0)),"")</x:f>
        <x:v>N/A</x:v>
      </x:c>
      <x:c r="AF57" s="53" t="str">
        <x:v>AMBER - current primary price</x:v>
      </x:c>
      <x:c r="AG57" s="53" t="str">
        <x:v>One cap per 60 Y posts.</x:v>
      </x:c>
      <x:c r="AH57" s="53" t="str">
        <x:v>Yes</x:v>
      </x:c>
      <x:c r="AI57" s="81" t="str">
        <x:f>IF(B57="","",IF(AND(P57="",N57&lt;&gt;"Lump Sum / Quote"),"RESOURCE CODE",IF(Y57=0,"RATE MISSING",IF(AND(O57="Plant",AD57="Yes",COUNTIFS($B$7:$B$306,B57,$O$7:$O$306,"Labour",$Q$7:$Q$306,"*Operator*")&gt;0),"OPERATOR DOUBLE-COUNT",IF(AND(O57="Plant",AE57="Yes",COUNTIFS($B$7:$B$306,B57,$Q$7:$Q$306,"*Fuel*")&gt;0),"FUEL DOUBLE-COUNT",IF(AH57&lt;&gt;"Yes","VERIFY","OK"))))))</x:f>
        <x:v>OK</x:v>
      </x:c>
      <x:c r="AJ57" s="54" t="str">
        <x:v>Direct site-safety consumable.</x:v>
      </x:c>
      <x:c r="AK57" s="473" t="str">
        <x:v>No</x:v>
      </x:c>
      <x:c r="AL57" s="473"/>
      <x:c r="AM57" s="473"/>
      <x:c r="AN57" s="500" t="n">
        <x:f>IF(AND(AK57="Yes",OR(O57="Labour",O57="Plant")),Z57,0)</x:f>
        <x:v>0</x:v>
      </x:c>
    </x:row>
    <x:row r="58" ht="22.049999237060547" customHeight="1">
      <x:c r="A58" s="80" t="str">
        <x:f>IF(B58="","",B58&amp;"-"&amp;TEXT(COUNTIF($B$7:B58,B58),"000"))</x:f>
        <x:v>ESC01-004</x:v>
      </x:c>
      <x:c r="B58" s="53" t="str">
        <x:v>ESC01</x:v>
      </x:c>
      <x:c r="C58" s="81" t="str">
        <x:f>IFERROR(INDEX('QS Takeoff'!$A$3:$A$194,MATCH(B58,'QS Takeoff'!$B$3:$B$194,0)),"")</x:f>
        <x:v>Erosion &amp; Sediment Control</x:v>
      </x:c>
      <x:c r="D58" s="81" t="str">
        <x:f>IFERROR(INDEX('QS Takeoff'!$C$3:$C$194,MATCH(B58,'QS Takeoff'!$B$3:$B$194,0)),"")</x:f>
        <x:v>Erosion &amp; sediment control - site-specific layout and extents</x:v>
      </x:c>
      <x:c r="E58" s="81" t="n">
        <x:f>IFERROR(INDEX('QS Takeoff'!$E$3:$E$194,MATCH(B58,'QS Takeoff'!$B$3:$B$194,0)),"")</x:f>
        <x:v>1</x:v>
      </x:c>
      <x:c r="F58" s="81" t="str">
        <x:f>IFERROR(INDEX('QS Takeoff'!$D$3:$D$194,MATCH(B58,'QS Takeoff'!$B$3:$B$194,0)),"")</x:f>
        <x:v>LS</x:v>
      </x:c>
      <x:c r="G58" s="81" t="str">
        <x:f>IFERROR(INDEX('QS Takeoff'!$J$3:$J$194,MATCH(B58,'QS Takeoff'!$B$3:$B$194,0)),"")</x:f>
        <x:v>AMBER - MEASURED / FIRST PRINCIPLES</x:v>
      </x:c>
      <x:c r="H58" s="53" t="str">
        <x:v>High-tensile support wire to silt fence</x:v>
      </x:c>
      <x:c r="I58" s="60"/>
      <x:c r="J58" s="60"/>
      <x:c r="K58" s="82" t="str">
        <x:f t="shared" si="0">IF(OR(B58="",I58="",I58=0),"",E58/I58)</x:f>
      </x:c>
      <x:c r="L58" s="60"/>
      <x:c r="M58" s="82" t="str">
        <x:f t="shared" si="1">IF(L58&gt;0,L58,K58)</x:f>
      </x:c>
      <x:c r="N58" s="53" t="str">
        <x:v>Direct Qty</x:v>
      </x:c>
      <x:c r="O58" s="53" t="str">
        <x:v>Material</x:v>
      </x:c>
      <x:c r="P58" s="53" t="str">
        <x:v>MAT-WIRE-HT650</x:v>
      </x:c>
      <x:c r="Q58" s="81" t="str">
        <x:f>IFERROR(INDEX('Resource Rate Library'!$C$5:$C$85,MATCH(P58,'Resource Rate Library'!$A$5:$A$85,0)),"")</x:f>
        <x:v>Premium fencing wire 2.5mm HT, 25kg / 650m coil</x:v>
      </x:c>
      <x:c r="R58" s="53"/>
      <x:c r="S58" s="53" t="n">
        <x:v>1</x:v>
      </x:c>
      <x:c r="T58" s="81" t="str">
        <x:f>IFERROR(INDEX('Resource Rate Library'!$E$5:$E$85,MATCH(P58,'Resource Rate Library'!$A$5:$A$85,0)),"")</x:f>
        <x:v>coil</x:v>
      </x:c>
      <x:c r="U58" s="62" t="n">
        <x:v>1</x:v>
      </x:c>
      <x:c r="V58" s="62" t="n">
        <x:v>0</x:v>
      </x:c>
      <x:c r="W58" s="83" t="n">
        <x:f>IFERROR(INDEX('Resource Rate Library'!$I$5:$I$85,MATCH(P58,'Resource Rate Library'!$A$5:$A$85,0)),0)</x:f>
        <x:v>114.91</x:v>
      </x:c>
      <x:c r="X58" s="52"/>
      <x:c r="Y58" s="83" t="n">
        <x:f t="shared" si="2">IF(X58&gt;0,X58,W58)</x:f>
        <x:v>114.91</x:v>
      </x:c>
      <x:c r="Z58" s="83" t="n">
        <x:f t="shared" si="3">IF(B58="","",IF(N58="Time x Count",M58*R58*IF(U58="",1,U58)*Y58,IF(N58="QS Qty x Factor",E58*R58*(1+IF(V58="",0,V58))*Y58,IF(N58="Direct Qty",S58*(1+IF(V58="",0,V58))*Y58,IF(N58="Lump Sum / Quote",S58*Y58,0)))))</x:f>
        <x:v>114.91</x:v>
      </x:c>
      <x:c r="AA58" s="81" t="str">
        <x:f>IFERROR(INDEX('Resource Rate Library'!$N$5:$N$85,MATCH(P58,'Resource Rate Library'!$A$5:$A$85,0)),"")</x:f>
        <x:v>CARTERS Standard Price Book export 08-Sep-2026</x:v>
      </x:c>
      <x:c r="AB58" s="53" t="str">
        <x:v>DWG241 + Cirtex installation guide https://cirtexcivil.co.nz/products/erosion-sediment-control/siltfence/</x:v>
      </x:c>
      <x:c r="AC58" s="59" t="str">
        <x:v>09-Sep-2026</x:v>
      </x:c>
      <x:c r="AD58" s="81" t="str">
        <x:f>IFERROR(INDEX('Resource Rate Library'!$G$5:$G$85,MATCH(P58,'Resource Rate Library'!$A$5:$A$85,0)),"")</x:f>
        <x:v>N/A</x:v>
      </x:c>
      <x:c r="AE58" s="81" t="str">
        <x:f>IFERROR(INDEX('Resource Rate Library'!$H$5:$H$85,MATCH(P58,'Resource Rate Library'!$A$5:$A$85,0)),"")</x:f>
        <x:v>N/A</x:v>
      </x:c>
      <x:c r="AF58" s="53" t="str">
        <x:v>AMBER - current primary price</x:v>
      </x:c>
      <x:c r="AG58" s="53" t="str">
        <x:v>One 650m coil exceeds working fence length and provides repair reserve.</x:v>
      </x:c>
      <x:c r="AH58" s="53" t="str">
        <x:v>Yes</x:v>
      </x:c>
      <x:c r="AI58" s="81" t="str">
        <x:f>IF(B58="","",IF(AND(P58="",N58&lt;&gt;"Lump Sum / Quote"),"RESOURCE CODE",IF(Y58=0,"RATE MISSING",IF(AND(O58="Plant",AD58="Yes",COUNTIFS($B$7:$B$306,B58,$O$7:$O$306,"Labour",$Q$7:$Q$306,"*Operator*")&gt;0),"OPERATOR DOUBLE-COUNT",IF(AND(O58="Plant",AE58="Yes",COUNTIFS($B$7:$B$306,B58,$Q$7:$Q$306,"*Fuel*")&gt;0),"FUEL DOUBLE-COUNT",IF(AH58&lt;&gt;"Yes","VERIFY","OK"))))))</x:f>
        <x:v>OK</x:v>
      </x:c>
      <x:c r="AJ58" s="54" t="str">
        <x:v>No separate soft-wire support line added.</x:v>
      </x:c>
      <x:c r="AK58" s="473" t="str">
        <x:v>No</x:v>
      </x:c>
      <x:c r="AL58" s="473"/>
      <x:c r="AM58" s="473"/>
      <x:c r="AN58" s="500" t="n">
        <x:f>IF(AND(AK58="Yes",OR(O58="Labour",O58="Plant")),Z58,0)</x:f>
        <x:v>0</x:v>
      </x:c>
    </x:row>
    <x:row r="59" ht="22.049999237060547" customHeight="1">
      <x:c r="A59" s="80" t="str">
        <x:f>IF(B59="","",B59&amp;"-"&amp;TEXT(COUNTIF($B$7:B59,B59),"000"))</x:f>
        <x:v>ESC01-005</x:v>
      </x:c>
      <x:c r="B59" s="53" t="str">
        <x:v>ESC01</x:v>
      </x:c>
      <x:c r="C59" s="81" t="str">
        <x:f>IFERROR(INDEX('QS Takeoff'!$A$3:$A$194,MATCH(B59,'QS Takeoff'!$B$3:$B$194,0)),"")</x:f>
        <x:v>Erosion &amp; Sediment Control</x:v>
      </x:c>
      <x:c r="D59" s="81" t="str">
        <x:f>IFERROR(INDEX('QS Takeoff'!$C$3:$C$194,MATCH(B59,'QS Takeoff'!$B$3:$B$194,0)),"")</x:f>
        <x:v>Erosion &amp; sediment control - site-specific layout and extents</x:v>
      </x:c>
      <x:c r="E59" s="81" t="n">
        <x:f>IFERROR(INDEX('QS Takeoff'!$E$3:$E$194,MATCH(B59,'QS Takeoff'!$B$3:$B$194,0)),"")</x:f>
        <x:v>1</x:v>
      </x:c>
      <x:c r="F59" s="81" t="str">
        <x:f>IFERROR(INDEX('QS Takeoff'!$D$3:$D$194,MATCH(B59,'QS Takeoff'!$B$3:$B$194,0)),"")</x:f>
        <x:v>LS</x:v>
      </x:c>
      <x:c r="G59" s="81" t="str">
        <x:f>IFERROR(INDEX('QS Takeoff'!$J$3:$J$194,MATCH(B59,'QS Takeoff'!$B$3:$B$194,0)),"")</x:f>
        <x:v>AMBER - MEASURED / FIRST PRINCIPLES</x:v>
      </x:c>
      <x:c r="H59" s="53" t="str">
        <x:v>Silt-fence pins to support wire at 500mm spacing - 5 x 100 packs</x:v>
      </x:c>
      <x:c r="I59" s="60"/>
      <x:c r="J59" s="60"/>
      <x:c r="K59" s="82" t="str">
        <x:f t="shared" si="0">IF(OR(B59="",I59="",I59=0),"",E59/I59)</x:f>
      </x:c>
      <x:c r="L59" s="60"/>
      <x:c r="M59" s="82" t="str">
        <x:f t="shared" si="1">IF(L59&gt;0,L59,K59)</x:f>
      </x:c>
      <x:c r="N59" s="53" t="str">
        <x:v>Direct Qty</x:v>
      </x:c>
      <x:c r="O59" s="53" t="str">
        <x:v>Material</x:v>
      </x:c>
      <x:c r="P59" s="53" t="str">
        <x:v>MAT-SILTFENCE-PINS100</x:v>
      </x:c>
      <x:c r="Q59" s="81" t="str">
        <x:f>IFERROR(INDEX('Resource Rate Library'!$C$5:$C$85,MATCH(P59,'Resource Rate Library'!$A$5:$A$85,0)),"")</x:f>
        <x:v>Cirtex 75mm SiltFence pins - 100 pack</x:v>
      </x:c>
      <x:c r="R59" s="53"/>
      <x:c r="S59" s="53" t="n">
        <x:v>5</x:v>
      </x:c>
      <x:c r="T59" s="81" t="str">
        <x:f>IFERROR(INDEX('Resource Rate Library'!$E$5:$E$85,MATCH(P59,'Resource Rate Library'!$A$5:$A$85,0)),"")</x:f>
        <x:v>bag</x:v>
      </x:c>
      <x:c r="U59" s="62" t="n">
        <x:v>1</x:v>
      </x:c>
      <x:c r="V59" s="62" t="n">
        <x:v>0</x:v>
      </x:c>
      <x:c r="W59" s="83" t="n">
        <x:f>IFERROR(INDEX('Resource Rate Library'!$I$5:$I$85,MATCH(P59,'Resource Rate Library'!$A$5:$A$85,0)),0)</x:f>
        <x:v>27</x:v>
      </x:c>
      <x:c r="X59" s="52"/>
      <x:c r="Y59" s="83" t="n">
        <x:f t="shared" si="2">IF(X59&gt;0,X59,W59)</x:f>
        <x:v>27</x:v>
      </x:c>
      <x:c r="Z59" s="83" t="n">
        <x:f t="shared" si="3">IF(B59="","",IF(N59="Time x Count",M59*R59*IF(U59="",1,U59)*Y59,IF(N59="QS Qty x Factor",E59*R59*(1+IF(V59="",0,V59))*Y59,IF(N59="Direct Qty",S59*(1+IF(V59="",0,V59))*Y59,IF(N59="Lump Sum / Quote",S59*Y59,0)))))</x:f>
        <x:v>135</x:v>
      </x:c>
      <x:c r="AA59" s="81" t="str">
        <x:f>IFERROR(INDEX('Resource Rate Library'!$N$5:$N$85,MATCH(P59,'Resource Rate Library'!$A$5:$A$85,0)),"")</x:f>
        <x:v>https://www.bunnings.co.nz/search/products?q=siltfence+pack</x:v>
      </x:c>
      <x:c r="AB59" s="53" t="str">
        <x:v>Cirtex guidance + current Bunnings price https://www.bunnings.co.nz/search/products?q=siltfence+pack</x:v>
      </x:c>
      <x:c r="AC59" s="59" t="str">
        <x:v>09-Sep-2026</x:v>
      </x:c>
      <x:c r="AD59" s="81" t="str">
        <x:f>IFERROR(INDEX('Resource Rate Library'!$G$5:$G$85,MATCH(P59,'Resource Rate Library'!$A$5:$A$85,0)),"")</x:f>
        <x:v>N/A</x:v>
      </x:c>
      <x:c r="AE59" s="81" t="str">
        <x:f>IFERROR(INDEX('Resource Rate Library'!$H$5:$H$85,MATCH(P59,'Resource Rate Library'!$A$5:$A$85,0)),"")</x:f>
        <x:v>N/A</x:v>
      </x:c>
      <x:c r="AF59" s="53" t="str">
        <x:v>AMBER - current retail / project merchant quote open</x:v>
      </x:c>
      <x:c r="AG59" s="53" t="str">
        <x:v>234.3m /0.5m = 469 pins; 5 x100 packs allowed.</x:v>
      </x:c>
      <x:c r="AH59" s="53" t="str">
        <x:v>Yes</x:v>
      </x:c>
      <x:c r="AI59" s="81" t="str">
        <x:f>IF(B59="","",IF(AND(P59="",N59&lt;&gt;"Lump Sum / Quote"),"RESOURCE CODE",IF(Y59=0,"RATE MISSING",IF(AND(O59="Plant",AD59="Yes",COUNTIFS($B$7:$B$306,B59,$O$7:$O$306,"Labour",$Q$7:$Q$306,"*Operator*")&gt;0),"OPERATOR DOUBLE-COUNT",IF(AND(O59="Plant",AE59="Yes",COUNTIFS($B$7:$B$306,B59,$Q$7:$Q$306,"*Fuel*")&gt;0),"FUEL DOUBLE-COUNT",IF(AH59&lt;&gt;"Yes","VERIFY","OK"))))))</x:f>
        <x:v>OK</x:v>
      </x:c>
      <x:c r="AJ59" s="54" t="str">
        <x:v>Do not also add butterfly clips.</x:v>
      </x:c>
      <x:c r="AK59" s="473" t="str">
        <x:v>No</x:v>
      </x:c>
      <x:c r="AL59" s="473"/>
      <x:c r="AM59" s="473"/>
      <x:c r="AN59" s="500" t="n">
        <x:f>IF(AND(AK59="Yes",OR(O59="Labour",O59="Plant")),Z59,0)</x:f>
        <x:v>0</x:v>
      </x:c>
    </x:row>
    <x:row r="60" ht="22.049999237060547" customHeight="1">
      <x:c r="A60" s="80" t="str">
        <x:f>IF(B60="","",B60&amp;"-"&amp;TEXT(COUNTIF($B$7:B60,B60),"000"))</x:f>
        <x:v>ESC01-006</x:v>
      </x:c>
      <x:c r="B60" s="53" t="str">
        <x:v>ESC01</x:v>
      </x:c>
      <x:c r="C60" s="81" t="str">
        <x:f>IFERROR(INDEX('QS Takeoff'!$A$3:$A$194,MATCH(B60,'QS Takeoff'!$B$3:$B$194,0)),"")</x:f>
        <x:v>Erosion &amp; Sediment Control</x:v>
      </x:c>
      <x:c r="D60" s="81" t="str">
        <x:f>IFERROR(INDEX('QS Takeoff'!$C$3:$C$194,MATCH(B60,'QS Takeoff'!$B$3:$B$194,0)),"")</x:f>
        <x:v>Erosion &amp; sediment control - site-specific layout and extents</x:v>
      </x:c>
      <x:c r="E60" s="81" t="n">
        <x:f>IFERROR(INDEX('QS Takeoff'!$E$3:$E$194,MATCH(B60,'QS Takeoff'!$B$3:$B$194,0)),"")</x:f>
        <x:v>1</x:v>
      </x:c>
      <x:c r="F60" s="81" t="str">
        <x:f>IFERROR(INDEX('QS Takeoff'!$D$3:$D$194,MATCH(B60,'QS Takeoff'!$B$3:$B$194,0)),"")</x:f>
        <x:v>LS</x:v>
      </x:c>
      <x:c r="G60" s="81" t="str">
        <x:f>IFERROR(INDEX('QS Takeoff'!$J$3:$J$194,MATCH(B60,'QS Takeoff'!$B$3:$B$194,0)),"")</x:f>
        <x:v>AMBER - MEASURED / FIRST PRINCIPLES</x:v>
      </x:c>
      <x:c r="H60" s="53" t="str">
        <x:v>Support-wire strainers at 25m intervals</x:v>
      </x:c>
      <x:c r="I60" s="60"/>
      <x:c r="J60" s="60"/>
      <x:c r="K60" s="82" t="str">
        <x:f t="shared" si="0">IF(OR(B60="",I60="",I60=0),"",E60/I60)</x:f>
      </x:c>
      <x:c r="L60" s="60"/>
      <x:c r="M60" s="82" t="str">
        <x:f t="shared" si="1">IF(L60&gt;0,L60,K60)</x:f>
      </x:c>
      <x:c r="N60" s="53" t="str">
        <x:v>Direct Qty</x:v>
      </x:c>
      <x:c r="O60" s="53" t="str">
        <x:v>Material</x:v>
      </x:c>
      <x:c r="P60" s="53" t="str">
        <x:v>MAT-WIRE-STRAINER</x:v>
      </x:c>
      <x:c r="Q60" s="81" t="str">
        <x:f>IFERROR(INDEX('Resource Rate Library'!$C$5:$C$85,MATCH(P60,'Resource Rate Library'!$A$5:$A$85,0)),"")</x:f>
        <x:v>Wire strainer clip-lock type</x:v>
      </x:c>
      <x:c r="R60" s="53"/>
      <x:c r="S60" s="53" t="n">
        <x:v>10</x:v>
      </x:c>
      <x:c r="T60" s="81" t="str">
        <x:f>IFERROR(INDEX('Resource Rate Library'!$E$5:$E$85,MATCH(P60,'Resource Rate Library'!$A$5:$A$85,0)),"")</x:f>
        <x:v>ea</x:v>
      </x:c>
      <x:c r="U60" s="62" t="n">
        <x:v>1</x:v>
      </x:c>
      <x:c r="V60" s="62" t="n">
        <x:v>0</x:v>
      </x:c>
      <x:c r="W60" s="83" t="n">
        <x:f>IFERROR(INDEX('Resource Rate Library'!$I$5:$I$85,MATCH(P60,'Resource Rate Library'!$A$5:$A$85,0)),0)</x:f>
        <x:v>4.88</x:v>
      </x:c>
      <x:c r="X60" s="52"/>
      <x:c r="Y60" s="83" t="n">
        <x:f t="shared" si="2">IF(X60&gt;0,X60,W60)</x:f>
        <x:v>4.88</x:v>
      </x:c>
      <x:c r="Z60" s="83" t="n">
        <x:f t="shared" si="3">IF(B60="","",IF(N60="Time x Count",M60*R60*IF(U60="",1,U60)*Y60,IF(N60="QS Qty x Factor",E60*R60*(1+IF(V60="",0,V60))*Y60,IF(N60="Direct Qty",S60*(1+IF(V60="",0,V60))*Y60,IF(N60="Lump Sum / Quote",S60*Y60,0)))))</x:f>
        <x:v>48.8</x:v>
      </x:c>
      <x:c r="AA60" s="81" t="str">
        <x:f>IFERROR(INDEX('Resource Rate Library'!$N$5:$N$85,MATCH(P60,'Resource Rate Library'!$A$5:$A$85,0)),"")</x:f>
        <x:v>CARTERS Standard Price Book export 08-Sep-2026</x:v>
      </x:c>
      <x:c r="AB60" s="53" t="str">
        <x:v>Cirtex E&amp;SC calculator + current CARTERS functional-equivalent strainer rate</x:v>
      </x:c>
      <x:c r="AC60" s="59" t="str">
        <x:v>09-Sep-2026</x:v>
      </x:c>
      <x:c r="AD60" s="81" t="str">
        <x:f>IFERROR(INDEX('Resource Rate Library'!$G$5:$G$85,MATCH(P60,'Resource Rate Library'!$A$5:$A$85,0)),"")</x:f>
        <x:v>N/A</x:v>
      </x:c>
      <x:c r="AE60" s="81" t="str">
        <x:f>IFERROR(INDEX('Resource Rate Library'!$H$5:$H$85,MATCH(P60,'Resource Rate Library'!$A$5:$A$85,0)),"")</x:f>
        <x:v>N/A</x:v>
      </x:c>
      <x:c r="AF60" s="53" t="str">
        <x:v>AMBER - functional-equivalent accessory</x:v>
      </x:c>
      <x:c r="AG60" s="53" t="str">
        <x:v>10 strainers = ceil(234.3/25m).</x:v>
      </x:c>
      <x:c r="AH60" s="53" t="str">
        <x:v>Yes</x:v>
      </x:c>
      <x:c r="AI60" s="81" t="str">
        <x:f>IF(B60="","",IF(AND(P60="",N60&lt;&gt;"Lump Sum / Quote"),"RESOURCE CODE",IF(Y60=0,"RATE MISSING",IF(AND(O60="Plant",AD60="Yes",COUNTIFS($B$7:$B$306,B60,$O$7:$O$306,"Labour",$Q$7:$Q$306,"*Operator*")&gt;0),"OPERATOR DOUBLE-COUNT",IF(AND(O60="Plant",AE60="Yes",COUNTIFS($B$7:$B$306,B60,$Q$7:$Q$306,"*Fuel*")&gt;0),"FUEL DOUBLE-COUNT",IF(AH60&lt;&gt;"Yes","VERIFY","OK"))))))</x:f>
        <x:v>OK</x:v>
      </x:c>
      <x:c r="AJ60" s="54" t="str">
        <x:v>Exact proprietary strainer not specified; small accessory allowance is visible rather than hidden.</x:v>
      </x:c>
      <x:c r="AK60" s="473" t="str">
        <x:v>No</x:v>
      </x:c>
      <x:c r="AL60" s="473"/>
      <x:c r="AM60" s="473"/>
      <x:c r="AN60" s="500" t="n">
        <x:f>IF(AND(AK60="Yes",OR(O60="Labour",O60="Plant")),Z60,0)</x:f>
        <x:v>0</x:v>
      </x:c>
    </x:row>
    <x:row r="61" ht="22.049999237060547" customHeight="1">
      <x:c r="A61" s="80" t="str">
        <x:f>IF(B61="","",B61&amp;"-"&amp;TEXT(COUNTIF($B$7:B61,B61),"000"))</x:f>
        <x:v>ESC01-007</x:v>
      </x:c>
      <x:c r="B61" s="53" t="str">
        <x:v>ESC01</x:v>
      </x:c>
      <x:c r="C61" s="81" t="str">
        <x:f>IFERROR(INDEX('QS Takeoff'!$A$3:$A$194,MATCH(B61,'QS Takeoff'!$B$3:$B$194,0)),"")</x:f>
        <x:v>Erosion &amp; Sediment Control</x:v>
      </x:c>
      <x:c r="D61" s="81" t="str">
        <x:f>IFERROR(INDEX('QS Takeoff'!$C$3:$C$194,MATCH(B61,'QS Takeoff'!$B$3:$B$194,0)),"")</x:f>
        <x:v>Erosion &amp; sediment control - site-specific layout and extents</x:v>
      </x:c>
      <x:c r="E61" s="81" t="n">
        <x:f>IFERROR(INDEX('QS Takeoff'!$E$3:$E$194,MATCH(B61,'QS Takeoff'!$B$3:$B$194,0)),"")</x:f>
        <x:v>1</x:v>
      </x:c>
      <x:c r="F61" s="81" t="str">
        <x:f>IFERROR(INDEX('QS Takeoff'!$D$3:$D$194,MATCH(B61,'QS Takeoff'!$B$3:$B$194,0)),"")</x:f>
        <x:v>LS</x:v>
      </x:c>
      <x:c r="G61" s="81" t="str">
        <x:f>IFERROR(INDEX('QS Takeoff'!$J$3:$J$194,MATCH(B61,'QS Takeoff'!$B$3:$B$194,0)),"")</x:f>
        <x:v>AMBER - MEASURED / FIRST PRINCIPLES</x:v>
      </x:c>
      <x:c r="H61" s="53" t="str">
        <x:v>Silt-fence install/trench/post workfront - 1.7t excavator wet hire</x:v>
      </x:c>
      <x:c r="I61" s="60" t="n">
        <x:v>15</x:v>
      </x:c>
      <x:c r="J61" s="60" t="str">
        <x:v>lm/hr</x:v>
      </x:c>
      <x:c r="K61" s="82" t="n">
        <x:f t="shared" si="0">IF(OR(B61="",I61="",I61=0),"",E61/I61)</x:f>
        <x:v>0.06666666666666667</x:v>
      </x:c>
      <x:c r="L61" s="60" t="n">
        <x:v>15.618345130358737</x:v>
      </x:c>
      <x:c r="M61" s="82" t="n">
        <x:f t="shared" si="1">IF(L61&gt;0,L61,K61)</x:f>
        <x:v>15.618345130358737</x:v>
      </x:c>
      <x:c r="N61" s="53" t="str">
        <x:v>Time x Count</x:v>
      </x:c>
      <x:c r="O61" s="53" t="str">
        <x:v>Plant</x:v>
      </x:c>
      <x:c r="P61" s="53" t="str">
        <x:v>PL-EXC-1.7</x:v>
      </x:c>
      <x:c r="Q61" s="81" t="str">
        <x:f>IFERROR(INDEX('Resource Rate Library'!$C$5:$C$85,MATCH(P61,'Resource Rate Library'!$A$5:$A$85,0)),"")</x:f>
        <x:v>1.7 t excavator wet hire</x:v>
      </x:c>
      <x:c r="R61" s="53" t="n">
        <x:v>1</x:v>
      </x:c>
      <x:c r="S61" s="53"/>
      <x:c r="T61" s="81" t="str">
        <x:f>IFERROR(INDEX('Resource Rate Library'!$E$5:$E$85,MATCH(P61,'Resource Rate Library'!$A$5:$A$85,0)),"")</x:f>
        <x:v>hr</x:v>
      </x:c>
      <x:c r="U61" s="62" t="n">
        <x:v>1</x:v>
      </x:c>
      <x:c r="V61" s="62" t="n">
        <x:v>0</x:v>
      </x:c>
      <x:c r="W61" s="83" t="n">
        <x:f>IFERROR(INDEX('Resource Rate Library'!$I$5:$I$85,MATCH(P61,'Resource Rate Library'!$A$5:$A$85,0)),0)</x:f>
        <x:v>85</x:v>
      </x:c>
      <x:c r="X61" s="52"/>
      <x:c r="Y61" s="83" t="n">
        <x:f t="shared" si="2">IF(X61&gt;0,X61,W61)</x:f>
        <x:v>85</x:v>
      </x:c>
      <x:c r="Z61" s="83" t="n">
        <x:f t="shared" si="3">IF(B61="","",IF(N61="Time x Count",M61*R61*IF(U61="",1,U61)*Y61,IF(N61="QS Qty x Factor",E61*R61*(1+IF(V61="",0,V61))*Y61,IF(N61="Direct Qty",S61*(1+IF(V61="",0,V61))*Y61,IF(N61="Lump Sum / Quote",S61*Y61,0)))))</x:f>
        <x:v>1327.5593360804926</x:v>
      </x:c>
      <x:c r="AA61" s="81" t="str">
        <x:f>IFERROR(INDEX('Resource Rate Library'!$N$5:$N$85,MATCH(P61,'Resource Rate Library'!$A$5:$A$85,0)),"")</x:f>
        <x:v>https://www.asapmachinehire.co.nz/price-list | https://www.nzmachinehire.co.nz/_files/ugd/d7f8c7_1379402df1a242f88fef70fc3ce1475c.pdf</x:v>
      </x:c>
      <x:c r="AB61" s="53" t="str">
        <x:v>DWG231/DWG241 + Cirtex NCI Auckland case study https://cirtexcivil.co.nz/case-studies/nothern-corridor-improvements-nci-auckland/</x:v>
      </x:c>
      <x:c r="AC61" s="59" t="str">
        <x:v>09-Sep-2026</x:v>
      </x:c>
      <x:c r="AD61" s="81" t="str">
        <x:f>IFERROR(INDEX('Resource Rate Library'!$G$5:$G$85,MATCH(P61,'Resource Rate Library'!$A$5:$A$85,0)),"")</x:f>
        <x:v>Yes</x:v>
      </x:c>
      <x:c r="AE61" s="81" t="str">
        <x:f>IFERROR(INDEX('Resource Rate Library'!$H$5:$H$85,MATCH(P61,'Resource Rate Library'!$A$5:$A$85,0)),"")</x:f>
        <x:v>Yes</x:v>
      </x:c>
      <x:c r="AF61" s="53" t="str">
        <x:v>AMBER - conservative productivity application</x:v>
      </x:c>
      <x:c r="AG61" s="53" t="str">
        <x:v>234.3m / 15m/hr = 15.62h. Tender control is 75% of &gt;20lm/hr experienced 4-person case-study.</x:v>
      </x:c>
      <x:c r="AH61" s="53" t="str">
        <x:v>Yes</x:v>
      </x:c>
      <x:c r="AI61" s="81" t="str">
        <x:f>IF(B61="","",IF(AND(P61="",N61&lt;&gt;"Lump Sum / Quote"),"RESOURCE CODE",IF(Y61=0,"RATE MISSING",IF(AND(O61="Plant",AD61="Yes",COUNTIFS($B$7:$B$306,B61,$O$7:$O$306,"Labour",$Q$7:$Q$306,"*Operator*")&gt;0),"OPERATOR DOUBLE-COUNT",IF(AND(O61="Plant",AE61="Yes",COUNTIFS($B$7:$B$306,B61,$Q$7:$Q$306,"*Fuel*")&gt;0),"FUEL DOUBLE-COUNT",IF(AH61&lt;&gt;"Yes","VERIFY","OK"))))))</x:f>
        <x:v>OK</x:v>
      </x:c>
      <x:c r="AJ61" s="54" t="str">
        <x:v>Wet hire includes operator/fuel; no separate operator.</x:v>
      </x:c>
      <x:c r="AK61" s="473" t="str">
        <x:v>Yes</x:v>
      </x:c>
      <x:c r="AL61" s="473" t="str">
        <x:v>Erosion &amp; sediment controls</x:v>
      </x:c>
      <x:c r="AM61" s="473" t="str">
        <x:v>AMBER - initial installation weather exposed</x:v>
      </x:c>
      <x:c r="AN61" s="500" t="n">
        <x:f>IF(AND(AK61="Yes",OR(O61="Labour",O61="Plant")),Z61,0)</x:f>
        <x:v>1327.5593360804926</x:v>
      </x:c>
    </x:row>
    <x:row r="62" ht="22.049999237060547" customHeight="1">
      <x:c r="A62" s="80" t="str">
        <x:f>IF(B62="","",B62&amp;"-"&amp;TEXT(COUNTIF($B$7:B62,B62),"000"))</x:f>
        <x:v>ESC01-008</x:v>
      </x:c>
      <x:c r="B62" s="53" t="str">
        <x:v>ESC01</x:v>
      </x:c>
      <x:c r="C62" s="81" t="str">
        <x:f>IFERROR(INDEX('QS Takeoff'!$A$3:$A$194,MATCH(B62,'QS Takeoff'!$B$3:$B$194,0)),"")</x:f>
        <x:v>Erosion &amp; Sediment Control</x:v>
      </x:c>
      <x:c r="D62" s="81" t="str">
        <x:f>IFERROR(INDEX('QS Takeoff'!$C$3:$C$194,MATCH(B62,'QS Takeoff'!$B$3:$B$194,0)),"")</x:f>
        <x:v>Erosion &amp; sediment control - site-specific layout and extents</x:v>
      </x:c>
      <x:c r="E62" s="81" t="n">
        <x:f>IFERROR(INDEX('QS Takeoff'!$E$3:$E$194,MATCH(B62,'QS Takeoff'!$B$3:$B$194,0)),"")</x:f>
        <x:v>1</x:v>
      </x:c>
      <x:c r="F62" s="81" t="str">
        <x:f>IFERROR(INDEX('QS Takeoff'!$D$3:$D$194,MATCH(B62,'QS Takeoff'!$B$3:$B$194,0)),"")</x:f>
        <x:v>LS</x:v>
      </x:c>
      <x:c r="G62" s="81" t="str">
        <x:f>IFERROR(INDEX('QS Takeoff'!$J$3:$J$194,MATCH(B62,'QS Takeoff'!$B$3:$B$194,0)),"")</x:f>
        <x:v>AMBER - MEASURED / FIRST PRINCIPLES</x:v>
      </x:c>
      <x:c r="H62" s="53" t="str">
        <x:v>Silt-fence install crew - 3 civil labourers</x:v>
      </x:c>
      <x:c r="I62" s="60" t="n">
        <x:v>15</x:v>
      </x:c>
      <x:c r="J62" s="60" t="str">
        <x:v>lm/hr</x:v>
      </x:c>
      <x:c r="K62" s="82" t="n">
        <x:f t="shared" si="0">IF(OR(B62="",I62="",I62=0),"",E62/I62)</x:f>
        <x:v>0.06666666666666667</x:v>
      </x:c>
      <x:c r="L62" s="60" t="n">
        <x:v>15.618345130358737</x:v>
      </x:c>
      <x:c r="M62" s="82" t="n">
        <x:f t="shared" si="1">IF(L62&gt;0,L62,K62)</x:f>
        <x:v>15.618345130358737</x:v>
      </x:c>
      <x:c r="N62" s="53" t="str">
        <x:v>Time x Count</x:v>
      </x:c>
      <x:c r="O62" s="53" t="str">
        <x:v>Labour</x:v>
      </x:c>
      <x:c r="P62" s="53" t="str">
        <x:v>LAB-LABOURER</x:v>
      </x:c>
      <x:c r="Q62" s="81" t="str">
        <x:f>IFERROR(INDEX('Resource Rate Library'!$C$5:$C$85,MATCH(P62,'Resource Rate Library'!$A$5:$A$85,0)),"")</x:f>
        <x:v>Civil labourer</x:v>
      </x:c>
      <x:c r="R62" s="53" t="n">
        <x:v>3</x:v>
      </x:c>
      <x:c r="S62" s="53"/>
      <x:c r="T62" s="81" t="str">
        <x:f>IFERROR(INDEX('Resource Rate Library'!$E$5:$E$85,MATCH(P62,'Resource Rate Library'!$A$5:$A$85,0)),"")</x:f>
        <x:v>hr</x:v>
      </x:c>
      <x:c r="U62" s="62" t="n">
        <x:v>1</x:v>
      </x:c>
      <x:c r="V62" s="62" t="n">
        <x:v>0</x:v>
      </x:c>
      <x:c r="W62" s="83" t="n">
        <x:f>IFERROR(INDEX('Resource Rate Library'!$I$5:$I$85,MATCH(P62,'Resource Rate Library'!$A$5:$A$85,0)),0)</x:f>
        <x:v>38</x:v>
      </x:c>
      <x:c r="X62" s="52"/>
      <x:c r="Y62" s="83" t="n">
        <x:f t="shared" si="2">IF(X62&gt;0,X62,W62)</x:f>
        <x:v>38</x:v>
      </x:c>
      <x:c r="Z62" s="83" t="n">
        <x:f t="shared" si="3">IF(B62="","",IF(N62="Time x Count",M62*R62*IF(U62="",1,U62)*Y62,IF(N62="QS Qty x Factor",E62*R62*(1+IF(V62="",0,V62))*Y62,IF(N62="Direct Qty",S62*(1+IF(V62="",0,V62))*Y62,IF(N62="Lump Sum / Quote",S62*Y62,0)))))</x:f>
        <x:v>1780.491344860896</x:v>
      </x:c>
      <x:c r="AA62" s="81" t="str">
        <x:f>IFERROR(INDEX('Resource Rate Library'!$N$5:$N$85,MATCH(P62,'Resource Rate Library'!$A$5:$A$85,0)),"")</x:f>
        <x:v>https://nz.seek.com/civil-drainage-jobs/in-All-Auckland | https://nz.seek.com/drainage-foreman-jobs/in-All-Auckland/full-time</x:v>
      </x:c>
      <x:c r="AB62" s="53" t="str">
        <x:v>DWG241 + Cirtex NCI Auckland case study https://cirtexcivil.co.nz/case-studies/nothern-corridor-improvements-nci-auckland/</x:v>
      </x:c>
      <x:c r="AC62" s="59" t="str">
        <x:v>09-Sep-2026</x:v>
      </x:c>
      <x:c r="AD62" s="81" t="str">
        <x:f>IFERROR(INDEX('Resource Rate Library'!$G$5:$G$85,MATCH(P62,'Resource Rate Library'!$A$5:$A$85,0)),"")</x:f>
        <x:v>N/A</x:v>
      </x:c>
      <x:c r="AE62" s="81" t="str">
        <x:f>IFERROR(INDEX('Resource Rate Library'!$H$5:$H$85,MATCH(P62,'Resource Rate Library'!$A$5:$A$85,0)),"")</x:f>
        <x:v>N/A</x:v>
      </x:c>
      <x:c r="AF62" s="53" t="str">
        <x:v>AMBER - labour cost/productivity application</x:v>
      </x:c>
      <x:c r="AG62" s="53" t="str">
        <x:v>3 labourers + wet-hire excavator/operator = 4-person workfront for 15.62h.</x:v>
      </x:c>
      <x:c r="AH62" s="53" t="str">
        <x:v>Yes</x:v>
      </x:c>
      <x:c r="AI62" s="81" t="str">
        <x:f>IF(B62="","",IF(AND(P62="",N62&lt;&gt;"Lump Sum / Quote"),"RESOURCE CODE",IF(Y62=0,"RATE MISSING",IF(AND(O62="Plant",AD62="Yes",COUNTIFS($B$7:$B$306,B62,$O$7:$O$306,"Labour",$Q$7:$Q$306,"*Operator*")&gt;0),"OPERATOR DOUBLE-COUNT",IF(AND(O62="Plant",AE62="Yes",COUNTIFS($B$7:$B$306,B62,$Q$7:$Q$306,"*Fuel*")&gt;0),"FUEL DOUBLE-COUNT",IF(AH62&lt;&gt;"Yes","VERIFY","OK"))))))</x:f>
        <x:v>OK</x:v>
      </x:c>
      <x:c r="AJ62" s="54" t="str">
        <x:v>Crew installs posts, wire, fabric, trench backfill and return joints.</x:v>
      </x:c>
      <x:c r="AK62" s="473" t="str">
        <x:v>Yes</x:v>
      </x:c>
      <x:c r="AL62" s="473" t="str">
        <x:v>Erosion &amp; sediment controls</x:v>
      </x:c>
      <x:c r="AM62" s="473" t="str">
        <x:v>AMBER - initial installation weather exposed</x:v>
      </x:c>
      <x:c r="AN62" s="500" t="n">
        <x:f>IF(AND(AK62="Yes",OR(O62="Labour",O62="Plant")),Z62,0)</x:f>
        <x:v>1780.491344860896</x:v>
      </x:c>
    </x:row>
    <x:row r="63" ht="22.049999237060547" customHeight="1">
      <x:c r="A63" s="80" t="str">
        <x:f>IF(B63="","",B63&amp;"-"&amp;TEXT(COUNTIF($B$7:B63,B63),"000"))</x:f>
        <x:v>ESC01-009</x:v>
      </x:c>
      <x:c r="B63" s="53" t="str">
        <x:v>ESC01</x:v>
      </x:c>
      <x:c r="C63" s="81" t="str">
        <x:f>IFERROR(INDEX('QS Takeoff'!$A$3:$A$194,MATCH(B63,'QS Takeoff'!$B$3:$B$194,0)),"")</x:f>
        <x:v>Erosion &amp; Sediment Control</x:v>
      </x:c>
      <x:c r="D63" s="81" t="str">
        <x:f>IFERROR(INDEX('QS Takeoff'!$C$3:$C$194,MATCH(B63,'QS Takeoff'!$B$3:$B$194,0)),"")</x:f>
        <x:v>Erosion &amp; sediment control - site-specific layout and extents</x:v>
      </x:c>
      <x:c r="E63" s="81" t="n">
        <x:f>IFERROR(INDEX('QS Takeoff'!$E$3:$E$194,MATCH(B63,'QS Takeoff'!$B$3:$B$194,0)),"")</x:f>
        <x:v>1</x:v>
      </x:c>
      <x:c r="F63" s="81" t="str">
        <x:f>IFERROR(INDEX('QS Takeoff'!$D$3:$D$194,MATCH(B63,'QS Takeoff'!$B$3:$B$194,0)),"")</x:f>
        <x:v>LS</x:v>
      </x:c>
      <x:c r="G63" s="81" t="str">
        <x:f>IFERROR(INDEX('QS Takeoff'!$J$3:$J$194,MATCH(B63,'QS Takeoff'!$B$3:$B$194,0)),"")</x:f>
        <x:v>AMBER - MEASURED / FIRST PRINCIPLES</x:v>
      </x:c>
      <x:c r="H63" s="53" t="str">
        <x:v>Stabilised-entrance geotextile - one AS280 1.9x50m roll</x:v>
      </x:c>
      <x:c r="I63" s="60"/>
      <x:c r="J63" s="60"/>
      <x:c r="K63" s="82" t="str">
        <x:f t="shared" si="0">IF(OR(B63="",I63="",I63=0),"",E63/I63)</x:f>
      </x:c>
      <x:c r="L63" s="60"/>
      <x:c r="M63" s="82" t="str">
        <x:f t="shared" si="1">IF(L63&gt;0,L63,K63)</x:f>
      </x:c>
      <x:c r="N63" s="53" t="str">
        <x:v>Direct Qty</x:v>
      </x:c>
      <x:c r="O63" s="53" t="str">
        <x:v>Material</x:v>
      </x:c>
      <x:c r="P63" s="53" t="str">
        <x:v>MAT-GEOTEX-AS280ROLL</x:v>
      </x:c>
      <x:c r="Q63" s="81" t="str">
        <x:f>IFERROR(INDEX('Resource Rate Library'!$C$5:$C$85,MATCH(P63,'Resource Rate Library'!$A$5:$A$85,0)),"")</x:f>
        <x:v>Duraforce AS280 geotextile 1.9 x 50m roll, code 76021</x:v>
      </x:c>
      <x:c r="R63" s="53"/>
      <x:c r="S63" s="53" t="n">
        <x:v>1</x:v>
      </x:c>
      <x:c r="T63" s="81" t="str">
        <x:f>IFERROR(INDEX('Resource Rate Library'!$E$5:$E$85,MATCH(P63,'Resource Rate Library'!$A$5:$A$85,0)),"")</x:f>
        <x:v>roll</x:v>
      </x:c>
      <x:c r="U63" s="62" t="n">
        <x:v>1</x:v>
      </x:c>
      <x:c r="V63" s="62" t="n">
        <x:v>0</x:v>
      </x:c>
      <x:c r="W63" s="83" t="n">
        <x:f>IFERROR(INDEX('Resource Rate Library'!$I$5:$I$85,MATCH(P63,'Resource Rate Library'!$A$5:$A$85,0)),0)</x:f>
        <x:v>176.64</x:v>
      </x:c>
      <x:c r="X63" s="52"/>
      <x:c r="Y63" s="83" t="n">
        <x:f t="shared" si="2">IF(X63&gt;0,X63,W63)</x:f>
        <x:v>176.64</x:v>
      </x:c>
      <x:c r="Z63" s="83" t="n">
        <x:f t="shared" si="3">IF(B63="","",IF(N63="Time x Count",M63*R63*IF(U63="",1,U63)*Y63,IF(N63="QS Qty x Factor",E63*R63*(1+IF(V63="",0,V63))*Y63,IF(N63="Direct Qty",S63*(1+IF(V63="",0,V63))*Y63,IF(N63="Lump Sum / Quote",S63*Y63,0)))))</x:f>
        <x:v>176.64</x:v>
      </x:c>
      <x:c r="AA63" s="81" t="str">
        <x:f>IFERROR(INDEX('Resource Rate Library'!$N$5:$N$85,MATCH(P63,'Resource Rate Library'!$A$5:$A$85,0)),"")</x:f>
        <x:v>CARTERS Standard Price Book export 08-Sep-2026</x:v>
      </x:c>
      <x:c r="AB63" s="53" t="str">
        <x:v>DWG241 49m2 entrance + CARTERS 08-Sep-2026</x:v>
      </x:c>
      <x:c r="AC63" s="59" t="str">
        <x:v>09-Sep-2026</x:v>
      </x:c>
      <x:c r="AD63" s="81" t="str">
        <x:f>IFERROR(INDEX('Resource Rate Library'!$G$5:$G$85,MATCH(P63,'Resource Rate Library'!$A$5:$A$85,0)),"")</x:f>
        <x:v>N/A</x:v>
      </x:c>
      <x:c r="AE63" s="81" t="str">
        <x:f>IFERROR(INDEX('Resource Rate Library'!$H$5:$H$85,MATCH(P63,'Resource Rate Library'!$A$5:$A$85,0)),"")</x:f>
        <x:v>N/A</x:v>
      </x:c>
      <x:c r="AF63" s="53" t="str">
        <x:v>AMBER - current primary / final grade confirmation</x:v>
      </x:c>
      <x:c r="AG63" s="53" t="str">
        <x:v>One 95m2 roll covers 49m2 entrance with overlap/cut reserve.</x:v>
      </x:c>
      <x:c r="AH63" s="53" t="str">
        <x:v>Yes</x:v>
      </x:c>
      <x:c r="AI63" s="81" t="str">
        <x:f>IF(B63="","",IF(AND(P63="",N63&lt;&gt;"Lump Sum / Quote"),"RESOURCE CODE",IF(Y63=0,"RATE MISSING",IF(AND(O63="Plant",AD63="Yes",COUNTIFS($B$7:$B$306,B63,$O$7:$O$306,"Labour",$Q$7:$Q$306,"*Operator*")&gt;0),"OPERATOR DOUBLE-COUNT",IF(AND(O63="Plant",AE63="Yes",COUNTIFS($B$7:$B$306,B63,$Q$7:$Q$306,"*Fuel*")&gt;0),"FUEL DOUBLE-COUNT",IF(AH63&lt;&gt;"Yes","VERIFY","OK"))))))</x:f>
        <x:v>OK</x:v>
      </x:c>
      <x:c r="AJ63" s="54" t="str">
        <x:v>Final approved geotextile product to confirm before order.</x:v>
      </x:c>
      <x:c r="AK63" s="473" t="str">
        <x:v>No</x:v>
      </x:c>
      <x:c r="AL63" s="473"/>
      <x:c r="AM63" s="473"/>
      <x:c r="AN63" s="500" t="n">
        <x:f>IF(AND(AK63="Yes",OR(O63="Labour",O63="Plant")),Z63,0)</x:f>
        <x:v>0</x:v>
      </x:c>
    </x:row>
    <x:row r="64" ht="22.049999237060547" customHeight="1">
      <x:c r="A64" s="80" t="str">
        <x:f>IF(B64="","",B64&amp;"-"&amp;TEXT(COUNTIF($B$7:B64,B64),"000"))</x:f>
        <x:v>ESC01-010</x:v>
      </x:c>
      <x:c r="B64" s="53" t="str">
        <x:v>ESC01</x:v>
      </x:c>
      <x:c r="C64" s="81" t="str">
        <x:f>IFERROR(INDEX('QS Takeoff'!$A$3:$A$194,MATCH(B64,'QS Takeoff'!$B$3:$B$194,0)),"")</x:f>
        <x:v>Erosion &amp; Sediment Control</x:v>
      </x:c>
      <x:c r="D64" s="81" t="str">
        <x:f>IFERROR(INDEX('QS Takeoff'!$C$3:$C$194,MATCH(B64,'QS Takeoff'!$B$3:$B$194,0)),"")</x:f>
        <x:v>Erosion &amp; sediment control - site-specific layout and extents</x:v>
      </x:c>
      <x:c r="E64" s="81" t="n">
        <x:f>IFERROR(INDEX('QS Takeoff'!$E$3:$E$194,MATCH(B64,'QS Takeoff'!$B$3:$B$194,0)),"")</x:f>
        <x:v>1</x:v>
      </x:c>
      <x:c r="F64" s="81" t="str">
        <x:f>IFERROR(INDEX('QS Takeoff'!$D$3:$D$194,MATCH(B64,'QS Takeoff'!$B$3:$B$194,0)),"")</x:f>
        <x:v>LS</x:v>
      </x:c>
      <x:c r="G64" s="81" t="str">
        <x:f>IFERROR(INDEX('QS Takeoff'!$J$3:$J$194,MATCH(B64,'QS Takeoff'!$B$3:$B$194,0)),"")</x:f>
        <x:v>AMBER - MEASURED / FIRST PRINCIPLES</x:v>
      </x:c>
      <x:c r="H64" s="53" t="str">
        <x:v>Stabilised-entrance 50-150mm aggregate</x:v>
      </x:c>
      <x:c r="I64" s="60"/>
      <x:c r="J64" s="60"/>
      <x:c r="K64" s="82" t="str">
        <x:f t="shared" si="0">IF(OR(B64="",I64="",I64=0),"",E64/I64)</x:f>
      </x:c>
      <x:c r="L64" s="60"/>
      <x:c r="M64" s="82" t="str">
        <x:f t="shared" si="1">IF(L64&gt;0,L64,K64)</x:f>
      </x:c>
      <x:c r="N64" s="53" t="str">
        <x:v>Direct Qty</x:v>
      </x:c>
      <x:c r="O64" s="53" t="str">
        <x:v>Material</x:v>
      </x:c>
      <x:c r="P64" s="53" t="str">
        <x:v>MAT-ESC-AGG15050</x:v>
      </x:c>
      <x:c r="Q64" s="81" t="str">
        <x:f>IFERROR(INDEX('Resource Rate Library'!$C$5:$C$85,MATCH(P64,'Resource Rate Library'!$A$5:$A$85,0)),"")</x:f>
        <x:v>SGC 150/50 aggregate - stabilised entrance size control</x:v>
      </x:c>
      <x:c r="R64" s="53"/>
      <x:c r="S64" s="53" t="n">
        <x:v>7.7175</x:v>
      </x:c>
      <x:c r="T64" s="81" t="str">
        <x:f>IFERROR(INDEX('Resource Rate Library'!$E$5:$E$85,MATCH(P64,'Resource Rate Library'!$A$5:$A$85,0)),"")</x:f>
        <x:v>t</x:v>
      </x:c>
      <x:c r="U64" s="62" t="n">
        <x:v>1</x:v>
      </x:c>
      <x:c r="V64" s="62" t="n">
        <x:v>0</x:v>
      </x:c>
      <x:c r="W64" s="83" t="n">
        <x:f>IFERROR(INDEX('Resource Rate Library'!$I$5:$I$85,MATCH(P64,'Resource Rate Library'!$A$5:$A$85,0)),0)</x:f>
        <x:v>42</x:v>
      </x:c>
      <x:c r="X64" s="52"/>
      <x:c r="Y64" s="83" t="n">
        <x:f t="shared" si="2">IF(X64&gt;0,X64,W64)</x:f>
        <x:v>42</x:v>
      </x:c>
      <x:c r="Z64" s="83" t="n">
        <x:f t="shared" si="3">IF(B64="","",IF(N64="Time x Count",M64*R64*IF(U64="",1,U64)*Y64,IF(N64="QS Qty x Factor",E64*R64*(1+IF(V64="",0,V64))*Y64,IF(N64="Direct Qty",S64*(1+IF(V64="",0,V64))*Y64,IF(N64="Lump Sum / Quote",S64*Y64,0)))))</x:f>
        <x:v>324.135</x:v>
      </x:c>
      <x:c r="AA64" s="81" t="str">
        <x:f>IFERROR(INDEX('Resource Rate Library'!$N$5:$N$85,MATCH(P64,'Resource Rate Library'!$A$5:$A$85,0)),"")</x:f>
        <x:v>https://www.thelandingquarry.co.nz/products</x:v>
      </x:c>
      <x:c r="AB64" s="53" t="str">
        <x:v>DWG241: 49m2 x150mm; Landing Quarry SGC150/50 https://www.thelandingquarry.co.nz/products</x:v>
      </x:c>
      <x:c r="AC64" s="59" t="str">
        <x:v>09-Sep-2026</x:v>
      </x:c>
      <x:c r="AD64" s="81" t="str">
        <x:f>IFERROR(INDEX('Resource Rate Library'!$G$5:$G$85,MATCH(P64,'Resource Rate Library'!$A$5:$A$85,0)),"")</x:f>
        <x:v>N/A</x:v>
      </x:c>
      <x:c r="AE64" s="81" t="str">
        <x:f>IFERROR(INDEX('Resource Rate Library'!$H$5:$H$85,MATCH(P64,'Resource Rate Library'!$A$5:$A$85,0)),"")</x:f>
        <x:v>N/A</x:v>
      </x:c>
      <x:c r="AF64" s="53" t="str">
        <x:v>AMBER - exact size current / washed status and delivery open</x:v>
      </x:c>
      <x:c r="AG64" s="53" t="str">
        <x:v>49m2 x0.15m = 7.35m3 x1.05t/m3 = 7.72t.</x:v>
      </x:c>
      <x:c r="AH64" s="53" t="str">
        <x:v>Yes</x:v>
      </x:c>
      <x:c r="AI64" s="81" t="str">
        <x:f>IF(B64="","",IF(AND(P64="",N64&lt;&gt;"Lump Sum / Quote"),"RESOURCE CODE",IF(Y64=0,"RATE MISSING",IF(AND(O64="Plant",AD64="Yes",COUNTIFS($B$7:$B$306,B64,$O$7:$O$306,"Labour",$Q$7:$Q$306,"*Operator*")&gt;0),"OPERATOR DOUBLE-COUNT",IF(AND(O64="Plant",AE64="Yes",COUNTIFS($B$7:$B$306,B64,$Q$7:$Q$306,"*Fuel*")&gt;0),"FUEL DOUBLE-COUNT",IF(AH64&lt;&gt;"Yes","VERIFY","OK"))))))</x:f>
        <x:v>OK</x:v>
      </x:c>
      <x:c r="AJ64" s="54" t="str">
        <x:v>Published product matches 150/50 size; supplier must confirm washed material and project acceptance.</x:v>
      </x:c>
      <x:c r="AK64" s="473" t="str">
        <x:v>No</x:v>
      </x:c>
      <x:c r="AL64" s="473"/>
      <x:c r="AM64" s="473"/>
      <x:c r="AN64" s="500" t="n">
        <x:f>IF(AND(AK64="Yes",OR(O64="Labour",O64="Plant")),Z64,0)</x:f>
        <x:v>0</x:v>
      </x:c>
    </x:row>
    <x:row r="65" ht="22.049999237060547" customHeight="1">
      <x:c r="A65" s="80" t="str">
        <x:f>IF(B65="","",B65&amp;"-"&amp;TEXT(COUNTIF($B$7:B65,B65),"000"))</x:f>
        <x:v>ESC01-011</x:v>
      </x:c>
      <x:c r="B65" s="53" t="str">
        <x:v>ESC01</x:v>
      </x:c>
      <x:c r="C65" s="81" t="str">
        <x:f>IFERROR(INDEX('QS Takeoff'!$A$3:$A$194,MATCH(B65,'QS Takeoff'!$B$3:$B$194,0)),"")</x:f>
        <x:v>Erosion &amp; Sediment Control</x:v>
      </x:c>
      <x:c r="D65" s="81" t="str">
        <x:f>IFERROR(INDEX('QS Takeoff'!$C$3:$C$194,MATCH(B65,'QS Takeoff'!$B$3:$B$194,0)),"")</x:f>
        <x:v>Erosion &amp; sediment control - site-specific layout and extents</x:v>
      </x:c>
      <x:c r="E65" s="81" t="n">
        <x:f>IFERROR(INDEX('QS Takeoff'!$E$3:$E$194,MATCH(B65,'QS Takeoff'!$B$3:$B$194,0)),"")</x:f>
        <x:v>1</x:v>
      </x:c>
      <x:c r="F65" s="81" t="str">
        <x:f>IFERROR(INDEX('QS Takeoff'!$D$3:$D$194,MATCH(B65,'QS Takeoff'!$B$3:$B$194,0)),"")</x:f>
        <x:v>LS</x:v>
      </x:c>
      <x:c r="G65" s="81" t="str">
        <x:f>IFERROR(INDEX('QS Takeoff'!$J$3:$J$194,MATCH(B65,'QS Takeoff'!$B$3:$B$194,0)),"")</x:f>
        <x:v>AMBER - MEASURED / FIRST PRINCIPLES</x:v>
      </x:c>
      <x:c r="H65" s="53" t="str">
        <x:v>Stabilised-entrance aggregate delivery/cartage proxy</x:v>
      </x:c>
      <x:c r="I65" s="60"/>
      <x:c r="J65" s="60"/>
      <x:c r="K65" s="82" t="str">
        <x:f t="shared" si="0">IF(OR(B65="",I65="",I65=0),"",E65/I65)</x:f>
      </x:c>
      <x:c r="L65" s="60" t="n">
        <x:v>2.5</x:v>
      </x:c>
      <x:c r="M65" s="82" t="n">
        <x:f t="shared" si="1">IF(L65&gt;0,L65,K65)</x:f>
        <x:v>2.5</x:v>
      </x:c>
      <x:c r="N65" s="53" t="str">
        <x:v>Time x Count</x:v>
      </x:c>
      <x:c r="O65" s="53" t="str">
        <x:v>Other</x:v>
      </x:c>
      <x:c r="P65" s="53" t="str">
        <x:v>OTH-PLANT-TRANSPORT-PROXY</x:v>
      </x:c>
      <x:c r="Q65" s="81" t="str">
        <x:f>IFERROR(INDEX('Resource Rate Library'!$C$5:$C$85,MATCH(P65,'Resource Rate Library'!$A$5:$A$85,0)),"")</x:f>
        <x:v>Plant mobilisation / transporter wet-hire proxy</x:v>
      </x:c>
      <x:c r="R65" s="53" t="n">
        <x:v>1</x:v>
      </x:c>
      <x:c r="S65" s="53"/>
      <x:c r="T65" s="81" t="str">
        <x:f>IFERROR(INDEX('Resource Rate Library'!$E$5:$E$85,MATCH(P65,'Resource Rate Library'!$A$5:$A$85,0)),"")</x:f>
        <x:v>hr</x:v>
      </x:c>
      <x:c r="U65" s="62" t="n">
        <x:v>1</x:v>
      </x:c>
      <x:c r="V65" s="62" t="n">
        <x:v>0</x:v>
      </x:c>
      <x:c r="W65" s="83" t="n">
        <x:f>IFERROR(INDEX('Resource Rate Library'!$I$5:$I$85,MATCH(P65,'Resource Rate Library'!$A$5:$A$85,0)),0)</x:f>
        <x:v>175</x:v>
      </x:c>
      <x:c r="X65" s="52"/>
      <x:c r="Y65" s="83" t="n">
        <x:f t="shared" si="2">IF(X65&gt;0,X65,W65)</x:f>
        <x:v>175</x:v>
      </x:c>
      <x:c r="Z65" s="83" t="n">
        <x:f t="shared" si="3">IF(B65="","",IF(N65="Time x Count",M65*R65*IF(U65="",1,U65)*Y65,IF(N65="QS Qty x Factor",E65*R65*(1+IF(V65="",0,V65))*Y65,IF(N65="Direct Qty",S65*(1+IF(V65="",0,V65))*Y65,IF(N65="Lump Sum / Quote",S65*Y65,0)))))</x:f>
        <x:v>437.5</x:v>
      </x:c>
      <x:c r="AA65" s="81" t="str">
        <x:f>IFERROR(INDEX('Resource Rate Library'!$N$5:$N$85,MATCH(P65,'Resource Rate Library'!$A$5:$A$85,0)),"")</x:f>
        <x:v>https://www.asapmachinehire.co.nz/price-list</x:v>
      </x:c>
      <x:c r="AB65" s="53" t="str">
        <x:v>Current workbook transport proxy; actual delivered aggregate/cartage quote still required</x:v>
      </x:c>
      <x:c r="AC65" s="59" t="str">
        <x:v>09-Sep-2026</x:v>
      </x:c>
      <x:c r="AD65" s="81" t="str">
        <x:f>IFERROR(INDEX('Resource Rate Library'!$G$5:$G$85,MATCH(P65,'Resource Rate Library'!$A$5:$A$85,0)),"")</x:f>
        <x:v>Yes</x:v>
      </x:c>
      <x:c r="AE65" s="81" t="str">
        <x:f>IFERROR(INDEX('Resource Rate Library'!$H$5:$H$85,MATCH(P65,'Resource Rate Library'!$A$5:$A$85,0)),"")</x:f>
        <x:v>Yes</x:v>
      </x:c>
      <x:c r="AF65" s="53" t="str">
        <x:v>AMBER - transport proxy</x:v>
      </x:c>
      <x:c r="AG65" s="53" t="str">
        <x:v>2.5h x current $175/hr transport proxy; remove if supplier delivered rate includes freight.</x:v>
      </x:c>
      <x:c r="AH65" s="53" t="str">
        <x:v>Yes</x:v>
      </x:c>
      <x:c r="AI65" s="81" t="str">
        <x:f>IF(B65="","",IF(AND(P65="",N65&lt;&gt;"Lump Sum / Quote"),"RESOURCE CODE",IF(Y65=0,"RATE MISSING",IF(AND(O65="Plant",AD65="Yes",COUNTIFS($B$7:$B$306,B65,$O$7:$O$306,"Labour",$Q$7:$Q$306,"*Operator*")&gt;0),"OPERATOR DOUBLE-COUNT",IF(AND(O65="Plant",AE65="Yes",COUNTIFS($B$7:$B$306,B65,$Q$7:$Q$306,"*Fuel*")&gt;0),"FUEL DOUBLE-COUNT",IF(AH65&lt;&gt;"Yes","VERIFY","OK"))))))</x:f>
        <x:v>OK</x:v>
      </x:c>
      <x:c r="AJ65" s="54" t="str">
        <x:v>Single ESC delivery path only; no duplicate freight.</x:v>
      </x:c>
      <x:c r="AK65" s="473" t="str">
        <x:v>No</x:v>
      </x:c>
      <x:c r="AL65" s="473"/>
      <x:c r="AM65" s="473"/>
      <x:c r="AN65" s="500" t="n">
        <x:f>IF(AND(AK65="Yes",OR(O65="Labour",O65="Plant")),Z65,0)</x:f>
        <x:v>0</x:v>
      </x:c>
    </x:row>
    <x:row r="66" ht="22.049999237060547" customHeight="1">
      <x:c r="A66" s="80" t="str">
        <x:f>IF(B66="","",B66&amp;"-"&amp;TEXT(COUNTIF($B$7:B66,B66),"000"))</x:f>
        <x:v>ESC01-012</x:v>
      </x:c>
      <x:c r="B66" s="53" t="str">
        <x:v>ESC01</x:v>
      </x:c>
      <x:c r="C66" s="81" t="str">
        <x:f>IFERROR(INDEX('QS Takeoff'!$A$3:$A$194,MATCH(B66,'QS Takeoff'!$B$3:$B$194,0)),"")</x:f>
        <x:v>Erosion &amp; Sediment Control</x:v>
      </x:c>
      <x:c r="D66" s="81" t="str">
        <x:f>IFERROR(INDEX('QS Takeoff'!$C$3:$C$194,MATCH(B66,'QS Takeoff'!$B$3:$B$194,0)),"")</x:f>
        <x:v>Erosion &amp; sediment control - site-specific layout and extents</x:v>
      </x:c>
      <x:c r="E66" s="81" t="n">
        <x:f>IFERROR(INDEX('QS Takeoff'!$E$3:$E$194,MATCH(B66,'QS Takeoff'!$B$3:$B$194,0)),"")</x:f>
        <x:v>1</x:v>
      </x:c>
      <x:c r="F66" s="81" t="str">
        <x:f>IFERROR(INDEX('QS Takeoff'!$D$3:$D$194,MATCH(B66,'QS Takeoff'!$B$3:$B$194,0)),"")</x:f>
        <x:v>LS</x:v>
      </x:c>
      <x:c r="G66" s="81" t="str">
        <x:f>IFERROR(INDEX('QS Takeoff'!$J$3:$J$194,MATCH(B66,'QS Takeoff'!$B$3:$B$194,0)),"")</x:f>
        <x:v>AMBER - MEASURED / FIRST PRINCIPLES</x:v>
      </x:c>
      <x:c r="H66" s="53" t="str">
        <x:v>Stabilised-entrance formation/geotextile/aggregate placement - 5.5t excavator</x:v>
      </x:c>
      <x:c r="I66" s="60"/>
      <x:c r="J66" s="60"/>
      <x:c r="K66" s="82" t="str">
        <x:f t="shared" si="0">IF(OR(B66="",I66="",I66=0),"",E66/I66)</x:f>
      </x:c>
      <x:c r="L66" s="60" t="n">
        <x:v>4</x:v>
      </x:c>
      <x:c r="M66" s="82" t="n">
        <x:f t="shared" si="1">IF(L66&gt;0,L66,K66)</x:f>
        <x:v>4</x:v>
      </x:c>
      <x:c r="N66" s="53" t="str">
        <x:v>Time x Count</x:v>
      </x:c>
      <x:c r="O66" s="53" t="str">
        <x:v>Plant</x:v>
      </x:c>
      <x:c r="P66" s="53" t="str">
        <x:v>PL-EXC-5</x:v>
      </x:c>
      <x:c r="Q66" s="81" t="str">
        <x:f>IFERROR(INDEX('Resource Rate Library'!$C$5:$C$85,MATCH(P66,'Resource Rate Library'!$A$5:$A$85,0)),"")</x:f>
        <x:v>5.5 t excavator wet hire</x:v>
      </x:c>
      <x:c r="R66" s="53" t="n">
        <x:v>1</x:v>
      </x:c>
      <x:c r="S66" s="53"/>
      <x:c r="T66" s="81" t="str">
        <x:f>IFERROR(INDEX('Resource Rate Library'!$E$5:$E$85,MATCH(P66,'Resource Rate Library'!$A$5:$A$85,0)),"")</x:f>
        <x:v>hr</x:v>
      </x:c>
      <x:c r="U66" s="62" t="n">
        <x:v>1</x:v>
      </x:c>
      <x:c r="V66" s="62" t="n">
        <x:v>0</x:v>
      </x:c>
      <x:c r="W66" s="83" t="n">
        <x:f>IFERROR(INDEX('Resource Rate Library'!$I$5:$I$85,MATCH(P66,'Resource Rate Library'!$A$5:$A$85,0)),0)</x:f>
        <x:v>110</x:v>
      </x:c>
      <x:c r="X66" s="52"/>
      <x:c r="Y66" s="83" t="n">
        <x:f t="shared" si="2">IF(X66&gt;0,X66,W66)</x:f>
        <x:v>110</x:v>
      </x:c>
      <x:c r="Z66" s="83" t="n">
        <x:f t="shared" si="3">IF(B66="","",IF(N66="Time x Count",M66*R66*IF(U66="",1,U66)*Y66,IF(N66="QS Qty x Factor",E66*R66*(1+IF(V66="",0,V66))*Y66,IF(N66="Direct Qty",S66*(1+IF(V66="",0,V66))*Y66,IF(N66="Lump Sum / Quote",S66*Y66,0)))))</x:f>
        <x:v>440</x:v>
      </x:c>
      <x:c r="AA66" s="81" t="str">
        <x:f>IFERROR(INDEX('Resource Rate Library'!$N$5:$N$85,MATCH(P66,'Resource Rate Library'!$A$5:$A$85,0)),"")</x:f>
        <x:v>https://www.asapmachinehire.co.nz/price-list | https://www.nzmachinehire.co.nz/_files/ugd/d7f8c7_1379402df1a242f88fef70fc3ce1475c.pdf</x:v>
      </x:c>
      <x:c r="AB66" s="53" t="str">
        <x:v>DWG241 + current Hobsonville wet-hire resource</x:v>
      </x:c>
      <x:c r="AC66" s="59" t="str">
        <x:v>09-Sep-2026</x:v>
      </x:c>
      <x:c r="AD66" s="81" t="str">
        <x:f>IFERROR(INDEX('Resource Rate Library'!$G$5:$G$85,MATCH(P66,'Resource Rate Library'!$A$5:$A$85,0)),"")</x:f>
        <x:v>Yes</x:v>
      </x:c>
      <x:c r="AE66" s="81" t="str">
        <x:f>IFERROR(INDEX('Resource Rate Library'!$H$5:$H$85,MATCH(P66,'Resource Rate Library'!$A$5:$A$85,0)),"")</x:f>
        <x:v>Yes</x:v>
      </x:c>
      <x:c r="AF66" s="53" t="str">
        <x:v>AMBER - small-workfront duration allowance</x:v>
      </x:c>
      <x:c r="AG66" s="53" t="str">
        <x:v>4h for clear/grade, geotextile positioning, aggregate placement and shaping.</x:v>
      </x:c>
      <x:c r="AH66" s="53" t="str">
        <x:v>Yes</x:v>
      </x:c>
      <x:c r="AI66" s="81" t="str">
        <x:f t="shared" ref="AI66:AI97" si="5">IF(B66="","",IF(AND(P66="",N66&lt;&gt;"Lump Sum / Quote"),"RESOURCE CODE",IF(Y66=0,"RATE MISSING",IF(AND(O66="Plant",AD66="Yes",COUNTIFS($B$7:$B$306,B66,$O$7:$O$306,"Labour",$Q$7:$Q$306,"*Operator*")&gt;0),"OPERATOR DOUBLE-COUNT",IF(AND(O66="Plant",AE66="Yes",COUNTIFS($B$7:$B$306,B66,$Q$7:$Q$306,"*Fuel*")&gt;0),"FUEL DOUBLE-COUNT",IF(AH66&lt;&gt;"Yes","VERIFY","OK"))))))</x:f>
        <x:v>OK</x:v>
      </x:c>
      <x:c r="AJ66" s="54" t="str">
        <x:v>No roller added: detail requires placement/smoothing rather than pavement-density compaction.</x:v>
      </x:c>
      <x:c r="AK66" s="473" t="str">
        <x:v>Yes</x:v>
      </x:c>
      <x:c r="AL66" s="473" t="str">
        <x:v>Erosion &amp; sediment controls</x:v>
      </x:c>
      <x:c r="AM66" s="473" t="str">
        <x:v>AMBER - initial installation weather exposed</x:v>
      </x:c>
      <x:c r="AN66" s="500" t="n">
        <x:f>IF(AND(AK66="Yes",OR(O66="Labour",O66="Plant")),Z66,0)</x:f>
        <x:v>440</x:v>
      </x:c>
    </x:row>
    <x:row r="67" ht="22.049999237060547" customHeight="1">
      <x:c r="A67" s="80" t="str">
        <x:f>IF(B67="","",B67&amp;"-"&amp;TEXT(COUNTIF($B$7:B67,B67),"000"))</x:f>
        <x:v>ESC01-013</x:v>
      </x:c>
      <x:c r="B67" s="53" t="str">
        <x:v>ESC01</x:v>
      </x:c>
      <x:c r="C67" s="81" t="str">
        <x:f>IFERROR(INDEX('QS Takeoff'!$A$3:$A$194,MATCH(B67,'QS Takeoff'!$B$3:$B$194,0)),"")</x:f>
        <x:v>Erosion &amp; Sediment Control</x:v>
      </x:c>
      <x:c r="D67" s="81" t="str">
        <x:f>IFERROR(INDEX('QS Takeoff'!$C$3:$C$194,MATCH(B67,'QS Takeoff'!$B$3:$B$194,0)),"")</x:f>
        <x:v>Erosion &amp; sediment control - site-specific layout and extents</x:v>
      </x:c>
      <x:c r="E67" s="81" t="n">
        <x:f>IFERROR(INDEX('QS Takeoff'!$E$3:$E$194,MATCH(B67,'QS Takeoff'!$B$3:$B$194,0)),"")</x:f>
        <x:v>1</x:v>
      </x:c>
      <x:c r="F67" s="81" t="str">
        <x:f>IFERROR(INDEX('QS Takeoff'!$D$3:$D$194,MATCH(B67,'QS Takeoff'!$B$3:$B$194,0)),"")</x:f>
        <x:v>LS</x:v>
      </x:c>
      <x:c r="G67" s="81" t="str">
        <x:f>IFERROR(INDEX('QS Takeoff'!$J$3:$J$194,MATCH(B67,'QS Takeoff'!$B$3:$B$194,0)),"")</x:f>
        <x:v>AMBER - MEASURED / FIRST PRINCIPLES</x:v>
      </x:c>
      <x:c r="H67" s="53" t="str">
        <x:v>Stabilised-entrance installation support - 2 civil labourers</x:v>
      </x:c>
      <x:c r="I67" s="60"/>
      <x:c r="J67" s="60"/>
      <x:c r="K67" s="82" t="str">
        <x:f t="shared" si="0">IF(OR(B67="",I67="",I67=0),"",E67/I67)</x:f>
      </x:c>
      <x:c r="L67" s="60" t="n">
        <x:v>4</x:v>
      </x:c>
      <x:c r="M67" s="82" t="n">
        <x:f t="shared" si="1">IF(L67&gt;0,L67,K67)</x:f>
        <x:v>4</x:v>
      </x:c>
      <x:c r="N67" s="53" t="str">
        <x:v>Time x Count</x:v>
      </x:c>
      <x:c r="O67" s="53" t="str">
        <x:v>Labour</x:v>
      </x:c>
      <x:c r="P67" s="53" t="str">
        <x:v>LAB-LABOURER</x:v>
      </x:c>
      <x:c r="Q67" s="81" t="str">
        <x:f>IFERROR(INDEX('Resource Rate Library'!$C$5:$C$85,MATCH(P67,'Resource Rate Library'!$A$5:$A$85,0)),"")</x:f>
        <x:v>Civil labourer</x:v>
      </x:c>
      <x:c r="R67" s="53" t="n">
        <x:v>2</x:v>
      </x:c>
      <x:c r="S67" s="53"/>
      <x:c r="T67" s="81" t="str">
        <x:f>IFERROR(INDEX('Resource Rate Library'!$E$5:$E$85,MATCH(P67,'Resource Rate Library'!$A$5:$A$85,0)),"")</x:f>
        <x:v>hr</x:v>
      </x:c>
      <x:c r="U67" s="62" t="n">
        <x:v>1</x:v>
      </x:c>
      <x:c r="V67" s="62" t="n">
        <x:v>0</x:v>
      </x:c>
      <x:c r="W67" s="83" t="n">
        <x:f>IFERROR(INDEX('Resource Rate Library'!$I$5:$I$85,MATCH(P67,'Resource Rate Library'!$A$5:$A$85,0)),0)</x:f>
        <x:v>38</x:v>
      </x:c>
      <x:c r="X67" s="52"/>
      <x:c r="Y67" s="83" t="n">
        <x:f t="shared" si="2">IF(X67&gt;0,X67,W67)</x:f>
        <x:v>38</x:v>
      </x:c>
      <x:c r="Z67" s="83" t="n">
        <x:f t="shared" si="3">IF(B67="","",IF(N67="Time x Count",M67*R67*IF(U67="",1,U67)*Y67,IF(N67="QS Qty x Factor",E67*R67*(1+IF(V67="",0,V67))*Y67,IF(N67="Direct Qty",S67*(1+IF(V67="",0,V67))*Y67,IF(N67="Lump Sum / Quote",S67*Y67,0)))))</x:f>
        <x:v>304</x:v>
      </x:c>
      <x:c r="AA67" s="81" t="str">
        <x:f>IFERROR(INDEX('Resource Rate Library'!$N$5:$N$85,MATCH(P67,'Resource Rate Library'!$A$5:$A$85,0)),"")</x:f>
        <x:v>https://nz.seek.com/civil-drainage-jobs/in-All-Auckland | https://nz.seek.com/drainage-foreman-jobs/in-All-Auckland/full-time</x:v>
      </x:c>
      <x:c r="AB67" s="53" t="str">
        <x:v>DWG241 + 4h small-workfront control</x:v>
      </x:c>
      <x:c r="AC67" s="59" t="str">
        <x:v>09-Sep-2026</x:v>
      </x:c>
      <x:c r="AD67" s="81" t="str">
        <x:f>IFERROR(INDEX('Resource Rate Library'!$G$5:$G$85,MATCH(P67,'Resource Rate Library'!$A$5:$A$85,0)),"")</x:f>
        <x:v>N/A</x:v>
      </x:c>
      <x:c r="AE67" s="81" t="str">
        <x:f>IFERROR(INDEX('Resource Rate Library'!$H$5:$H$85,MATCH(P67,'Resource Rate Library'!$A$5:$A$85,0)),"")</x:f>
        <x:v>N/A</x:v>
      </x:c>
      <x:c r="AF67" s="53" t="str">
        <x:v>AMBER - labour rate / duration allowance</x:v>
      </x:c>
      <x:c r="AG67" s="53" t="str">
        <x:v>Two labourers for geotextile handling, edge treatment and final clean. Wet-hire machine carries operator/fuel.</x:v>
      </x:c>
      <x:c r="AH67" s="53" t="str">
        <x:v>Yes</x:v>
      </x:c>
      <x:c r="AI67" s="81" t="str">
        <x:f t="shared" si="5">IF(B67="","",IF(AND(P67="",N67&lt;&gt;"Lump Sum / Quote"),"RESOURCE CODE",IF(Y67=0,"RATE MISSING",IF(AND(O67="Plant",AD67="Yes",COUNTIFS($B$7:$B$306,B67,$O$7:$O$306,"Labour",$Q$7:$Q$306,"*Operator*")&gt;0),"OPERATOR DOUBLE-COUNT",IF(AND(O67="Plant",AE67="Yes",COUNTIFS($B$7:$B$306,B67,$Q$7:$Q$306,"*Fuel*")&gt;0),"FUEL DOUBLE-COUNT",IF(AH67&lt;&gt;"Yes","VERIFY","OK"))))))</x:f>
        <x:v>OK</x:v>
      </x:c>
      <x:c r="AJ67" s="54" t="str">
        <x:v>No duplicate operator.</x:v>
      </x:c>
      <x:c r="AK67" s="473" t="str">
        <x:v>Yes</x:v>
      </x:c>
      <x:c r="AL67" s="473" t="str">
        <x:v>Erosion &amp; sediment controls</x:v>
      </x:c>
      <x:c r="AM67" s="473" t="str">
        <x:v>AMBER - initial installation weather exposed</x:v>
      </x:c>
      <x:c r="AN67" s="500" t="n">
        <x:f>IF(AND(AK67="Yes",OR(O67="Labour",O67="Plant")),Z67,0)</x:f>
        <x:v>304</x:v>
      </x:c>
    </x:row>
    <x:row r="68" ht="22.049999237060547" customHeight="1">
      <x:c r="A68" s="80" t="str">
        <x:f>IF(B68="","",B68&amp;"-"&amp;TEXT(COUNTIF($B$7:B68,B68),"000"))</x:f>
        <x:v>ESC01-014</x:v>
      </x:c>
      <x:c r="B68" s="53" t="str">
        <x:v>ESC01</x:v>
      </x:c>
      <x:c r="C68" s="81" t="str">
        <x:f>IFERROR(INDEX('QS Takeoff'!$A$3:$A$194,MATCH(B68,'QS Takeoff'!$B$3:$B$194,0)),"")</x:f>
        <x:v>Erosion &amp; Sediment Control</x:v>
      </x:c>
      <x:c r="D68" s="81" t="str">
        <x:f>IFERROR(INDEX('QS Takeoff'!$C$3:$C$194,MATCH(B68,'QS Takeoff'!$B$3:$B$194,0)),"")</x:f>
        <x:v>Erosion &amp; sediment control - site-specific layout and extents</x:v>
      </x:c>
      <x:c r="E68" s="81" t="n">
        <x:f>IFERROR(INDEX('QS Takeoff'!$E$3:$E$194,MATCH(B68,'QS Takeoff'!$B$3:$B$194,0)),"")</x:f>
        <x:v>1</x:v>
      </x:c>
      <x:c r="F68" s="81" t="str">
        <x:f>IFERROR(INDEX('QS Takeoff'!$D$3:$D$194,MATCH(B68,'QS Takeoff'!$B$3:$B$194,0)),"")</x:f>
        <x:v>LS</x:v>
      </x:c>
      <x:c r="G68" s="81" t="str">
        <x:f>IFERROR(INDEX('QS Takeoff'!$J$3:$J$194,MATCH(B68,'QS Takeoff'!$B$3:$B$194,0)),"")</x:f>
        <x:v>AMBER - MEASURED / FIRST PRINCIPLES</x:v>
      </x:c>
      <x:c r="H68" s="53" t="str">
        <x:v>Physical ESC maintenance / minor repair labour</x:v>
      </x:c>
      <x:c r="I68" s="60"/>
      <x:c r="J68" s="60"/>
      <x:c r="K68" s="82" t="str">
        <x:f t="shared" si="0">IF(OR(B68="",I68="",I68=0),"",E68/I68)</x:f>
      </x:c>
      <x:c r="L68" s="60" t="n">
        <x:v>12</x:v>
      </x:c>
      <x:c r="M68" s="82" t="n">
        <x:f t="shared" si="1">IF(L68&gt;0,L68,K68)</x:f>
        <x:v>12</x:v>
      </x:c>
      <x:c r="N68" s="53" t="str">
        <x:v>Time x Count</x:v>
      </x:c>
      <x:c r="O68" s="53" t="str">
        <x:v>Labour</x:v>
      </x:c>
      <x:c r="P68" s="53" t="str">
        <x:v>LAB-LABOURER</x:v>
      </x:c>
      <x:c r="Q68" s="81" t="str">
        <x:f>IFERROR(INDEX('Resource Rate Library'!$C$5:$C$85,MATCH(P68,'Resource Rate Library'!$A$5:$A$85,0)),"")</x:f>
        <x:v>Civil labourer</x:v>
      </x:c>
      <x:c r="R68" s="53" t="n">
        <x:v>1</x:v>
      </x:c>
      <x:c r="S68" s="53"/>
      <x:c r="T68" s="81" t="str">
        <x:f>IFERROR(INDEX('Resource Rate Library'!$E$5:$E$85,MATCH(P68,'Resource Rate Library'!$A$5:$A$85,0)),"")</x:f>
        <x:v>hr</x:v>
      </x:c>
      <x:c r="U68" s="62" t="n">
        <x:v>1</x:v>
      </x:c>
      <x:c r="V68" s="62" t="n">
        <x:v>0</x:v>
      </x:c>
      <x:c r="W68" s="83" t="n">
        <x:f>IFERROR(INDEX('Resource Rate Library'!$I$5:$I$85,MATCH(P68,'Resource Rate Library'!$A$5:$A$85,0)),0)</x:f>
        <x:v>38</x:v>
      </x:c>
      <x:c r="X68" s="52"/>
      <x:c r="Y68" s="83" t="n">
        <x:f t="shared" si="2">IF(X68&gt;0,X68,W68)</x:f>
        <x:v>38</x:v>
      </x:c>
      <x:c r="Z68" s="83" t="n">
        <x:f t="shared" si="3">IF(B68="","",IF(N68="Time x Count",M68*R68*IF(U68="",1,U68)*Y68,IF(N68="QS Qty x Factor",E68*R68*(1+IF(V68="",0,V68))*Y68,IF(N68="Direct Qty",S68*(1+IF(V68="",0,V68))*Y68,IF(N68="Lump Sum / Quote",S68*Y68,0)))))</x:f>
        <x:v>456</x:v>
      </x:c>
      <x:c r="AA68" s="81" t="str">
        <x:f>IFERROR(INDEX('Resource Rate Library'!$N$5:$N$85,MATCH(P68,'Resource Rate Library'!$A$5:$A$85,0)),"")</x:f>
        <x:v>https://nz.seek.com/civil-drainage-jobs/in-All-Auckland | https://nz.seek.com/drainage-foreman-jobs/in-All-Auckland/full-time</x:v>
      </x:c>
      <x:c r="AB68" s="53" t="str">
        <x:v>Stamped A1.2 / DWG231: inspect at least weekly and after rainfall; 55WD dry programme = 11 base weeks</x:v>
      </x:c>
      <x:c r="AC68" s="59" t="str">
        <x:v>09-Sep-2026</x:v>
      </x:c>
      <x:c r="AD68" s="81" t="str">
        <x:f>IFERROR(INDEX('Resource Rate Library'!$G$5:$G$85,MATCH(P68,'Resource Rate Library'!$A$5:$A$85,0)),"")</x:f>
        <x:v>N/A</x:v>
      </x:c>
      <x:c r="AE68" s="81" t="str">
        <x:f>IFERROR(INDEX('Resource Rate Library'!$H$5:$H$85,MATCH(P68,'Resource Rate Library'!$A$5:$A$85,0)),"")</x:f>
        <x:v>N/A</x:v>
      </x:c>
      <x:c r="AF68" s="53" t="str">
        <x:v>AMBER - normal physical-maintenance allowance</x:v>
      </x:c>
      <x:c r="AG68" s="53" t="str">
        <x:v>12 labour-hours for physical maintenance/minor repair. Routine inspection/supervision remains within PG01.</x:v>
      </x:c>
      <x:c r="AH68" s="53" t="str">
        <x:v>Yes</x:v>
      </x:c>
      <x:c r="AI68" s="81" t="str">
        <x:f t="shared" si="5">IF(B68="","",IF(AND(P68="",N68&lt;&gt;"Lump Sum / Quote"),"RESOURCE CODE",IF(Y68=0,"RATE MISSING",IF(AND(O68="Plant",AD68="Yes",COUNTIFS($B$7:$B$306,B68,$O$7:$O$306,"Labour",$Q$7:$Q$306,"*Operator*")&gt;0),"OPERATOR DOUBLE-COUNT",IF(AND(O68="Plant",AE68="Yes",COUNTIFS($B$7:$B$306,B68,$Q$7:$Q$306,"*Fuel*")&gt;0),"FUEL DOUBLE-COUNT",IF(AH68&lt;&gt;"Yes","VERIFY","OK"))))))</x:f>
        <x:v>OK</x:v>
      </x:c>
      <x:c r="AJ68" s="54" t="str">
        <x:v>Spare fabric/wire/pins are already included. Major abnormal repair remains outside normal baseline.</x:v>
      </x:c>
      <x:c r="AK68" s="473" t="str">
        <x:v>No</x:v>
      </x:c>
      <x:c r="AL68" s="473"/>
      <x:c r="AM68" s="473" t="str">
        <x:v>Excluded from direct weather productivity to avoid double-counting rain-triggered repair.</x:v>
      </x:c>
      <x:c r="AN68" s="500" t="n">
        <x:f>IF(AND(AK68="Yes",OR(O68="Labour",O68="Plant")),Z68,0)</x:f>
        <x:v>0</x:v>
      </x:c>
    </x:row>
    <x:row r="69" ht="22.049999237060547" customHeight="1">
      <x:c r="A69" s="80" t="str">
        <x:f>IF(B69="","",B69&amp;"-"&amp;TEXT(COUNTIF($B$7:B69,B69),"000"))</x:f>
        <x:v>ESC01-015</x:v>
      </x:c>
      <x:c r="B69" s="53" t="str">
        <x:v>ESC01</x:v>
      </x:c>
      <x:c r="C69" s="81" t="str">
        <x:f>IFERROR(INDEX('QS Takeoff'!$A$3:$A$194,MATCH(B69,'QS Takeoff'!$B$3:$B$194,0)),"")</x:f>
        <x:v>Erosion &amp; Sediment Control</x:v>
      </x:c>
      <x:c r="D69" s="81" t="str">
        <x:f>IFERROR(INDEX('QS Takeoff'!$C$3:$C$194,MATCH(B69,'QS Takeoff'!$B$3:$B$194,0)),"")</x:f>
        <x:v>Erosion &amp; sediment control - site-specific layout and extents</x:v>
      </x:c>
      <x:c r="E69" s="81" t="n">
        <x:f>IFERROR(INDEX('QS Takeoff'!$E$3:$E$194,MATCH(B69,'QS Takeoff'!$B$3:$B$194,0)),"")</x:f>
        <x:v>1</x:v>
      </x:c>
      <x:c r="F69" s="81" t="str">
        <x:f>IFERROR(INDEX('QS Takeoff'!$D$3:$D$194,MATCH(B69,'QS Takeoff'!$B$3:$B$194,0)),"")</x:f>
        <x:v>LS</x:v>
      </x:c>
      <x:c r="G69" s="81" t="str">
        <x:f>IFERROR(INDEX('QS Takeoff'!$J$3:$J$194,MATCH(B69,'QS Takeoff'!$B$3:$B$194,0)),"")</x:f>
        <x:v>AMBER - MEASURED / FIRST PRINCIPLES</x:v>
      </x:c>
      <x:c r="H69" s="53" t="str">
        <x:v>Silt-fence removal / trench reinstatement - 1.7t excavator</x:v>
      </x:c>
      <x:c r="I69" s="60" t="n">
        <x:v>40</x:v>
      </x:c>
      <x:c r="J69" s="60" t="str">
        <x:v>lm/hr</x:v>
      </x:c>
      <x:c r="K69" s="82" t="n">
        <x:f t="shared" si="0">IF(OR(B69="",I69="",I69=0),"",E69/I69)</x:f>
        <x:v>0.025</x:v>
      </x:c>
      <x:c r="L69" s="60" t="n">
        <x:v>5.856879423884527</x:v>
      </x:c>
      <x:c r="M69" s="82" t="n">
        <x:f t="shared" si="1">IF(L69&gt;0,L69,K69)</x:f>
        <x:v>5.856879423884527</x:v>
      </x:c>
      <x:c r="N69" s="53" t="str">
        <x:v>Time x Count</x:v>
      </x:c>
      <x:c r="O69" s="53" t="str">
        <x:v>Plant</x:v>
      </x:c>
      <x:c r="P69" s="53" t="str">
        <x:v>PL-EXC-1.7</x:v>
      </x:c>
      <x:c r="Q69" s="81" t="str">
        <x:f>IFERROR(INDEX('Resource Rate Library'!$C$5:$C$85,MATCH(P69,'Resource Rate Library'!$A$5:$A$85,0)),"")</x:f>
        <x:v>1.7 t excavator wet hire</x:v>
      </x:c>
      <x:c r="R69" s="53" t="n">
        <x:v>1</x:v>
      </x:c>
      <x:c r="S69" s="53"/>
      <x:c r="T69" s="81" t="str">
        <x:f>IFERROR(INDEX('Resource Rate Library'!$E$5:$E$85,MATCH(P69,'Resource Rate Library'!$A$5:$A$85,0)),"")</x:f>
        <x:v>hr</x:v>
      </x:c>
      <x:c r="U69" s="62" t="n">
        <x:v>1</x:v>
      </x:c>
      <x:c r="V69" s="62" t="n">
        <x:v>0</x:v>
      </x:c>
      <x:c r="W69" s="83" t="n">
        <x:f>IFERROR(INDEX('Resource Rate Library'!$I$5:$I$85,MATCH(P69,'Resource Rate Library'!$A$5:$A$85,0)),0)</x:f>
        <x:v>85</x:v>
      </x:c>
      <x:c r="X69" s="52"/>
      <x:c r="Y69" s="83" t="n">
        <x:f t="shared" si="2">IF(X69&gt;0,X69,W69)</x:f>
        <x:v>85</x:v>
      </x:c>
      <x:c r="Z69" s="83" t="n">
        <x:f t="shared" si="3">IF(B69="","",IF(N69="Time x Count",M69*R69*IF(U69="",1,U69)*Y69,IF(N69="QS Qty x Factor",E69*R69*(1+IF(V69="",0,V69))*Y69,IF(N69="Direct Qty",S69*(1+IF(V69="",0,V69))*Y69,IF(N69="Lump Sum / Quote",S69*Y69,0)))))</x:f>
        <x:v>497.83475103018475</x:v>
      </x:c>
      <x:c r="AA69" s="81" t="str">
        <x:f>IFERROR(INDEX('Resource Rate Library'!$N$5:$N$85,MATCH(P69,'Resource Rate Library'!$A$5:$A$85,0)),"")</x:f>
        <x:v>https://www.asapmachinehire.co.nz/price-list | https://www.nzmachinehire.co.nz/_files/ugd/d7f8c7_1379402df1a242f88fef70fc3ce1475c.pdf</x:v>
      </x:c>
      <x:c r="AB69" s="53" t="str">
        <x:v>DWG241 closeout requirement + measured working fence length</x:v>
      </x:c>
      <x:c r="AC69" s="59" t="str">
        <x:v>09-Sep-2026</x:v>
      </x:c>
      <x:c r="AD69" s="81" t="str">
        <x:f>IFERROR(INDEX('Resource Rate Library'!$G$5:$G$85,MATCH(P69,'Resource Rate Library'!$A$5:$A$85,0)),"")</x:f>
        <x:v>Yes</x:v>
      </x:c>
      <x:c r="AE69" s="81" t="str">
        <x:f>IFERROR(INDEX('Resource Rate Library'!$H$5:$H$85,MATCH(P69,'Resource Rate Library'!$A$5:$A$85,0)),"")</x:f>
        <x:v>Yes</x:v>
      </x:c>
      <x:c r="AF69" s="53" t="str">
        <x:v>AMBER - first-principles removal productivity</x:v>
      </x:c>
      <x:c r="AG69" s="53" t="str">
        <x:v>234.3m / 40m/hr = 5.86h.</x:v>
      </x:c>
      <x:c r="AH69" s="53" t="str">
        <x:v>Yes</x:v>
      </x:c>
      <x:c r="AI69" s="81" t="str">
        <x:f t="shared" si="5">IF(B69="","",IF(AND(P69="",N69&lt;&gt;"Lump Sum / Quote"),"RESOURCE CODE",IF(Y69=0,"RATE MISSING",IF(AND(O69="Plant",AD69="Yes",COUNTIFS($B$7:$B$306,B69,$O$7:$O$306,"Labour",$Q$7:$Q$306,"*Operator*")&gt;0),"OPERATOR DOUBLE-COUNT",IF(AND(O69="Plant",AE69="Yes",COUNTIFS($B$7:$B$306,B69,$Q$7:$Q$306,"*Fuel*")&gt;0),"FUEL DOUBLE-COUNT",IF(AH69&lt;&gt;"Yes","VERIFY","OK"))))))</x:f>
        <x:v>OK</x:v>
      </x:c>
      <x:c r="AJ69" s="54" t="str">
        <x:v>Closeout workfront; does not extend initial 3WD ESC setup task.</x:v>
      </x:c>
      <x:c r="AK69" s="473" t="str">
        <x:v>No</x:v>
      </x:c>
      <x:c r="AL69" s="473"/>
      <x:c r="AM69" s="473"/>
      <x:c r="AN69" s="500" t="n">
        <x:f>IF(AND(AK69="Yes",OR(O69="Labour",O69="Plant")),Z69,0)</x:f>
        <x:v>0</x:v>
      </x:c>
    </x:row>
    <x:row r="70" ht="22.049999237060547" customHeight="1">
      <x:c r="A70" s="80" t="str">
        <x:f>IF(B70="","",B70&amp;"-"&amp;TEXT(COUNTIF($B$7:B70,B70),"000"))</x:f>
        <x:v>ESC01-016</x:v>
      </x:c>
      <x:c r="B70" s="53" t="str">
        <x:v>ESC01</x:v>
      </x:c>
      <x:c r="C70" s="81" t="str">
        <x:f>IFERROR(INDEX('QS Takeoff'!$A$3:$A$194,MATCH(B70,'QS Takeoff'!$B$3:$B$194,0)),"")</x:f>
        <x:v>Erosion &amp; Sediment Control</x:v>
      </x:c>
      <x:c r="D70" s="81" t="str">
        <x:f>IFERROR(INDEX('QS Takeoff'!$C$3:$C$194,MATCH(B70,'QS Takeoff'!$B$3:$B$194,0)),"")</x:f>
        <x:v>Erosion &amp; sediment control - site-specific layout and extents</x:v>
      </x:c>
      <x:c r="E70" s="81" t="n">
        <x:f>IFERROR(INDEX('QS Takeoff'!$E$3:$E$194,MATCH(B70,'QS Takeoff'!$B$3:$B$194,0)),"")</x:f>
        <x:v>1</x:v>
      </x:c>
      <x:c r="F70" s="81" t="str">
        <x:f>IFERROR(INDEX('QS Takeoff'!$D$3:$D$194,MATCH(B70,'QS Takeoff'!$B$3:$B$194,0)),"")</x:f>
        <x:v>LS</x:v>
      </x:c>
      <x:c r="G70" s="81" t="str">
        <x:f>IFERROR(INDEX('QS Takeoff'!$J$3:$J$194,MATCH(B70,'QS Takeoff'!$B$3:$B$194,0)),"")</x:f>
        <x:v>AMBER - MEASURED / FIRST PRINCIPLES</x:v>
      </x:c>
      <x:c r="H70" s="53" t="str">
        <x:v>Silt-fence removal / cleanup - 2 civil labourers</x:v>
      </x:c>
      <x:c r="I70" s="60" t="n">
        <x:v>40</x:v>
      </x:c>
      <x:c r="J70" s="60" t="str">
        <x:v>lm/hr</x:v>
      </x:c>
      <x:c r="K70" s="82" t="n">
        <x:f t="shared" si="0">IF(OR(B70="",I70="",I70=0),"",E70/I70)</x:f>
        <x:v>0.025</x:v>
      </x:c>
      <x:c r="L70" s="60" t="n">
        <x:v>5.856879423884527</x:v>
      </x:c>
      <x:c r="M70" s="82" t="n">
        <x:f t="shared" si="1">IF(L70&gt;0,L70,K70)</x:f>
        <x:v>5.856879423884527</x:v>
      </x:c>
      <x:c r="N70" s="53" t="str">
        <x:v>Time x Count</x:v>
      </x:c>
      <x:c r="O70" s="53" t="str">
        <x:v>Labour</x:v>
      </x:c>
      <x:c r="P70" s="53" t="str">
        <x:v>LAB-LABOURER</x:v>
      </x:c>
      <x:c r="Q70" s="81" t="str">
        <x:f>IFERROR(INDEX('Resource Rate Library'!$C$5:$C$85,MATCH(P70,'Resource Rate Library'!$A$5:$A$85,0)),"")</x:f>
        <x:v>Civil labourer</x:v>
      </x:c>
      <x:c r="R70" s="53" t="n">
        <x:v>2</x:v>
      </x:c>
      <x:c r="S70" s="53"/>
      <x:c r="T70" s="81" t="str">
        <x:f>IFERROR(INDEX('Resource Rate Library'!$E$5:$E$85,MATCH(P70,'Resource Rate Library'!$A$5:$A$85,0)),"")</x:f>
        <x:v>hr</x:v>
      </x:c>
      <x:c r="U70" s="62" t="n">
        <x:v>1</x:v>
      </x:c>
      <x:c r="V70" s="62" t="n">
        <x:v>0</x:v>
      </x:c>
      <x:c r="W70" s="83" t="n">
        <x:f>IFERROR(INDEX('Resource Rate Library'!$I$5:$I$85,MATCH(P70,'Resource Rate Library'!$A$5:$A$85,0)),0)</x:f>
        <x:v>38</x:v>
      </x:c>
      <x:c r="X70" s="52"/>
      <x:c r="Y70" s="83" t="n">
        <x:f t="shared" si="2">IF(X70&gt;0,X70,W70)</x:f>
        <x:v>38</x:v>
      </x:c>
      <x:c r="Z70" s="83" t="n">
        <x:f t="shared" si="3">IF(B70="","",IF(N70="Time x Count",M70*R70*IF(U70="",1,U70)*Y70,IF(N70="QS Qty x Factor",E70*R70*(1+IF(V70="",0,V70))*Y70,IF(N70="Direct Qty",S70*(1+IF(V70="",0,V70))*Y70,IF(N70="Lump Sum / Quote",S70*Y70,0)))))</x:f>
        <x:v>445.122836215224</x:v>
      </x:c>
      <x:c r="AA70" s="81" t="str">
        <x:f>IFERROR(INDEX('Resource Rate Library'!$N$5:$N$85,MATCH(P70,'Resource Rate Library'!$A$5:$A$85,0)),"")</x:f>
        <x:v>https://nz.seek.com/civil-drainage-jobs/in-All-Auckland | https://nz.seek.com/drainage-foreman-jobs/in-All-Auckland/full-time</x:v>
      </x:c>
      <x:c r="AB70" s="53" t="str">
        <x:v>DWG241 closeout requirement + measured working fence length</x:v>
      </x:c>
      <x:c r="AC70" s="59" t="str">
        <x:v>09-Sep-2026</x:v>
      </x:c>
      <x:c r="AD70" s="81" t="str">
        <x:f>IFERROR(INDEX('Resource Rate Library'!$G$5:$G$85,MATCH(P70,'Resource Rate Library'!$A$5:$A$85,0)),"")</x:f>
        <x:v>N/A</x:v>
      </x:c>
      <x:c r="AE70" s="81" t="str">
        <x:f>IFERROR(INDEX('Resource Rate Library'!$H$5:$H$85,MATCH(P70,'Resource Rate Library'!$A$5:$A$85,0)),"")</x:f>
        <x:v>N/A</x:v>
      </x:c>
      <x:c r="AF70" s="53" t="str">
        <x:v>AMBER - first-principles removal productivity</x:v>
      </x:c>
      <x:c r="AG70" s="53" t="str">
        <x:v>Two labourers for 5.86h alongside wet-hire excavator/operator.</x:v>
      </x:c>
      <x:c r="AH70" s="53" t="str">
        <x:v>Yes</x:v>
      </x:c>
      <x:c r="AI70" s="81" t="str">
        <x:f t="shared" si="5">IF(B70="","",IF(AND(P70="",N70&lt;&gt;"Lump Sum / Quote"),"RESOURCE CODE",IF(Y70=0,"RATE MISSING",IF(AND(O70="Plant",AD70="Yes",COUNTIFS($B$7:$B$306,B70,$O$7:$O$306,"Labour",$Q$7:$Q$306,"*Operator*")&gt;0),"OPERATOR DOUBLE-COUNT",IF(AND(O70="Plant",AE70="Yes",COUNTIFS($B$7:$B$306,B70,$Q$7:$Q$306,"*Fuel*")&gt;0),"FUEL DOUBLE-COUNT",IF(AH70&lt;&gt;"Yes","VERIFY","OK"))))))</x:f>
        <x:v>OK</x:v>
      </x:c>
      <x:c r="AJ70" s="54" t="str">
        <x:v>Includes normal clean-up and reinstatement. Abnormal contaminated sediment disposal excluded pending classification.</x:v>
      </x:c>
      <x:c r="AK70" s="473" t="str">
        <x:v>No</x:v>
      </x:c>
      <x:c r="AL70" s="473"/>
      <x:c r="AM70" s="473"/>
      <x:c r="AN70" s="500" t="n">
        <x:f>IF(AND(AK70="Yes",OR(O70="Labour",O70="Plant")),Z70,0)</x:f>
        <x:v>0</x:v>
      </x:c>
    </x:row>
    <x:row r="71" ht="22.049999237060547" customHeight="1">
      <x:c r="A71" s="80" t="str">
        <x:f>IF(B71="","",B71&amp;"-"&amp;TEXT(COUNTIF($B$7:B71,B71),"000"))</x:f>
      </x:c>
      <x:c r="B71" s="53"/>
      <x:c r="C71" s="81" t="str">
        <x:f>IFERROR(INDEX('QS Takeoff'!$A$3:$A$194,MATCH(B71,'QS Takeoff'!$B$3:$B$194,0)),"")</x:f>
      </x:c>
      <x:c r="D71" s="81" t="str">
        <x:f>IFERROR(INDEX('QS Takeoff'!$C$3:$C$194,MATCH(B71,'QS Takeoff'!$B$3:$B$194,0)),"")</x:f>
      </x:c>
      <x:c r="E71" s="81" t="str">
        <x:f>IFERROR(INDEX('QS Takeoff'!$E$3:$E$194,MATCH(B71,'QS Takeoff'!$B$3:$B$194,0)),"")</x:f>
      </x:c>
      <x:c r="F71" s="81" t="str">
        <x:f>IFERROR(INDEX('QS Takeoff'!$D$3:$D$194,MATCH(B71,'QS Takeoff'!$B$3:$B$194,0)),"")</x:f>
      </x:c>
      <x:c r="G71" s="81" t="str">
        <x:f>IFERROR(INDEX('QS Takeoff'!$J$3:$J$194,MATCH(B71,'QS Takeoff'!$B$3:$B$194,0)),"")</x:f>
      </x:c>
      <x:c r="H71" s="53"/>
      <x:c r="I71" s="60"/>
      <x:c r="J71" s="60"/>
      <x:c r="K71" s="82" t="str">
        <x:f t="shared" ref="K71:K134" si="6">IF(OR(B71="",I71="",I71=0),"",E71/I71)</x:f>
      </x:c>
      <x:c r="L71" s="60"/>
      <x:c r="M71" s="82" t="str">
        <x:f t="shared" ref="M71:M134" si="7">IF(L71&gt;0,L71,K71)</x:f>
      </x:c>
      <x:c r="N71" s="53"/>
      <x:c r="O71" s="53"/>
      <x:c r="P71" s="53"/>
      <x:c r="Q71" s="81" t="str">
        <x:f>IFERROR(INDEX('Resource Rate Library'!$C$5:$C$85,MATCH(P71,'Resource Rate Library'!$A$5:$A$85,0)),"")</x:f>
      </x:c>
      <x:c r="R71" s="53"/>
      <x:c r="S71" s="53"/>
      <x:c r="T71" s="81" t="str">
        <x:f>IFERROR(INDEX('Resource Rate Library'!$E$5:$E$85,MATCH(P71,'Resource Rate Library'!$A$5:$A$85,0)),"")</x:f>
      </x:c>
      <x:c r="U71" s="62"/>
      <x:c r="V71" s="62"/>
      <x:c r="W71" s="83" t="n">
        <x:f>IFERROR(INDEX('Resource Rate Library'!$I$5:$I$85,MATCH(P71,'Resource Rate Library'!$A$5:$A$85,0)),0)</x:f>
        <x:v>0</x:v>
      </x:c>
      <x:c r="X71" s="52"/>
      <x:c r="Y71" s="83" t="n">
        <x:f t="shared" ref="Y71:Y134" si="8">IF(X71&gt;0,X71,W71)</x:f>
        <x:v>0</x:v>
      </x:c>
      <x:c r="Z71" s="83" t="str">
        <x:f t="shared" ref="Z71:Z134" si="9">IF(B71="","",IF(N71="Time x Count",M71*R71*IF(U71="",1,U71)*Y71,IF(N71="QS Qty x Factor",E71*R71*(1+IF(V71="",0,V71))*Y71,IF(N71="Direct Qty",S71*(1+IF(V71="",0,V71))*Y71,IF(N71="Lump Sum / Quote",S71*Y71,0)))))</x:f>
      </x:c>
      <x:c r="AA71" s="81" t="str">
        <x:f>IFERROR(INDEX('Resource Rate Library'!$N$5:$N$85,MATCH(P71,'Resource Rate Library'!$A$5:$A$85,0)),"")</x:f>
      </x:c>
      <x:c r="AB71" s="53"/>
      <x:c r="AC71" s="59"/>
      <x:c r="AD71" s="81" t="str">
        <x:f>IFERROR(INDEX('Resource Rate Library'!$G$5:$G$85,MATCH(P71,'Resource Rate Library'!$A$5:$A$85,0)),"")</x:f>
      </x:c>
      <x:c r="AE71" s="81" t="str">
        <x:f>IFERROR(INDEX('Resource Rate Library'!$H$5:$H$85,MATCH(P71,'Resource Rate Library'!$A$5:$A$85,0)),"")</x:f>
      </x:c>
      <x:c r="AF71" s="53"/>
      <x:c r="AG71" s="53"/>
      <x:c r="AH71" s="53"/>
      <x:c r="AI71" s="81" t="str">
        <x:f t="shared" si="5">IF(B71="","",IF(AND(P71="",N71&lt;&gt;"Lump Sum / Quote"),"RESOURCE CODE",IF(Y71=0,"RATE MISSING",IF(AND(O71="Plant",AD71="Yes",COUNTIFS($B$7:$B$306,B71,$O$7:$O$306,"Labour",$Q$7:$Q$306,"*Operator*")&gt;0),"OPERATOR DOUBLE-COUNT",IF(AND(O71="Plant",AE71="Yes",COUNTIFS($B$7:$B$306,B71,$Q$7:$Q$306,"*Fuel*")&gt;0),"FUEL DOUBLE-COUNT",IF(AH71&lt;&gt;"Yes","VERIFY","OK"))))))</x:f>
      </x:c>
      <x:c r="AJ71" s="54"/>
      <x:c r="AK71" s="473"/>
      <x:c r="AL71" s="473"/>
      <x:c r="AM71" s="473"/>
      <x:c r="AN71" s="500" t="n">
        <x:f>IF(AND(AK71="Yes",OR(O71="Labour",O71="Plant")),Z71,0)</x:f>
        <x:v>0</x:v>
      </x:c>
    </x:row>
    <x:row r="72" ht="22.049999237060547" customHeight="1">
      <x:c r="A72" s="80" t="str">
        <x:f>IF(B72="","",B72&amp;"-"&amp;TEXT(COUNTIF($B$7:B72,B72),"000"))</x:f>
      </x:c>
      <x:c r="B72" s="53"/>
      <x:c r="C72" s="81" t="str">
        <x:f>IFERROR(INDEX('QS Takeoff'!$A$3:$A$194,MATCH(B72,'QS Takeoff'!$B$3:$B$194,0)),"")</x:f>
      </x:c>
      <x:c r="D72" s="81" t="str">
        <x:f>IFERROR(INDEX('QS Takeoff'!$C$3:$C$194,MATCH(B72,'QS Takeoff'!$B$3:$B$194,0)),"")</x:f>
      </x:c>
      <x:c r="E72" s="81" t="str">
        <x:f>IFERROR(INDEX('QS Takeoff'!$E$3:$E$194,MATCH(B72,'QS Takeoff'!$B$3:$B$194,0)),"")</x:f>
      </x:c>
      <x:c r="F72" s="81" t="str">
        <x:f>IFERROR(INDEX('QS Takeoff'!$D$3:$D$194,MATCH(B72,'QS Takeoff'!$B$3:$B$194,0)),"")</x:f>
      </x:c>
      <x:c r="G72" s="81" t="str">
        <x:f>IFERROR(INDEX('QS Takeoff'!$J$3:$J$194,MATCH(B72,'QS Takeoff'!$B$3:$B$194,0)),"")</x:f>
      </x:c>
      <x:c r="H72" s="53"/>
      <x:c r="I72" s="60"/>
      <x:c r="J72" s="60"/>
      <x:c r="K72" s="82" t="str">
        <x:f t="shared" si="6">IF(OR(B72="",I72="",I72=0),"",E72/I72)</x:f>
      </x:c>
      <x:c r="L72" s="60"/>
      <x:c r="M72" s="82" t="str">
        <x:f t="shared" si="7">IF(L72&gt;0,L72,K72)</x:f>
      </x:c>
      <x:c r="N72" s="53"/>
      <x:c r="O72" s="53"/>
      <x:c r="P72" s="53"/>
      <x:c r="Q72" s="81" t="str">
        <x:f>IFERROR(INDEX('Resource Rate Library'!$C$5:$C$85,MATCH(P72,'Resource Rate Library'!$A$5:$A$85,0)),"")</x:f>
      </x:c>
      <x:c r="R72" s="53"/>
      <x:c r="S72" s="53"/>
      <x:c r="T72" s="81" t="str">
        <x:f>IFERROR(INDEX('Resource Rate Library'!$E$5:$E$85,MATCH(P72,'Resource Rate Library'!$A$5:$A$85,0)),"")</x:f>
      </x:c>
      <x:c r="U72" s="62"/>
      <x:c r="V72" s="62"/>
      <x:c r="W72" s="83" t="n">
        <x:f>IFERROR(INDEX('Resource Rate Library'!$I$5:$I$85,MATCH(P72,'Resource Rate Library'!$A$5:$A$85,0)),0)</x:f>
        <x:v>0</x:v>
      </x:c>
      <x:c r="X72" s="52"/>
      <x:c r="Y72" s="83" t="n">
        <x:f t="shared" si="8">IF(X72&gt;0,X72,W72)</x:f>
        <x:v>0</x:v>
      </x:c>
      <x:c r="Z72" s="83" t="str">
        <x:f t="shared" si="9">IF(B72="","",IF(N72="Time x Count",M72*R72*IF(U72="",1,U72)*Y72,IF(N72="QS Qty x Factor",E72*R72*(1+IF(V72="",0,V72))*Y72,IF(N72="Direct Qty",S72*(1+IF(V72="",0,V72))*Y72,IF(N72="Lump Sum / Quote",S72*Y72,0)))))</x:f>
      </x:c>
      <x:c r="AA72" s="81" t="str">
        <x:f>IFERROR(INDEX('Resource Rate Library'!$N$5:$N$85,MATCH(P72,'Resource Rate Library'!$A$5:$A$85,0)),"")</x:f>
      </x:c>
      <x:c r="AB72" s="53"/>
      <x:c r="AC72" s="59"/>
      <x:c r="AD72" s="81" t="str">
        <x:f>IFERROR(INDEX('Resource Rate Library'!$G$5:$G$85,MATCH(P72,'Resource Rate Library'!$A$5:$A$85,0)),"")</x:f>
      </x:c>
      <x:c r="AE72" s="81" t="str">
        <x:f>IFERROR(INDEX('Resource Rate Library'!$H$5:$H$85,MATCH(P72,'Resource Rate Library'!$A$5:$A$85,0)),"")</x:f>
      </x:c>
      <x:c r="AF72" s="53"/>
      <x:c r="AG72" s="53"/>
      <x:c r="AH72" s="53"/>
      <x:c r="AI72" s="81" t="str">
        <x:f t="shared" si="5">IF(B72="","",IF(AND(P72="",N72&lt;&gt;"Lump Sum / Quote"),"RESOURCE CODE",IF(Y72=0,"RATE MISSING",IF(AND(O72="Plant",AD72="Yes",COUNTIFS($B$7:$B$306,B72,$O$7:$O$306,"Labour",$Q$7:$Q$306,"*Operator*")&gt;0),"OPERATOR DOUBLE-COUNT",IF(AND(O72="Plant",AE72="Yes",COUNTIFS($B$7:$B$306,B72,$Q$7:$Q$306,"*Fuel*")&gt;0),"FUEL DOUBLE-COUNT",IF(AH72&lt;&gt;"Yes","VERIFY","OK"))))))</x:f>
      </x:c>
      <x:c r="AJ72" s="54"/>
      <x:c r="AK72" s="473"/>
      <x:c r="AL72" s="473"/>
      <x:c r="AM72" s="473"/>
      <x:c r="AN72" s="500" t="n">
        <x:f>IF(AND(AK72="Yes",OR(O72="Labour",O72="Plant")),Z72,0)</x:f>
        <x:v>0</x:v>
      </x:c>
    </x:row>
    <x:row r="73" ht="22.049999237060547" customHeight="1">
      <x:c r="A73" s="80" t="str">
        <x:f>IF(B73="","",B73&amp;"-"&amp;TEXT(COUNTIF($B$7:B73,B73),"000"))</x:f>
      </x:c>
      <x:c r="B73" s="53"/>
      <x:c r="C73" s="81" t="str">
        <x:f>IFERROR(INDEX('QS Takeoff'!$A$3:$A$194,MATCH(B73,'QS Takeoff'!$B$3:$B$194,0)),"")</x:f>
      </x:c>
      <x:c r="D73" s="81" t="str">
        <x:f>IFERROR(INDEX('QS Takeoff'!$C$3:$C$194,MATCH(B73,'QS Takeoff'!$B$3:$B$194,0)),"")</x:f>
      </x:c>
      <x:c r="E73" s="81" t="str">
        <x:f>IFERROR(INDEX('QS Takeoff'!$E$3:$E$194,MATCH(B73,'QS Takeoff'!$B$3:$B$194,0)),"")</x:f>
      </x:c>
      <x:c r="F73" s="81" t="str">
        <x:f>IFERROR(INDEX('QS Takeoff'!$D$3:$D$194,MATCH(B73,'QS Takeoff'!$B$3:$B$194,0)),"")</x:f>
      </x:c>
      <x:c r="G73" s="81" t="str">
        <x:f>IFERROR(INDEX('QS Takeoff'!$J$3:$J$194,MATCH(B73,'QS Takeoff'!$B$3:$B$194,0)),"")</x:f>
      </x:c>
      <x:c r="H73" s="53"/>
      <x:c r="I73" s="60"/>
      <x:c r="J73" s="60"/>
      <x:c r="K73" s="82" t="str">
        <x:f t="shared" si="6">IF(OR(B73="",I73="",I73=0),"",E73/I73)</x:f>
      </x:c>
      <x:c r="L73" s="60"/>
      <x:c r="M73" s="82" t="str">
        <x:f t="shared" si="7">IF(L73&gt;0,L73,K73)</x:f>
      </x:c>
      <x:c r="N73" s="53"/>
      <x:c r="O73" s="53"/>
      <x:c r="P73" s="53"/>
      <x:c r="Q73" s="81" t="str">
        <x:f>IFERROR(INDEX('Resource Rate Library'!$C$5:$C$85,MATCH(P73,'Resource Rate Library'!$A$5:$A$85,0)),"")</x:f>
      </x:c>
      <x:c r="R73" s="53"/>
      <x:c r="S73" s="53"/>
      <x:c r="T73" s="81" t="str">
        <x:f>IFERROR(INDEX('Resource Rate Library'!$E$5:$E$85,MATCH(P73,'Resource Rate Library'!$A$5:$A$85,0)),"")</x:f>
      </x:c>
      <x:c r="U73" s="62"/>
      <x:c r="V73" s="62"/>
      <x:c r="W73" s="83" t="n">
        <x:f>IFERROR(INDEX('Resource Rate Library'!$I$5:$I$85,MATCH(P73,'Resource Rate Library'!$A$5:$A$85,0)),0)</x:f>
        <x:v>0</x:v>
      </x:c>
      <x:c r="X73" s="52"/>
      <x:c r="Y73" s="83" t="n">
        <x:f t="shared" si="8">IF(X73&gt;0,X73,W73)</x:f>
        <x:v>0</x:v>
      </x:c>
      <x:c r="Z73" s="83" t="str">
        <x:f t="shared" si="9">IF(B73="","",IF(N73="Time x Count",M73*R73*IF(U73="",1,U73)*Y73,IF(N73="QS Qty x Factor",E73*R73*(1+IF(V73="",0,V73))*Y73,IF(N73="Direct Qty",S73*(1+IF(V73="",0,V73))*Y73,IF(N73="Lump Sum / Quote",S73*Y73,0)))))</x:f>
      </x:c>
      <x:c r="AA73" s="81" t="str">
        <x:f>IFERROR(INDEX('Resource Rate Library'!$N$5:$N$85,MATCH(P73,'Resource Rate Library'!$A$5:$A$85,0)),"")</x:f>
      </x:c>
      <x:c r="AB73" s="53"/>
      <x:c r="AC73" s="59"/>
      <x:c r="AD73" s="81" t="str">
        <x:f>IFERROR(INDEX('Resource Rate Library'!$G$5:$G$85,MATCH(P73,'Resource Rate Library'!$A$5:$A$85,0)),"")</x:f>
      </x:c>
      <x:c r="AE73" s="81" t="str">
        <x:f>IFERROR(INDEX('Resource Rate Library'!$H$5:$H$85,MATCH(P73,'Resource Rate Library'!$A$5:$A$85,0)),"")</x:f>
      </x:c>
      <x:c r="AF73" s="53"/>
      <x:c r="AG73" s="53"/>
      <x:c r="AH73" s="53"/>
      <x:c r="AI73" s="81" t="str">
        <x:f t="shared" si="5">IF(B73="","",IF(AND(P73="",N73&lt;&gt;"Lump Sum / Quote"),"RESOURCE CODE",IF(Y73=0,"RATE MISSING",IF(AND(O73="Plant",AD73="Yes",COUNTIFS($B$7:$B$306,B73,$O$7:$O$306,"Labour",$Q$7:$Q$306,"*Operator*")&gt;0),"OPERATOR DOUBLE-COUNT",IF(AND(O73="Plant",AE73="Yes",COUNTIFS($B$7:$B$306,B73,$Q$7:$Q$306,"*Fuel*")&gt;0),"FUEL DOUBLE-COUNT",IF(AH73&lt;&gt;"Yes","VERIFY","OK"))))))</x:f>
      </x:c>
      <x:c r="AJ73" s="54"/>
      <x:c r="AK73" s="473"/>
      <x:c r="AL73" s="473"/>
      <x:c r="AM73" s="473"/>
      <x:c r="AN73" s="500" t="n">
        <x:f>IF(AND(AK73="Yes",OR(O73="Labour",O73="Plant")),Z73,0)</x:f>
        <x:v>0</x:v>
      </x:c>
    </x:row>
    <x:row r="74" ht="22.049999237060547" customHeight="1">
      <x:c r="A74" s="80" t="str">
        <x:f>IF(B74="","",B74&amp;"-"&amp;TEXT(COUNTIF($B$7:B74,B74),"000"))</x:f>
      </x:c>
      <x:c r="B74" s="53"/>
      <x:c r="C74" s="81" t="str">
        <x:f>IFERROR(INDEX('QS Takeoff'!$A$3:$A$194,MATCH(B74,'QS Takeoff'!$B$3:$B$194,0)),"")</x:f>
      </x:c>
      <x:c r="D74" s="81" t="str">
        <x:f>IFERROR(INDEX('QS Takeoff'!$C$3:$C$194,MATCH(B74,'QS Takeoff'!$B$3:$B$194,0)),"")</x:f>
      </x:c>
      <x:c r="E74" s="81" t="str">
        <x:f>IFERROR(INDEX('QS Takeoff'!$E$3:$E$194,MATCH(B74,'QS Takeoff'!$B$3:$B$194,0)),"")</x:f>
      </x:c>
      <x:c r="F74" s="81" t="str">
        <x:f>IFERROR(INDEX('QS Takeoff'!$D$3:$D$194,MATCH(B74,'QS Takeoff'!$B$3:$B$194,0)),"")</x:f>
      </x:c>
      <x:c r="G74" s="81" t="str">
        <x:f>IFERROR(INDEX('QS Takeoff'!$J$3:$J$194,MATCH(B74,'QS Takeoff'!$B$3:$B$194,0)),"")</x:f>
      </x:c>
      <x:c r="H74" s="53"/>
      <x:c r="I74" s="60"/>
      <x:c r="J74" s="60"/>
      <x:c r="K74" s="82" t="str">
        <x:f t="shared" si="6">IF(OR(B74="",I74="",I74=0),"",E74/I74)</x:f>
      </x:c>
      <x:c r="L74" s="60"/>
      <x:c r="M74" s="82" t="str">
        <x:f t="shared" si="7">IF(L74&gt;0,L74,K74)</x:f>
      </x:c>
      <x:c r="N74" s="53"/>
      <x:c r="O74" s="53"/>
      <x:c r="P74" s="53"/>
      <x:c r="Q74" s="81" t="str">
        <x:f>IFERROR(INDEX('Resource Rate Library'!$C$5:$C$85,MATCH(P74,'Resource Rate Library'!$A$5:$A$85,0)),"")</x:f>
      </x:c>
      <x:c r="R74" s="53"/>
      <x:c r="S74" s="53"/>
      <x:c r="T74" s="81" t="str">
        <x:f>IFERROR(INDEX('Resource Rate Library'!$E$5:$E$85,MATCH(P74,'Resource Rate Library'!$A$5:$A$85,0)),"")</x:f>
      </x:c>
      <x:c r="U74" s="62"/>
      <x:c r="V74" s="62"/>
      <x:c r="W74" s="83" t="n">
        <x:f>IFERROR(INDEX('Resource Rate Library'!$I$5:$I$85,MATCH(P74,'Resource Rate Library'!$A$5:$A$85,0)),0)</x:f>
        <x:v>0</x:v>
      </x:c>
      <x:c r="X74" s="52"/>
      <x:c r="Y74" s="83" t="n">
        <x:f t="shared" si="8">IF(X74&gt;0,X74,W74)</x:f>
        <x:v>0</x:v>
      </x:c>
      <x:c r="Z74" s="83" t="str">
        <x:f t="shared" si="9">IF(B74="","",IF(N74="Time x Count",M74*R74*IF(U74="",1,U74)*Y74,IF(N74="QS Qty x Factor",E74*R74*(1+IF(V74="",0,V74))*Y74,IF(N74="Direct Qty",S74*(1+IF(V74="",0,V74))*Y74,IF(N74="Lump Sum / Quote",S74*Y74,0)))))</x:f>
      </x:c>
      <x:c r="AA74" s="81" t="str">
        <x:f>IFERROR(INDEX('Resource Rate Library'!$N$5:$N$85,MATCH(P74,'Resource Rate Library'!$A$5:$A$85,0)),"")</x:f>
      </x:c>
      <x:c r="AB74" s="53"/>
      <x:c r="AC74" s="59"/>
      <x:c r="AD74" s="81" t="str">
        <x:f>IFERROR(INDEX('Resource Rate Library'!$G$5:$G$85,MATCH(P74,'Resource Rate Library'!$A$5:$A$85,0)),"")</x:f>
      </x:c>
      <x:c r="AE74" s="81" t="str">
        <x:f>IFERROR(INDEX('Resource Rate Library'!$H$5:$H$85,MATCH(P74,'Resource Rate Library'!$A$5:$A$85,0)),"")</x:f>
      </x:c>
      <x:c r="AF74" s="53"/>
      <x:c r="AG74" s="53"/>
      <x:c r="AH74" s="53"/>
      <x:c r="AI74" s="81" t="str">
        <x:f t="shared" si="5">IF(B74="","",IF(AND(P74="",N74&lt;&gt;"Lump Sum / Quote"),"RESOURCE CODE",IF(Y74=0,"RATE MISSING",IF(AND(O74="Plant",AD74="Yes",COUNTIFS($B$7:$B$306,B74,$O$7:$O$306,"Labour",$Q$7:$Q$306,"*Operator*")&gt;0),"OPERATOR DOUBLE-COUNT",IF(AND(O74="Plant",AE74="Yes",COUNTIFS($B$7:$B$306,B74,$Q$7:$Q$306,"*Fuel*")&gt;0),"FUEL DOUBLE-COUNT",IF(AH74&lt;&gt;"Yes","VERIFY","OK"))))))</x:f>
      </x:c>
      <x:c r="AJ74" s="54"/>
      <x:c r="AK74" s="473"/>
      <x:c r="AL74" s="473"/>
      <x:c r="AM74" s="473"/>
      <x:c r="AN74" s="500" t="n">
        <x:f>IF(AND(AK74="Yes",OR(O74="Labour",O74="Plant")),Z74,0)</x:f>
        <x:v>0</x:v>
      </x:c>
    </x:row>
    <x:row r="75" ht="22.049999237060547" customHeight="1">
      <x:c r="A75" s="80" t="str">
        <x:f>IF(B75="","",B75&amp;"-"&amp;TEXT(COUNTIF($B$7:B75,B75),"000"))</x:f>
      </x:c>
      <x:c r="B75" s="53"/>
      <x:c r="C75" s="81" t="str">
        <x:f>IFERROR(INDEX('QS Takeoff'!$A$3:$A$194,MATCH(B75,'QS Takeoff'!$B$3:$B$194,0)),"")</x:f>
      </x:c>
      <x:c r="D75" s="81" t="str">
        <x:f>IFERROR(INDEX('QS Takeoff'!$C$3:$C$194,MATCH(B75,'QS Takeoff'!$B$3:$B$194,0)),"")</x:f>
      </x:c>
      <x:c r="E75" s="81" t="str">
        <x:f>IFERROR(INDEX('QS Takeoff'!$E$3:$E$194,MATCH(B75,'QS Takeoff'!$B$3:$B$194,0)),"")</x:f>
      </x:c>
      <x:c r="F75" s="81" t="str">
        <x:f>IFERROR(INDEX('QS Takeoff'!$D$3:$D$194,MATCH(B75,'QS Takeoff'!$B$3:$B$194,0)),"")</x:f>
      </x:c>
      <x:c r="G75" s="81" t="str">
        <x:f>IFERROR(INDEX('QS Takeoff'!$J$3:$J$194,MATCH(B75,'QS Takeoff'!$B$3:$B$194,0)),"")</x:f>
      </x:c>
      <x:c r="H75" s="53"/>
      <x:c r="I75" s="60"/>
      <x:c r="J75" s="60"/>
      <x:c r="K75" s="82" t="str">
        <x:f t="shared" si="6">IF(OR(B75="",I75="",I75=0),"",E75/I75)</x:f>
      </x:c>
      <x:c r="L75" s="60"/>
      <x:c r="M75" s="82" t="str">
        <x:f t="shared" si="7">IF(L75&gt;0,L75,K75)</x:f>
      </x:c>
      <x:c r="N75" s="53"/>
      <x:c r="O75" s="53"/>
      <x:c r="P75" s="53"/>
      <x:c r="Q75" s="81" t="str">
        <x:f>IFERROR(INDEX('Resource Rate Library'!$C$5:$C$85,MATCH(P75,'Resource Rate Library'!$A$5:$A$85,0)),"")</x:f>
      </x:c>
      <x:c r="R75" s="53"/>
      <x:c r="S75" s="53"/>
      <x:c r="T75" s="81" t="str">
        <x:f>IFERROR(INDEX('Resource Rate Library'!$E$5:$E$85,MATCH(P75,'Resource Rate Library'!$A$5:$A$85,0)),"")</x:f>
      </x:c>
      <x:c r="U75" s="62"/>
      <x:c r="V75" s="62"/>
      <x:c r="W75" s="83" t="n">
        <x:f>IFERROR(INDEX('Resource Rate Library'!$I$5:$I$85,MATCH(P75,'Resource Rate Library'!$A$5:$A$85,0)),0)</x:f>
        <x:v>0</x:v>
      </x:c>
      <x:c r="X75" s="52"/>
      <x:c r="Y75" s="83" t="n">
        <x:f t="shared" si="8">IF(X75&gt;0,X75,W75)</x:f>
        <x:v>0</x:v>
      </x:c>
      <x:c r="Z75" s="83" t="str">
        <x:f t="shared" si="9">IF(B75="","",IF(N75="Time x Count",M75*R75*IF(U75="",1,U75)*Y75,IF(N75="QS Qty x Factor",E75*R75*(1+IF(V75="",0,V75))*Y75,IF(N75="Direct Qty",S75*(1+IF(V75="",0,V75))*Y75,IF(N75="Lump Sum / Quote",S75*Y75,0)))))</x:f>
      </x:c>
      <x:c r="AA75" s="81" t="str">
        <x:f>IFERROR(INDEX('Resource Rate Library'!$N$5:$N$85,MATCH(P75,'Resource Rate Library'!$A$5:$A$85,0)),"")</x:f>
      </x:c>
      <x:c r="AB75" s="53"/>
      <x:c r="AC75" s="59"/>
      <x:c r="AD75" s="81" t="str">
        <x:f>IFERROR(INDEX('Resource Rate Library'!$G$5:$G$85,MATCH(P75,'Resource Rate Library'!$A$5:$A$85,0)),"")</x:f>
      </x:c>
      <x:c r="AE75" s="81" t="str">
        <x:f>IFERROR(INDEX('Resource Rate Library'!$H$5:$H$85,MATCH(P75,'Resource Rate Library'!$A$5:$A$85,0)),"")</x:f>
      </x:c>
      <x:c r="AF75" s="53"/>
      <x:c r="AG75" s="53"/>
      <x:c r="AH75" s="53"/>
      <x:c r="AI75" s="81" t="str">
        <x:f t="shared" si="5">IF(B75="","",IF(AND(P75="",N75&lt;&gt;"Lump Sum / Quote"),"RESOURCE CODE",IF(Y75=0,"RATE MISSING",IF(AND(O75="Plant",AD75="Yes",COUNTIFS($B$7:$B$306,B75,$O$7:$O$306,"Labour",$Q$7:$Q$306,"*Operator*")&gt;0),"OPERATOR DOUBLE-COUNT",IF(AND(O75="Plant",AE75="Yes",COUNTIFS($B$7:$B$306,B75,$Q$7:$Q$306,"*Fuel*")&gt;0),"FUEL DOUBLE-COUNT",IF(AH75&lt;&gt;"Yes","VERIFY","OK"))))))</x:f>
      </x:c>
      <x:c r="AJ75" s="54"/>
      <x:c r="AK75" s="473"/>
      <x:c r="AL75" s="473"/>
      <x:c r="AM75" s="473"/>
      <x:c r="AN75" s="500" t="n">
        <x:f>IF(AND(AK75="Yes",OR(O75="Labour",O75="Plant")),Z75,0)</x:f>
        <x:v>0</x:v>
      </x:c>
    </x:row>
    <x:row r="76" ht="22.049999237060547" customHeight="1">
      <x:c r="A76" s="80" t="str">
        <x:f>IF(B76="","",B76&amp;"-"&amp;TEXT(COUNTIF($B$7:B76,B76),"000"))</x:f>
      </x:c>
      <x:c r="B76" s="53"/>
      <x:c r="C76" s="81" t="str">
        <x:f>IFERROR(INDEX('QS Takeoff'!$A$3:$A$194,MATCH(B76,'QS Takeoff'!$B$3:$B$194,0)),"")</x:f>
      </x:c>
      <x:c r="D76" s="81" t="str">
        <x:f>IFERROR(INDEX('QS Takeoff'!$C$3:$C$194,MATCH(B76,'QS Takeoff'!$B$3:$B$194,0)),"")</x:f>
      </x:c>
      <x:c r="E76" s="81" t="str">
        <x:f>IFERROR(INDEX('QS Takeoff'!$E$3:$E$194,MATCH(B76,'QS Takeoff'!$B$3:$B$194,0)),"")</x:f>
      </x:c>
      <x:c r="F76" s="81" t="str">
        <x:f>IFERROR(INDEX('QS Takeoff'!$D$3:$D$194,MATCH(B76,'QS Takeoff'!$B$3:$B$194,0)),"")</x:f>
      </x:c>
      <x:c r="G76" s="81" t="str">
        <x:f>IFERROR(INDEX('QS Takeoff'!$J$3:$J$194,MATCH(B76,'QS Takeoff'!$B$3:$B$194,0)),"")</x:f>
      </x:c>
      <x:c r="H76" s="53"/>
      <x:c r="I76" s="60"/>
      <x:c r="J76" s="60"/>
      <x:c r="K76" s="82" t="str">
        <x:f t="shared" si="6">IF(OR(B76="",I76="",I76=0),"",E76/I76)</x:f>
      </x:c>
      <x:c r="L76" s="60"/>
      <x:c r="M76" s="82" t="str">
        <x:f t="shared" si="7">IF(L76&gt;0,L76,K76)</x:f>
      </x:c>
      <x:c r="N76" s="53"/>
      <x:c r="O76" s="53"/>
      <x:c r="P76" s="53"/>
      <x:c r="Q76" s="81" t="str">
        <x:f>IFERROR(INDEX('Resource Rate Library'!$C$5:$C$85,MATCH(P76,'Resource Rate Library'!$A$5:$A$85,0)),"")</x:f>
      </x:c>
      <x:c r="R76" s="53"/>
      <x:c r="S76" s="53"/>
      <x:c r="T76" s="81" t="str">
        <x:f>IFERROR(INDEX('Resource Rate Library'!$E$5:$E$85,MATCH(P76,'Resource Rate Library'!$A$5:$A$85,0)),"")</x:f>
      </x:c>
      <x:c r="U76" s="62"/>
      <x:c r="V76" s="62"/>
      <x:c r="W76" s="83" t="n">
        <x:f>IFERROR(INDEX('Resource Rate Library'!$I$5:$I$85,MATCH(P76,'Resource Rate Library'!$A$5:$A$85,0)),0)</x:f>
        <x:v>0</x:v>
      </x:c>
      <x:c r="X76" s="52"/>
      <x:c r="Y76" s="83" t="n">
        <x:f t="shared" si="8">IF(X76&gt;0,X76,W76)</x:f>
        <x:v>0</x:v>
      </x:c>
      <x:c r="Z76" s="83" t="str">
        <x:f t="shared" si="9">IF(B76="","",IF(N76="Time x Count",M76*R76*IF(U76="",1,U76)*Y76,IF(N76="QS Qty x Factor",E76*R76*(1+IF(V76="",0,V76))*Y76,IF(N76="Direct Qty",S76*(1+IF(V76="",0,V76))*Y76,IF(N76="Lump Sum / Quote",S76*Y76,0)))))</x:f>
      </x:c>
      <x:c r="AA76" s="81" t="str">
        <x:f>IFERROR(INDEX('Resource Rate Library'!$N$5:$N$85,MATCH(P76,'Resource Rate Library'!$A$5:$A$85,0)),"")</x:f>
      </x:c>
      <x:c r="AB76" s="53"/>
      <x:c r="AC76" s="59"/>
      <x:c r="AD76" s="81" t="str">
        <x:f>IFERROR(INDEX('Resource Rate Library'!$G$5:$G$85,MATCH(P76,'Resource Rate Library'!$A$5:$A$85,0)),"")</x:f>
      </x:c>
      <x:c r="AE76" s="81" t="str">
        <x:f>IFERROR(INDEX('Resource Rate Library'!$H$5:$H$85,MATCH(P76,'Resource Rate Library'!$A$5:$A$85,0)),"")</x:f>
      </x:c>
      <x:c r="AF76" s="53"/>
      <x:c r="AG76" s="53"/>
      <x:c r="AH76" s="53"/>
      <x:c r="AI76" s="81" t="str">
        <x:f t="shared" si="5">IF(B76="","",IF(AND(P76="",N76&lt;&gt;"Lump Sum / Quote"),"RESOURCE CODE",IF(Y76=0,"RATE MISSING",IF(AND(O76="Plant",AD76="Yes",COUNTIFS($B$7:$B$306,B76,$O$7:$O$306,"Labour",$Q$7:$Q$306,"*Operator*")&gt;0),"OPERATOR DOUBLE-COUNT",IF(AND(O76="Plant",AE76="Yes",COUNTIFS($B$7:$B$306,B76,$Q$7:$Q$306,"*Fuel*")&gt;0),"FUEL DOUBLE-COUNT",IF(AH76&lt;&gt;"Yes","VERIFY","OK"))))))</x:f>
      </x:c>
      <x:c r="AJ76" s="54"/>
      <x:c r="AK76" s="473"/>
      <x:c r="AL76" s="473"/>
      <x:c r="AM76" s="473"/>
      <x:c r="AN76" s="500" t="n">
        <x:f>IF(AND(AK76="Yes",OR(O76="Labour",O76="Plant")),Z76,0)</x:f>
        <x:v>0</x:v>
      </x:c>
    </x:row>
    <x:row r="77" ht="22.049999237060547" customHeight="1">
      <x:c r="A77" s="80" t="str">
        <x:f>IF(B77="","",B77&amp;"-"&amp;TEXT(COUNTIF($B$7:B77,B77),"000"))</x:f>
      </x:c>
      <x:c r="B77" s="53"/>
      <x:c r="C77" s="81" t="str">
        <x:f>IFERROR(INDEX('QS Takeoff'!$A$3:$A$194,MATCH(B77,'QS Takeoff'!$B$3:$B$194,0)),"")</x:f>
      </x:c>
      <x:c r="D77" s="81" t="str">
        <x:f>IFERROR(INDEX('QS Takeoff'!$C$3:$C$194,MATCH(B77,'QS Takeoff'!$B$3:$B$194,0)),"")</x:f>
      </x:c>
      <x:c r="E77" s="81" t="str">
        <x:f>IFERROR(INDEX('QS Takeoff'!$E$3:$E$194,MATCH(B77,'QS Takeoff'!$B$3:$B$194,0)),"")</x:f>
      </x:c>
      <x:c r="F77" s="81" t="str">
        <x:f>IFERROR(INDEX('QS Takeoff'!$D$3:$D$194,MATCH(B77,'QS Takeoff'!$B$3:$B$194,0)),"")</x:f>
      </x:c>
      <x:c r="G77" s="81" t="str">
        <x:f>IFERROR(INDEX('QS Takeoff'!$J$3:$J$194,MATCH(B77,'QS Takeoff'!$B$3:$B$194,0)),"")</x:f>
      </x:c>
      <x:c r="H77" s="53"/>
      <x:c r="I77" s="60"/>
      <x:c r="J77" s="60"/>
      <x:c r="K77" s="82" t="str">
        <x:f t="shared" si="6">IF(OR(B77="",I77="",I77=0),"",E77/I77)</x:f>
      </x:c>
      <x:c r="L77" s="60"/>
      <x:c r="M77" s="82" t="str">
        <x:f t="shared" si="7">IF(L77&gt;0,L77,K77)</x:f>
      </x:c>
      <x:c r="N77" s="53"/>
      <x:c r="O77" s="53"/>
      <x:c r="P77" s="53"/>
      <x:c r="Q77" s="81" t="str">
        <x:f>IFERROR(INDEX('Resource Rate Library'!$C$5:$C$85,MATCH(P77,'Resource Rate Library'!$A$5:$A$85,0)),"")</x:f>
      </x:c>
      <x:c r="R77" s="53"/>
      <x:c r="S77" s="53"/>
      <x:c r="T77" s="81" t="str">
        <x:f>IFERROR(INDEX('Resource Rate Library'!$E$5:$E$85,MATCH(P77,'Resource Rate Library'!$A$5:$A$85,0)),"")</x:f>
      </x:c>
      <x:c r="U77" s="62"/>
      <x:c r="V77" s="62"/>
      <x:c r="W77" s="83" t="n">
        <x:f>IFERROR(INDEX('Resource Rate Library'!$I$5:$I$85,MATCH(P77,'Resource Rate Library'!$A$5:$A$85,0)),0)</x:f>
        <x:v>0</x:v>
      </x:c>
      <x:c r="X77" s="52"/>
      <x:c r="Y77" s="83" t="n">
        <x:f t="shared" si="8">IF(X77&gt;0,X77,W77)</x:f>
        <x:v>0</x:v>
      </x:c>
      <x:c r="Z77" s="83" t="str">
        <x:f t="shared" si="9">IF(B77="","",IF(N77="Time x Count",M77*R77*IF(U77="",1,U77)*Y77,IF(N77="QS Qty x Factor",E77*R77*(1+IF(V77="",0,V77))*Y77,IF(N77="Direct Qty",S77*(1+IF(V77="",0,V77))*Y77,IF(N77="Lump Sum / Quote",S77*Y77,0)))))</x:f>
      </x:c>
      <x:c r="AA77" s="81" t="str">
        <x:f>IFERROR(INDEX('Resource Rate Library'!$N$5:$N$85,MATCH(P77,'Resource Rate Library'!$A$5:$A$85,0)),"")</x:f>
      </x:c>
      <x:c r="AB77" s="53"/>
      <x:c r="AC77" s="59"/>
      <x:c r="AD77" s="81" t="str">
        <x:f>IFERROR(INDEX('Resource Rate Library'!$G$5:$G$85,MATCH(P77,'Resource Rate Library'!$A$5:$A$85,0)),"")</x:f>
      </x:c>
      <x:c r="AE77" s="81" t="str">
        <x:f>IFERROR(INDEX('Resource Rate Library'!$H$5:$H$85,MATCH(P77,'Resource Rate Library'!$A$5:$A$85,0)),"")</x:f>
      </x:c>
      <x:c r="AF77" s="53"/>
      <x:c r="AG77" s="53"/>
      <x:c r="AH77" s="53"/>
      <x:c r="AI77" s="81" t="str">
        <x:f t="shared" si="5">IF(B77="","",IF(AND(P77="",N77&lt;&gt;"Lump Sum / Quote"),"RESOURCE CODE",IF(Y77=0,"RATE MISSING",IF(AND(O77="Plant",AD77="Yes",COUNTIFS($B$7:$B$306,B77,$O$7:$O$306,"Labour",$Q$7:$Q$306,"*Operator*")&gt;0),"OPERATOR DOUBLE-COUNT",IF(AND(O77="Plant",AE77="Yes",COUNTIFS($B$7:$B$306,B77,$Q$7:$Q$306,"*Fuel*")&gt;0),"FUEL DOUBLE-COUNT",IF(AH77&lt;&gt;"Yes","VERIFY","OK"))))))</x:f>
      </x:c>
      <x:c r="AJ77" s="54"/>
      <x:c r="AK77" s="473"/>
      <x:c r="AL77" s="473"/>
      <x:c r="AM77" s="473"/>
      <x:c r="AN77" s="500" t="n">
        <x:f>IF(AND(AK77="Yes",OR(O77="Labour",O77="Plant")),Z77,0)</x:f>
        <x:v>0</x:v>
      </x:c>
    </x:row>
    <x:row r="78" ht="22.049999237060547" customHeight="1">
      <x:c r="A78" s="80" t="str">
        <x:f>IF(B78="","",B78&amp;"-"&amp;TEXT(COUNTIF($B$7:B78,B78),"000"))</x:f>
      </x:c>
      <x:c r="B78" s="53"/>
      <x:c r="C78" s="81" t="str">
        <x:f>IFERROR(INDEX('QS Takeoff'!$A$3:$A$194,MATCH(B78,'QS Takeoff'!$B$3:$B$194,0)),"")</x:f>
      </x:c>
      <x:c r="D78" s="81" t="str">
        <x:f>IFERROR(INDEX('QS Takeoff'!$C$3:$C$194,MATCH(B78,'QS Takeoff'!$B$3:$B$194,0)),"")</x:f>
      </x:c>
      <x:c r="E78" s="81" t="str">
        <x:f>IFERROR(INDEX('QS Takeoff'!$E$3:$E$194,MATCH(B78,'QS Takeoff'!$B$3:$B$194,0)),"")</x:f>
      </x:c>
      <x:c r="F78" s="81" t="str">
        <x:f>IFERROR(INDEX('QS Takeoff'!$D$3:$D$194,MATCH(B78,'QS Takeoff'!$B$3:$B$194,0)),"")</x:f>
      </x:c>
      <x:c r="G78" s="81" t="str">
        <x:f>IFERROR(INDEX('QS Takeoff'!$J$3:$J$194,MATCH(B78,'QS Takeoff'!$B$3:$B$194,0)),"")</x:f>
      </x:c>
      <x:c r="H78" s="53"/>
      <x:c r="I78" s="60"/>
      <x:c r="J78" s="60"/>
      <x:c r="K78" s="82" t="str">
        <x:f t="shared" si="6">IF(OR(B78="",I78="",I78=0),"",E78/I78)</x:f>
      </x:c>
      <x:c r="L78" s="60"/>
      <x:c r="M78" s="82" t="str">
        <x:f t="shared" si="7">IF(L78&gt;0,L78,K78)</x:f>
      </x:c>
      <x:c r="N78" s="53"/>
      <x:c r="O78" s="53"/>
      <x:c r="P78" s="53"/>
      <x:c r="Q78" s="81" t="str">
        <x:f>IFERROR(INDEX('Resource Rate Library'!$C$5:$C$85,MATCH(P78,'Resource Rate Library'!$A$5:$A$85,0)),"")</x:f>
      </x:c>
      <x:c r="R78" s="53"/>
      <x:c r="S78" s="53"/>
      <x:c r="T78" s="81" t="str">
        <x:f>IFERROR(INDEX('Resource Rate Library'!$E$5:$E$85,MATCH(P78,'Resource Rate Library'!$A$5:$A$85,0)),"")</x:f>
      </x:c>
      <x:c r="U78" s="62"/>
      <x:c r="V78" s="62"/>
      <x:c r="W78" s="83" t="n">
        <x:f>IFERROR(INDEX('Resource Rate Library'!$I$5:$I$85,MATCH(P78,'Resource Rate Library'!$A$5:$A$85,0)),0)</x:f>
        <x:v>0</x:v>
      </x:c>
      <x:c r="X78" s="52"/>
      <x:c r="Y78" s="83" t="n">
        <x:f t="shared" si="8">IF(X78&gt;0,X78,W78)</x:f>
        <x:v>0</x:v>
      </x:c>
      <x:c r="Z78" s="83" t="str">
        <x:f t="shared" si="9">IF(B78="","",IF(N78="Time x Count",M78*R78*IF(U78="",1,U78)*Y78,IF(N78="QS Qty x Factor",E78*R78*(1+IF(V78="",0,V78))*Y78,IF(N78="Direct Qty",S78*(1+IF(V78="",0,V78))*Y78,IF(N78="Lump Sum / Quote",S78*Y78,0)))))</x:f>
      </x:c>
      <x:c r="AA78" s="81" t="str">
        <x:f>IFERROR(INDEX('Resource Rate Library'!$N$5:$N$85,MATCH(P78,'Resource Rate Library'!$A$5:$A$85,0)),"")</x:f>
      </x:c>
      <x:c r="AB78" s="53"/>
      <x:c r="AC78" s="59"/>
      <x:c r="AD78" s="81" t="str">
        <x:f>IFERROR(INDEX('Resource Rate Library'!$G$5:$G$85,MATCH(P78,'Resource Rate Library'!$A$5:$A$85,0)),"")</x:f>
      </x:c>
      <x:c r="AE78" s="81" t="str">
        <x:f>IFERROR(INDEX('Resource Rate Library'!$H$5:$H$85,MATCH(P78,'Resource Rate Library'!$A$5:$A$85,0)),"")</x:f>
      </x:c>
      <x:c r="AF78" s="53"/>
      <x:c r="AG78" s="53"/>
      <x:c r="AH78" s="53"/>
      <x:c r="AI78" s="81" t="str">
        <x:f t="shared" si="5">IF(B78="","",IF(AND(P78="",N78&lt;&gt;"Lump Sum / Quote"),"RESOURCE CODE",IF(Y78=0,"RATE MISSING",IF(AND(O78="Plant",AD78="Yes",COUNTIFS($B$7:$B$306,B78,$O$7:$O$306,"Labour",$Q$7:$Q$306,"*Operator*")&gt;0),"OPERATOR DOUBLE-COUNT",IF(AND(O78="Plant",AE78="Yes",COUNTIFS($B$7:$B$306,B78,$Q$7:$Q$306,"*Fuel*")&gt;0),"FUEL DOUBLE-COUNT",IF(AH78&lt;&gt;"Yes","VERIFY","OK"))))))</x:f>
      </x:c>
      <x:c r="AJ78" s="54"/>
      <x:c r="AK78" s="473"/>
      <x:c r="AL78" s="473"/>
      <x:c r="AM78" s="473"/>
      <x:c r="AN78" s="500" t="n">
        <x:f>IF(AND(AK78="Yes",OR(O78="Labour",O78="Plant")),Z78,0)</x:f>
        <x:v>0</x:v>
      </x:c>
    </x:row>
    <x:row r="79" ht="22.049999237060547" customHeight="1">
      <x:c r="A79" s="80" t="str">
        <x:f>IF(B79="","",B79&amp;"-"&amp;TEXT(COUNTIF($B$7:B79,B79),"000"))</x:f>
      </x:c>
      <x:c r="B79" s="53"/>
      <x:c r="C79" s="81" t="str">
        <x:f>IFERROR(INDEX('QS Takeoff'!$A$3:$A$194,MATCH(B79,'QS Takeoff'!$B$3:$B$194,0)),"")</x:f>
      </x:c>
      <x:c r="D79" s="81" t="str">
        <x:f>IFERROR(INDEX('QS Takeoff'!$C$3:$C$194,MATCH(B79,'QS Takeoff'!$B$3:$B$194,0)),"")</x:f>
      </x:c>
      <x:c r="E79" s="81" t="str">
        <x:f>IFERROR(INDEX('QS Takeoff'!$E$3:$E$194,MATCH(B79,'QS Takeoff'!$B$3:$B$194,0)),"")</x:f>
      </x:c>
      <x:c r="F79" s="81" t="str">
        <x:f>IFERROR(INDEX('QS Takeoff'!$D$3:$D$194,MATCH(B79,'QS Takeoff'!$B$3:$B$194,0)),"")</x:f>
      </x:c>
      <x:c r="G79" s="81" t="str">
        <x:f>IFERROR(INDEX('QS Takeoff'!$J$3:$J$194,MATCH(B79,'QS Takeoff'!$B$3:$B$194,0)),"")</x:f>
      </x:c>
      <x:c r="H79" s="53"/>
      <x:c r="I79" s="60"/>
      <x:c r="J79" s="60"/>
      <x:c r="K79" s="82" t="str">
        <x:f t="shared" si="6">IF(OR(B79="",I79="",I79=0),"",E79/I79)</x:f>
      </x:c>
      <x:c r="L79" s="60"/>
      <x:c r="M79" s="82" t="str">
        <x:f t="shared" si="7">IF(L79&gt;0,L79,K79)</x:f>
      </x:c>
      <x:c r="N79" s="53"/>
      <x:c r="O79" s="53"/>
      <x:c r="P79" s="53"/>
      <x:c r="Q79" s="81" t="str">
        <x:f>IFERROR(INDEX('Resource Rate Library'!$C$5:$C$85,MATCH(P79,'Resource Rate Library'!$A$5:$A$85,0)),"")</x:f>
      </x:c>
      <x:c r="R79" s="53"/>
      <x:c r="S79" s="53"/>
      <x:c r="T79" s="81" t="str">
        <x:f>IFERROR(INDEX('Resource Rate Library'!$E$5:$E$85,MATCH(P79,'Resource Rate Library'!$A$5:$A$85,0)),"")</x:f>
      </x:c>
      <x:c r="U79" s="62"/>
      <x:c r="V79" s="62"/>
      <x:c r="W79" s="83" t="n">
        <x:f>IFERROR(INDEX('Resource Rate Library'!$I$5:$I$85,MATCH(P79,'Resource Rate Library'!$A$5:$A$85,0)),0)</x:f>
        <x:v>0</x:v>
      </x:c>
      <x:c r="X79" s="52"/>
      <x:c r="Y79" s="83" t="n">
        <x:f t="shared" si="8">IF(X79&gt;0,X79,W79)</x:f>
        <x:v>0</x:v>
      </x:c>
      <x:c r="Z79" s="83" t="str">
        <x:f t="shared" si="9">IF(B79="","",IF(N79="Time x Count",M79*R79*IF(U79="",1,U79)*Y79,IF(N79="QS Qty x Factor",E79*R79*(1+IF(V79="",0,V79))*Y79,IF(N79="Direct Qty",S79*(1+IF(V79="",0,V79))*Y79,IF(N79="Lump Sum / Quote",S79*Y79,0)))))</x:f>
      </x:c>
      <x:c r="AA79" s="81" t="str">
        <x:f>IFERROR(INDEX('Resource Rate Library'!$N$5:$N$85,MATCH(P79,'Resource Rate Library'!$A$5:$A$85,0)),"")</x:f>
      </x:c>
      <x:c r="AB79" s="53"/>
      <x:c r="AC79" s="59"/>
      <x:c r="AD79" s="81" t="str">
        <x:f>IFERROR(INDEX('Resource Rate Library'!$G$5:$G$85,MATCH(P79,'Resource Rate Library'!$A$5:$A$85,0)),"")</x:f>
      </x:c>
      <x:c r="AE79" s="81" t="str">
        <x:f>IFERROR(INDEX('Resource Rate Library'!$H$5:$H$85,MATCH(P79,'Resource Rate Library'!$A$5:$A$85,0)),"")</x:f>
      </x:c>
      <x:c r="AF79" s="53"/>
      <x:c r="AG79" s="53"/>
      <x:c r="AH79" s="53"/>
      <x:c r="AI79" s="81" t="str">
        <x:f t="shared" si="5">IF(B79="","",IF(AND(P79="",N79&lt;&gt;"Lump Sum / Quote"),"RESOURCE CODE",IF(Y79=0,"RATE MISSING",IF(AND(O79="Plant",AD79="Yes",COUNTIFS($B$7:$B$306,B79,$O$7:$O$306,"Labour",$Q$7:$Q$306,"*Operator*")&gt;0),"OPERATOR DOUBLE-COUNT",IF(AND(O79="Plant",AE79="Yes",COUNTIFS($B$7:$B$306,B79,$Q$7:$Q$306,"*Fuel*")&gt;0),"FUEL DOUBLE-COUNT",IF(AH79&lt;&gt;"Yes","VERIFY","OK"))))))</x:f>
      </x:c>
      <x:c r="AJ79" s="54"/>
      <x:c r="AK79" s="473"/>
      <x:c r="AL79" s="473"/>
      <x:c r="AM79" s="473"/>
      <x:c r="AN79" s="500" t="n">
        <x:f>IF(AND(AK79="Yes",OR(O79="Labour",O79="Plant")),Z79,0)</x:f>
        <x:v>0</x:v>
      </x:c>
    </x:row>
    <x:row r="80" ht="22.049999237060547" customHeight="1">
      <x:c r="A80" s="80" t="str">
        <x:f>IF(B80="","",B80&amp;"-"&amp;TEXT(COUNTIF($B$7:B80,B80),"000"))</x:f>
      </x:c>
      <x:c r="B80" s="53"/>
      <x:c r="C80" s="81" t="str">
        <x:f>IFERROR(INDEX('QS Takeoff'!$A$3:$A$194,MATCH(B80,'QS Takeoff'!$B$3:$B$194,0)),"")</x:f>
      </x:c>
      <x:c r="D80" s="81" t="str">
        <x:f>IFERROR(INDEX('QS Takeoff'!$C$3:$C$194,MATCH(B80,'QS Takeoff'!$B$3:$B$194,0)),"")</x:f>
      </x:c>
      <x:c r="E80" s="81" t="str">
        <x:f>IFERROR(INDEX('QS Takeoff'!$E$3:$E$194,MATCH(B80,'QS Takeoff'!$B$3:$B$194,0)),"")</x:f>
      </x:c>
      <x:c r="F80" s="81" t="str">
        <x:f>IFERROR(INDEX('QS Takeoff'!$D$3:$D$194,MATCH(B80,'QS Takeoff'!$B$3:$B$194,0)),"")</x:f>
      </x:c>
      <x:c r="G80" s="81" t="str">
        <x:f>IFERROR(INDEX('QS Takeoff'!$J$3:$J$194,MATCH(B80,'QS Takeoff'!$B$3:$B$194,0)),"")</x:f>
      </x:c>
      <x:c r="H80" s="53"/>
      <x:c r="I80" s="60"/>
      <x:c r="J80" s="60"/>
      <x:c r="K80" s="82" t="str">
        <x:f t="shared" si="6">IF(OR(B80="",I80="",I80=0),"",E80/I80)</x:f>
      </x:c>
      <x:c r="L80" s="60"/>
      <x:c r="M80" s="82" t="str">
        <x:f t="shared" si="7">IF(L80&gt;0,L80,K80)</x:f>
      </x:c>
      <x:c r="N80" s="53"/>
      <x:c r="O80" s="53"/>
      <x:c r="P80" s="53"/>
      <x:c r="Q80" s="81" t="str">
        <x:f>IFERROR(INDEX('Resource Rate Library'!$C$5:$C$85,MATCH(P80,'Resource Rate Library'!$A$5:$A$85,0)),"")</x:f>
      </x:c>
      <x:c r="R80" s="53"/>
      <x:c r="S80" s="53"/>
      <x:c r="T80" s="81" t="str">
        <x:f>IFERROR(INDEX('Resource Rate Library'!$E$5:$E$85,MATCH(P80,'Resource Rate Library'!$A$5:$A$85,0)),"")</x:f>
      </x:c>
      <x:c r="U80" s="62"/>
      <x:c r="V80" s="62"/>
      <x:c r="W80" s="83" t="n">
        <x:f>IFERROR(INDEX('Resource Rate Library'!$I$5:$I$85,MATCH(P80,'Resource Rate Library'!$A$5:$A$85,0)),0)</x:f>
        <x:v>0</x:v>
      </x:c>
      <x:c r="X80" s="52"/>
      <x:c r="Y80" s="83" t="n">
        <x:f t="shared" si="8">IF(X80&gt;0,X80,W80)</x:f>
        <x:v>0</x:v>
      </x:c>
      <x:c r="Z80" s="83" t="str">
        <x:f t="shared" si="9">IF(B80="","",IF(N80="Time x Count",M80*R80*IF(U80="",1,U80)*Y80,IF(N80="QS Qty x Factor",E80*R80*(1+IF(V80="",0,V80))*Y80,IF(N80="Direct Qty",S80*(1+IF(V80="",0,V80))*Y80,IF(N80="Lump Sum / Quote",S80*Y80,0)))))</x:f>
      </x:c>
      <x:c r="AA80" s="81" t="str">
        <x:f>IFERROR(INDEX('Resource Rate Library'!$N$5:$N$85,MATCH(P80,'Resource Rate Library'!$A$5:$A$85,0)),"")</x:f>
      </x:c>
      <x:c r="AB80" s="53"/>
      <x:c r="AC80" s="59"/>
      <x:c r="AD80" s="81" t="str">
        <x:f>IFERROR(INDEX('Resource Rate Library'!$G$5:$G$85,MATCH(P80,'Resource Rate Library'!$A$5:$A$85,0)),"")</x:f>
      </x:c>
      <x:c r="AE80" s="81" t="str">
        <x:f>IFERROR(INDEX('Resource Rate Library'!$H$5:$H$85,MATCH(P80,'Resource Rate Library'!$A$5:$A$85,0)),"")</x:f>
      </x:c>
      <x:c r="AF80" s="53"/>
      <x:c r="AG80" s="53"/>
      <x:c r="AH80" s="53"/>
      <x:c r="AI80" s="81" t="str">
        <x:f t="shared" si="5">IF(B80="","",IF(AND(P80="",N80&lt;&gt;"Lump Sum / Quote"),"RESOURCE CODE",IF(Y80=0,"RATE MISSING",IF(AND(O80="Plant",AD80="Yes",COUNTIFS($B$7:$B$306,B80,$O$7:$O$306,"Labour",$Q$7:$Q$306,"*Operator*")&gt;0),"OPERATOR DOUBLE-COUNT",IF(AND(O80="Plant",AE80="Yes",COUNTIFS($B$7:$B$306,B80,$Q$7:$Q$306,"*Fuel*")&gt;0),"FUEL DOUBLE-COUNT",IF(AH80&lt;&gt;"Yes","VERIFY","OK"))))))</x:f>
      </x:c>
      <x:c r="AJ80" s="54"/>
      <x:c r="AK80" s="473"/>
      <x:c r="AL80" s="473"/>
      <x:c r="AM80" s="473"/>
      <x:c r="AN80" s="500" t="n">
        <x:f>IF(AND(AK80="Yes",OR(O80="Labour",O80="Plant")),Z80,0)</x:f>
        <x:v>0</x:v>
      </x:c>
    </x:row>
    <x:row r="81" ht="22.049999237060547" customHeight="1">
      <x:c r="A81" s="80" t="str">
        <x:f>IF(B81="","",B81&amp;"-"&amp;TEXT(COUNTIF($B$7:B81,B81),"000"))</x:f>
      </x:c>
      <x:c r="B81" s="53"/>
      <x:c r="C81" s="81" t="str">
        <x:f>IFERROR(INDEX('QS Takeoff'!$A$3:$A$194,MATCH(B81,'QS Takeoff'!$B$3:$B$194,0)),"")</x:f>
      </x:c>
      <x:c r="D81" s="81" t="str">
        <x:f>IFERROR(INDEX('QS Takeoff'!$C$3:$C$194,MATCH(B81,'QS Takeoff'!$B$3:$B$194,0)),"")</x:f>
      </x:c>
      <x:c r="E81" s="81" t="str">
        <x:f>IFERROR(INDEX('QS Takeoff'!$E$3:$E$194,MATCH(B81,'QS Takeoff'!$B$3:$B$194,0)),"")</x:f>
      </x:c>
      <x:c r="F81" s="81" t="str">
        <x:f>IFERROR(INDEX('QS Takeoff'!$D$3:$D$194,MATCH(B81,'QS Takeoff'!$B$3:$B$194,0)),"")</x:f>
      </x:c>
      <x:c r="G81" s="81" t="str">
        <x:f>IFERROR(INDEX('QS Takeoff'!$J$3:$J$194,MATCH(B81,'QS Takeoff'!$B$3:$B$194,0)),"")</x:f>
      </x:c>
      <x:c r="H81" s="53"/>
      <x:c r="I81" s="60"/>
      <x:c r="J81" s="60"/>
      <x:c r="K81" s="82" t="str">
        <x:f t="shared" si="6">IF(OR(B81="",I81="",I81=0),"",E81/I81)</x:f>
      </x:c>
      <x:c r="L81" s="60"/>
      <x:c r="M81" s="82" t="str">
        <x:f t="shared" si="7">IF(L81&gt;0,L81,K81)</x:f>
      </x:c>
      <x:c r="N81" s="53"/>
      <x:c r="O81" s="53"/>
      <x:c r="P81" s="53"/>
      <x:c r="Q81" s="81" t="str">
        <x:f>IFERROR(INDEX('Resource Rate Library'!$C$5:$C$85,MATCH(P81,'Resource Rate Library'!$A$5:$A$85,0)),"")</x:f>
      </x:c>
      <x:c r="R81" s="53"/>
      <x:c r="S81" s="53"/>
      <x:c r="T81" s="81" t="str">
        <x:f>IFERROR(INDEX('Resource Rate Library'!$E$5:$E$85,MATCH(P81,'Resource Rate Library'!$A$5:$A$85,0)),"")</x:f>
      </x:c>
      <x:c r="U81" s="62"/>
      <x:c r="V81" s="62"/>
      <x:c r="W81" s="83" t="n">
        <x:f>IFERROR(INDEX('Resource Rate Library'!$I$5:$I$85,MATCH(P81,'Resource Rate Library'!$A$5:$A$85,0)),0)</x:f>
        <x:v>0</x:v>
      </x:c>
      <x:c r="X81" s="88"/>
      <x:c r="Y81" s="89" t="n">
        <x:f t="shared" si="8">IF(X81&gt;0,X81,W81)</x:f>
        <x:v>0</x:v>
      </x:c>
      <x:c r="Z81" s="89" t="str">
        <x:f t="shared" si="9">IF(B81="","",IF(N81="Time x Count",M81*R81*IF(U81="",1,U81)*Y81,IF(N81="QS Qty x Factor",E81*R81*(1+IF(V81="",0,V81))*Y81,IF(N81="Direct Qty",S81*(1+IF(V81="",0,V81))*Y81,IF(N81="Lump Sum / Quote",S81*Y81,0)))))</x:f>
      </x:c>
      <x:c r="AA81" s="81" t="str">
        <x:f>IFERROR(INDEX('Resource Rate Library'!$N$5:$N$85,MATCH(P81,'Resource Rate Library'!$A$5:$A$85,0)),"")</x:f>
      </x:c>
      <x:c r="AB81" s="53"/>
      <x:c r="AC81" s="59"/>
      <x:c r="AD81" s="81" t="str">
        <x:f>IFERROR(INDEX('Resource Rate Library'!$G$5:$G$85,MATCH(P81,'Resource Rate Library'!$A$5:$A$85,0)),"")</x:f>
      </x:c>
      <x:c r="AE81" s="81" t="str">
        <x:f>IFERROR(INDEX('Resource Rate Library'!$H$5:$H$85,MATCH(P81,'Resource Rate Library'!$A$5:$A$85,0)),"")</x:f>
      </x:c>
      <x:c r="AF81" s="53"/>
      <x:c r="AG81" s="53"/>
      <x:c r="AH81" s="53"/>
      <x:c r="AI81" s="81" t="str">
        <x:f t="shared" si="5">IF(B81="","",IF(AND(P81="",N81&lt;&gt;"Lump Sum / Quote"),"RESOURCE CODE",IF(Y81=0,"RATE MISSING",IF(AND(O81="Plant",AD81="Yes",COUNTIFS($B$7:$B$306,B81,$O$7:$O$306,"Labour",$Q$7:$Q$306,"*Operator*")&gt;0),"OPERATOR DOUBLE-COUNT",IF(AND(O81="Plant",AE81="Yes",COUNTIFS($B$7:$B$306,B81,$Q$7:$Q$306,"*Fuel*")&gt;0),"FUEL DOUBLE-COUNT",IF(AH81&lt;&gt;"Yes","VERIFY","OK"))))))</x:f>
      </x:c>
      <x:c r="AJ81" s="54"/>
      <x:c r="AK81" s="473"/>
      <x:c r="AL81" s="473"/>
      <x:c r="AM81" s="473"/>
      <x:c r="AN81" s="500" t="n">
        <x:f>IF(AND(AK81="Yes",OR(O81="Labour",O81="Plant")),Z81,0)</x:f>
        <x:v>0</x:v>
      </x:c>
    </x:row>
    <x:row r="82" ht="22.049999237060547" customHeight="1">
      <x:c r="A82" s="80" t="str">
        <x:f>IF(B82="","",B82&amp;"-"&amp;TEXT(COUNTIF($B$7:B82,B82),"000"))</x:f>
      </x:c>
      <x:c r="B82" s="53"/>
      <x:c r="C82" s="81" t="str">
        <x:f>IFERROR(INDEX('QS Takeoff'!$A$3:$A$194,MATCH(B82,'QS Takeoff'!$B$3:$B$194,0)),"")</x:f>
      </x:c>
      <x:c r="D82" s="81" t="str">
        <x:f>IFERROR(INDEX('QS Takeoff'!$C$3:$C$194,MATCH(B82,'QS Takeoff'!$B$3:$B$194,0)),"")</x:f>
      </x:c>
      <x:c r="E82" s="81" t="str">
        <x:f>IFERROR(INDEX('QS Takeoff'!$E$3:$E$194,MATCH(B82,'QS Takeoff'!$B$3:$B$194,0)),"")</x:f>
      </x:c>
      <x:c r="F82" s="81" t="str">
        <x:f>IFERROR(INDEX('QS Takeoff'!$D$3:$D$194,MATCH(B82,'QS Takeoff'!$B$3:$B$194,0)),"")</x:f>
      </x:c>
      <x:c r="G82" s="81" t="str">
        <x:f>IFERROR(INDEX('QS Takeoff'!$J$3:$J$194,MATCH(B82,'QS Takeoff'!$B$3:$B$194,0)),"")</x:f>
      </x:c>
      <x:c r="H82" s="53"/>
      <x:c r="I82" s="60"/>
      <x:c r="J82" s="60"/>
      <x:c r="K82" s="82" t="str">
        <x:f t="shared" si="6">IF(OR(B82="",I82="",I82=0),"",E82/I82)</x:f>
      </x:c>
      <x:c r="L82" s="60"/>
      <x:c r="M82" s="82" t="str">
        <x:f t="shared" si="7">IF(L82&gt;0,L82,K82)</x:f>
      </x:c>
      <x:c r="N82" s="53"/>
      <x:c r="O82" s="53"/>
      <x:c r="P82" s="53"/>
      <x:c r="Q82" s="81" t="str">
        <x:f>IFERROR(INDEX('Resource Rate Library'!$C$5:$C$85,MATCH(P82,'Resource Rate Library'!$A$5:$A$85,0)),"")</x:f>
      </x:c>
      <x:c r="R82" s="53"/>
      <x:c r="S82" s="53"/>
      <x:c r="T82" s="81" t="str">
        <x:f>IFERROR(INDEX('Resource Rate Library'!$E$5:$E$85,MATCH(P82,'Resource Rate Library'!$A$5:$A$85,0)),"")</x:f>
      </x:c>
      <x:c r="U82" s="62"/>
      <x:c r="V82" s="62"/>
      <x:c r="W82" s="83" t="n">
        <x:f>IFERROR(INDEX('Resource Rate Library'!$I$5:$I$85,MATCH(P82,'Resource Rate Library'!$A$5:$A$85,0)),0)</x:f>
        <x:v>0</x:v>
      </x:c>
      <x:c r="X82" s="52"/>
      <x:c r="Y82" s="83" t="n">
        <x:f t="shared" si="8">IF(X82&gt;0,X82,W82)</x:f>
        <x:v>0</x:v>
      </x:c>
      <x:c r="Z82" s="83" t="str">
        <x:f t="shared" si="9">IF(B82="","",IF(N82="Time x Count",M82*R82*IF(U82="",1,U82)*Y82,IF(N82="QS Qty x Factor",E82*R82*(1+IF(V82="",0,V82))*Y82,IF(N82="Direct Qty",S82*(1+IF(V82="",0,V82))*Y82,IF(N82="Lump Sum / Quote",S82*Y82,0)))))</x:f>
      </x:c>
      <x:c r="AA82" s="81" t="str">
        <x:f>IFERROR(INDEX('Resource Rate Library'!$N$5:$N$85,MATCH(P82,'Resource Rate Library'!$A$5:$A$85,0)),"")</x:f>
      </x:c>
      <x:c r="AB82" s="53"/>
      <x:c r="AC82" s="59"/>
      <x:c r="AD82" s="81" t="str">
        <x:f>IFERROR(INDEX('Resource Rate Library'!$G$5:$G$85,MATCH(P82,'Resource Rate Library'!$A$5:$A$85,0)),"")</x:f>
      </x:c>
      <x:c r="AE82" s="81" t="str">
        <x:f>IFERROR(INDEX('Resource Rate Library'!$H$5:$H$85,MATCH(P82,'Resource Rate Library'!$A$5:$A$85,0)),"")</x:f>
      </x:c>
      <x:c r="AF82" s="53"/>
      <x:c r="AG82" s="53"/>
      <x:c r="AH82" s="53"/>
      <x:c r="AI82" s="81" t="str">
        <x:f t="shared" si="5">IF(B82="","",IF(AND(P82="",N82&lt;&gt;"Lump Sum / Quote"),"RESOURCE CODE",IF(Y82=0,"RATE MISSING",IF(AND(O82="Plant",AD82="Yes",COUNTIFS($B$7:$B$306,B82,$O$7:$O$306,"Labour",$Q$7:$Q$306,"*Operator*")&gt;0),"OPERATOR DOUBLE-COUNT",IF(AND(O82="Plant",AE82="Yes",COUNTIFS($B$7:$B$306,B82,$Q$7:$Q$306,"*Fuel*")&gt;0),"FUEL DOUBLE-COUNT",IF(AH82&lt;&gt;"Yes","VERIFY","OK"))))))</x:f>
      </x:c>
      <x:c r="AJ82" s="54"/>
      <x:c r="AK82" s="473"/>
      <x:c r="AL82" s="473"/>
      <x:c r="AM82" s="473"/>
      <x:c r="AN82" s="500" t="n">
        <x:f>IF(AND(AK82="Yes",OR(O82="Labour",O82="Plant")),Z82,0)</x:f>
        <x:v>0</x:v>
      </x:c>
    </x:row>
    <x:row r="83" ht="22.049999237060547" customHeight="1">
      <x:c r="A83" s="80" t="str">
        <x:f>IF(B83="","",B83&amp;"-"&amp;TEXT(COUNTIF($B$7:B83,B83),"000"))</x:f>
      </x:c>
      <x:c r="B83" s="53"/>
      <x:c r="C83" s="81" t="str">
        <x:f>IFERROR(INDEX('QS Takeoff'!$A$3:$A$194,MATCH(B83,'QS Takeoff'!$B$3:$B$194,0)),"")</x:f>
      </x:c>
      <x:c r="D83" s="81" t="str">
        <x:f>IFERROR(INDEX('QS Takeoff'!$C$3:$C$194,MATCH(B83,'QS Takeoff'!$B$3:$B$194,0)),"")</x:f>
      </x:c>
      <x:c r="E83" s="81" t="str">
        <x:f>IFERROR(INDEX('QS Takeoff'!$E$3:$E$194,MATCH(B83,'QS Takeoff'!$B$3:$B$194,0)),"")</x:f>
      </x:c>
      <x:c r="F83" s="81" t="str">
        <x:f>IFERROR(INDEX('QS Takeoff'!$D$3:$D$194,MATCH(B83,'QS Takeoff'!$B$3:$B$194,0)),"")</x:f>
      </x:c>
      <x:c r="G83" s="81" t="str">
        <x:f>IFERROR(INDEX('QS Takeoff'!$J$3:$J$194,MATCH(B83,'QS Takeoff'!$B$3:$B$194,0)),"")</x:f>
      </x:c>
      <x:c r="H83" s="53"/>
      <x:c r="I83" s="60"/>
      <x:c r="J83" s="60"/>
      <x:c r="K83" s="82" t="str">
        <x:f t="shared" si="6">IF(OR(B83="",I83="",I83=0),"",E83/I83)</x:f>
      </x:c>
      <x:c r="L83" s="60"/>
      <x:c r="M83" s="82" t="str">
        <x:f t="shared" si="7">IF(L83&gt;0,L83,K83)</x:f>
      </x:c>
      <x:c r="N83" s="53"/>
      <x:c r="O83" s="53"/>
      <x:c r="P83" s="53"/>
      <x:c r="Q83" s="81" t="str">
        <x:f>IFERROR(INDEX('Resource Rate Library'!$C$5:$C$85,MATCH(P83,'Resource Rate Library'!$A$5:$A$85,0)),"")</x:f>
      </x:c>
      <x:c r="R83" s="53"/>
      <x:c r="S83" s="53"/>
      <x:c r="T83" s="81" t="str">
        <x:f>IFERROR(INDEX('Resource Rate Library'!$E$5:$E$85,MATCH(P83,'Resource Rate Library'!$A$5:$A$85,0)),"")</x:f>
      </x:c>
      <x:c r="U83" s="62"/>
      <x:c r="V83" s="62"/>
      <x:c r="W83" s="83" t="n">
        <x:f>IFERROR(INDEX('Resource Rate Library'!$I$5:$I$85,MATCH(P83,'Resource Rate Library'!$A$5:$A$85,0)),0)</x:f>
        <x:v>0</x:v>
      </x:c>
      <x:c r="X83" s="52"/>
      <x:c r="Y83" s="83" t="n">
        <x:f t="shared" si="8">IF(X83&gt;0,X83,W83)</x:f>
        <x:v>0</x:v>
      </x:c>
      <x:c r="Z83" s="83" t="str">
        <x:f t="shared" si="9">IF(B83="","",IF(N83="Time x Count",M83*R83*IF(U83="",1,U83)*Y83,IF(N83="QS Qty x Factor",E83*R83*(1+IF(V83="",0,V83))*Y83,IF(N83="Direct Qty",S83*(1+IF(V83="",0,V83))*Y83,IF(N83="Lump Sum / Quote",S83*Y83,0)))))</x:f>
      </x:c>
      <x:c r="AA83" s="81" t="str">
        <x:f>IFERROR(INDEX('Resource Rate Library'!$N$5:$N$85,MATCH(P83,'Resource Rate Library'!$A$5:$A$85,0)),"")</x:f>
      </x:c>
      <x:c r="AB83" s="53"/>
      <x:c r="AC83" s="59"/>
      <x:c r="AD83" s="81" t="str">
        <x:f>IFERROR(INDEX('Resource Rate Library'!$G$5:$G$85,MATCH(P83,'Resource Rate Library'!$A$5:$A$85,0)),"")</x:f>
      </x:c>
      <x:c r="AE83" s="81" t="str">
        <x:f>IFERROR(INDEX('Resource Rate Library'!$H$5:$H$85,MATCH(P83,'Resource Rate Library'!$A$5:$A$85,0)),"")</x:f>
      </x:c>
      <x:c r="AF83" s="53"/>
      <x:c r="AG83" s="53"/>
      <x:c r="AH83" s="53"/>
      <x:c r="AI83" s="81" t="str">
        <x:f t="shared" si="5">IF(B83="","",IF(AND(P83="",N83&lt;&gt;"Lump Sum / Quote"),"RESOURCE CODE",IF(Y83=0,"RATE MISSING",IF(AND(O83="Plant",AD83="Yes",COUNTIFS($B$7:$B$306,B83,$O$7:$O$306,"Labour",$Q$7:$Q$306,"*Operator*")&gt;0),"OPERATOR DOUBLE-COUNT",IF(AND(O83="Plant",AE83="Yes",COUNTIFS($B$7:$B$306,B83,$Q$7:$Q$306,"*Fuel*")&gt;0),"FUEL DOUBLE-COUNT",IF(AH83&lt;&gt;"Yes","VERIFY","OK"))))))</x:f>
      </x:c>
      <x:c r="AJ83" s="54"/>
      <x:c r="AK83" s="473"/>
      <x:c r="AL83" s="473"/>
      <x:c r="AM83" s="473"/>
      <x:c r="AN83" s="500" t="n">
        <x:f>IF(AND(AK83="Yes",OR(O83="Labour",O83="Plant")),Z83,0)</x:f>
        <x:v>0</x:v>
      </x:c>
    </x:row>
    <x:row r="84" ht="22.049999237060547" customHeight="1">
      <x:c r="A84" s="80" t="str">
        <x:f>IF(B84="","",B84&amp;"-"&amp;TEXT(COUNTIF($B$7:B84,B84),"000"))</x:f>
      </x:c>
      <x:c r="B84" s="53"/>
      <x:c r="C84" s="81" t="str">
        <x:f>IFERROR(INDEX('QS Takeoff'!$A$3:$A$194,MATCH(B84,'QS Takeoff'!$B$3:$B$194,0)),"")</x:f>
      </x:c>
      <x:c r="D84" s="81" t="str">
        <x:f>IFERROR(INDEX('QS Takeoff'!$C$3:$C$194,MATCH(B84,'QS Takeoff'!$B$3:$B$194,0)),"")</x:f>
      </x:c>
      <x:c r="E84" s="81" t="str">
        <x:f>IFERROR(INDEX('QS Takeoff'!$E$3:$E$194,MATCH(B84,'QS Takeoff'!$B$3:$B$194,0)),"")</x:f>
      </x:c>
      <x:c r="F84" s="81" t="str">
        <x:f>IFERROR(INDEX('QS Takeoff'!$D$3:$D$194,MATCH(B84,'QS Takeoff'!$B$3:$B$194,0)),"")</x:f>
      </x:c>
      <x:c r="G84" s="81" t="str">
        <x:f>IFERROR(INDEX('QS Takeoff'!$J$3:$J$194,MATCH(B84,'QS Takeoff'!$B$3:$B$194,0)),"")</x:f>
      </x:c>
      <x:c r="H84" s="53"/>
      <x:c r="I84" s="60"/>
      <x:c r="J84" s="60"/>
      <x:c r="K84" s="82" t="str">
        <x:f t="shared" si="6">IF(OR(B84="",I84="",I84=0),"",E84/I84)</x:f>
      </x:c>
      <x:c r="L84" s="60"/>
      <x:c r="M84" s="82" t="str">
        <x:f t="shared" si="7">IF(L84&gt;0,L84,K84)</x:f>
      </x:c>
      <x:c r="N84" s="53"/>
      <x:c r="O84" s="53"/>
      <x:c r="P84" s="53"/>
      <x:c r="Q84" s="81" t="str">
        <x:f>IFERROR(INDEX('Resource Rate Library'!$C$5:$C$85,MATCH(P84,'Resource Rate Library'!$A$5:$A$85,0)),"")</x:f>
      </x:c>
      <x:c r="R84" s="53"/>
      <x:c r="S84" s="53"/>
      <x:c r="T84" s="81" t="str">
        <x:f>IFERROR(INDEX('Resource Rate Library'!$E$5:$E$85,MATCH(P84,'Resource Rate Library'!$A$5:$A$85,0)),"")</x:f>
      </x:c>
      <x:c r="U84" s="62"/>
      <x:c r="V84" s="62"/>
      <x:c r="W84" s="83" t="n">
        <x:f>IFERROR(INDEX('Resource Rate Library'!$I$5:$I$85,MATCH(P84,'Resource Rate Library'!$A$5:$A$85,0)),0)</x:f>
        <x:v>0</x:v>
      </x:c>
      <x:c r="X84" s="52"/>
      <x:c r="Y84" s="83" t="n">
        <x:f t="shared" si="8">IF(X84&gt;0,X84,W84)</x:f>
        <x:v>0</x:v>
      </x:c>
      <x:c r="Z84" s="83" t="str">
        <x:f t="shared" si="9">IF(B84="","",IF(N84="Time x Count",M84*R84*IF(U84="",1,U84)*Y84,IF(N84="QS Qty x Factor",E84*R84*(1+IF(V84="",0,V84))*Y84,IF(N84="Direct Qty",S84*(1+IF(V84="",0,V84))*Y84,IF(N84="Lump Sum / Quote",S84*Y84,0)))))</x:f>
      </x:c>
      <x:c r="AA84" s="81" t="str">
        <x:f>IFERROR(INDEX('Resource Rate Library'!$N$5:$N$85,MATCH(P84,'Resource Rate Library'!$A$5:$A$85,0)),"")</x:f>
      </x:c>
      <x:c r="AB84" s="53"/>
      <x:c r="AC84" s="59"/>
      <x:c r="AD84" s="81" t="str">
        <x:f>IFERROR(INDEX('Resource Rate Library'!$G$5:$G$85,MATCH(P84,'Resource Rate Library'!$A$5:$A$85,0)),"")</x:f>
      </x:c>
      <x:c r="AE84" s="81" t="str">
        <x:f>IFERROR(INDEX('Resource Rate Library'!$H$5:$H$85,MATCH(P84,'Resource Rate Library'!$A$5:$A$85,0)),"")</x:f>
      </x:c>
      <x:c r="AF84" s="53"/>
      <x:c r="AG84" s="53"/>
      <x:c r="AH84" s="53"/>
      <x:c r="AI84" s="81" t="str">
        <x:f t="shared" si="5">IF(B84="","",IF(AND(P84="",N84&lt;&gt;"Lump Sum / Quote"),"RESOURCE CODE",IF(Y84=0,"RATE MISSING",IF(AND(O84="Plant",AD84="Yes",COUNTIFS($B$7:$B$306,B84,$O$7:$O$306,"Labour",$Q$7:$Q$306,"*Operator*")&gt;0),"OPERATOR DOUBLE-COUNT",IF(AND(O84="Plant",AE84="Yes",COUNTIFS($B$7:$B$306,B84,$Q$7:$Q$306,"*Fuel*")&gt;0),"FUEL DOUBLE-COUNT",IF(AH84&lt;&gt;"Yes","VERIFY","OK"))))))</x:f>
      </x:c>
      <x:c r="AJ84" s="54"/>
      <x:c r="AK84" s="473"/>
      <x:c r="AL84" s="473"/>
      <x:c r="AM84" s="473"/>
      <x:c r="AN84" s="500" t="n">
        <x:f>IF(AND(AK84="Yes",OR(O84="Labour",O84="Plant")),Z84,0)</x:f>
        <x:v>0</x:v>
      </x:c>
    </x:row>
    <x:row r="85" ht="22.049999237060547" customHeight="1">
      <x:c r="A85" s="80" t="str">
        <x:f>IF(B85="","",B85&amp;"-"&amp;TEXT(COUNTIF($B$7:B85,B85),"000"))</x:f>
      </x:c>
      <x:c r="B85" s="53"/>
      <x:c r="C85" s="81" t="str">
        <x:f>IFERROR(INDEX('QS Takeoff'!$A$3:$A$194,MATCH(B85,'QS Takeoff'!$B$3:$B$194,0)),"")</x:f>
      </x:c>
      <x:c r="D85" s="81" t="str">
        <x:f>IFERROR(INDEX('QS Takeoff'!$C$3:$C$194,MATCH(B85,'QS Takeoff'!$B$3:$B$194,0)),"")</x:f>
      </x:c>
      <x:c r="E85" s="81" t="str">
        <x:f>IFERROR(INDEX('QS Takeoff'!$E$3:$E$194,MATCH(B85,'QS Takeoff'!$B$3:$B$194,0)),"")</x:f>
      </x:c>
      <x:c r="F85" s="81" t="str">
        <x:f>IFERROR(INDEX('QS Takeoff'!$D$3:$D$194,MATCH(B85,'QS Takeoff'!$B$3:$B$194,0)),"")</x:f>
      </x:c>
      <x:c r="G85" s="81" t="str">
        <x:f>IFERROR(INDEX('QS Takeoff'!$J$3:$J$194,MATCH(B85,'QS Takeoff'!$B$3:$B$194,0)),"")</x:f>
      </x:c>
      <x:c r="H85" s="53"/>
      <x:c r="I85" s="60"/>
      <x:c r="J85" s="60"/>
      <x:c r="K85" s="82" t="str">
        <x:f t="shared" si="6">IF(OR(B85="",I85="",I85=0),"",E85/I85)</x:f>
      </x:c>
      <x:c r="L85" s="60"/>
      <x:c r="M85" s="82" t="str">
        <x:f t="shared" si="7">IF(L85&gt;0,L85,K85)</x:f>
      </x:c>
      <x:c r="N85" s="53"/>
      <x:c r="O85" s="53"/>
      <x:c r="P85" s="53"/>
      <x:c r="Q85" s="81" t="str">
        <x:f>IFERROR(INDEX('Resource Rate Library'!$C$5:$C$85,MATCH(P85,'Resource Rate Library'!$A$5:$A$85,0)),"")</x:f>
      </x:c>
      <x:c r="R85" s="53"/>
      <x:c r="S85" s="53"/>
      <x:c r="T85" s="81" t="str">
        <x:f>IFERROR(INDEX('Resource Rate Library'!$E$5:$E$85,MATCH(P85,'Resource Rate Library'!$A$5:$A$85,0)),"")</x:f>
      </x:c>
      <x:c r="U85" s="62"/>
      <x:c r="V85" s="62"/>
      <x:c r="W85" s="83" t="n">
        <x:f>IFERROR(INDEX('Resource Rate Library'!$I$5:$I$85,MATCH(P85,'Resource Rate Library'!$A$5:$A$85,0)),0)</x:f>
        <x:v>0</x:v>
      </x:c>
      <x:c r="X85" s="52"/>
      <x:c r="Y85" s="83" t="n">
        <x:f t="shared" si="8">IF(X85&gt;0,X85,W85)</x:f>
        <x:v>0</x:v>
      </x:c>
      <x:c r="Z85" s="83" t="str">
        <x:f t="shared" si="9">IF(B85="","",IF(N85="Time x Count",M85*R85*IF(U85="",1,U85)*Y85,IF(N85="QS Qty x Factor",E85*R85*(1+IF(V85="",0,V85))*Y85,IF(N85="Direct Qty",S85*(1+IF(V85="",0,V85))*Y85,IF(N85="Lump Sum / Quote",S85*Y85,0)))))</x:f>
      </x:c>
      <x:c r="AA85" s="81" t="str">
        <x:f>IFERROR(INDEX('Resource Rate Library'!$N$5:$N$85,MATCH(P85,'Resource Rate Library'!$A$5:$A$85,0)),"")</x:f>
      </x:c>
      <x:c r="AB85" s="53"/>
      <x:c r="AC85" s="59"/>
      <x:c r="AD85" s="81" t="str">
        <x:f>IFERROR(INDEX('Resource Rate Library'!$G$5:$G$85,MATCH(P85,'Resource Rate Library'!$A$5:$A$85,0)),"")</x:f>
      </x:c>
      <x:c r="AE85" s="81" t="str">
        <x:f>IFERROR(INDEX('Resource Rate Library'!$H$5:$H$85,MATCH(P85,'Resource Rate Library'!$A$5:$A$85,0)),"")</x:f>
      </x:c>
      <x:c r="AF85" s="53"/>
      <x:c r="AG85" s="53"/>
      <x:c r="AH85" s="53"/>
      <x:c r="AI85" s="81" t="str">
        <x:f t="shared" si="5">IF(B85="","",IF(AND(P85="",N85&lt;&gt;"Lump Sum / Quote"),"RESOURCE CODE",IF(Y85=0,"RATE MISSING",IF(AND(O85="Plant",AD85="Yes",COUNTIFS($B$7:$B$306,B85,$O$7:$O$306,"Labour",$Q$7:$Q$306,"*Operator*")&gt;0),"OPERATOR DOUBLE-COUNT",IF(AND(O85="Plant",AE85="Yes",COUNTIFS($B$7:$B$306,B85,$Q$7:$Q$306,"*Fuel*")&gt;0),"FUEL DOUBLE-COUNT",IF(AH85&lt;&gt;"Yes","VERIFY","OK"))))))</x:f>
      </x:c>
      <x:c r="AJ85" s="54"/>
      <x:c r="AK85" s="473"/>
      <x:c r="AL85" s="473"/>
      <x:c r="AM85" s="473"/>
      <x:c r="AN85" s="500" t="n">
        <x:f>IF(AND(AK85="Yes",OR(O85="Labour",O85="Plant")),Z85,0)</x:f>
        <x:v>0</x:v>
      </x:c>
    </x:row>
    <x:row r="86" ht="22.049999237060547" customHeight="1">
      <x:c r="A86" s="80" t="str">
        <x:f>IF(B86="","",B86&amp;"-"&amp;TEXT(COUNTIF($B$7:B86,B86),"000"))</x:f>
      </x:c>
      <x:c r="B86" s="53"/>
      <x:c r="C86" s="81" t="str">
        <x:f>IFERROR(INDEX('QS Takeoff'!$A$3:$A$194,MATCH(B86,'QS Takeoff'!$B$3:$B$194,0)),"")</x:f>
      </x:c>
      <x:c r="D86" s="81" t="str">
        <x:f>IFERROR(INDEX('QS Takeoff'!$C$3:$C$194,MATCH(B86,'QS Takeoff'!$B$3:$B$194,0)),"")</x:f>
      </x:c>
      <x:c r="E86" s="81" t="str">
        <x:f>IFERROR(INDEX('QS Takeoff'!$E$3:$E$194,MATCH(B86,'QS Takeoff'!$B$3:$B$194,0)),"")</x:f>
      </x:c>
      <x:c r="F86" s="81" t="str">
        <x:f>IFERROR(INDEX('QS Takeoff'!$D$3:$D$194,MATCH(B86,'QS Takeoff'!$B$3:$B$194,0)),"")</x:f>
      </x:c>
      <x:c r="G86" s="81" t="str">
        <x:f>IFERROR(INDEX('QS Takeoff'!$J$3:$J$194,MATCH(B86,'QS Takeoff'!$B$3:$B$194,0)),"")</x:f>
      </x:c>
      <x:c r="H86" s="53"/>
      <x:c r="I86" s="60"/>
      <x:c r="J86" s="60"/>
      <x:c r="K86" s="82" t="str">
        <x:f t="shared" si="6">IF(OR(B86="",I86="",I86=0),"",E86/I86)</x:f>
      </x:c>
      <x:c r="L86" s="60"/>
      <x:c r="M86" s="82" t="str">
        <x:f t="shared" si="7">IF(L86&gt;0,L86,K86)</x:f>
      </x:c>
      <x:c r="N86" s="53"/>
      <x:c r="O86" s="53"/>
      <x:c r="P86" s="53"/>
      <x:c r="Q86" s="81" t="str">
        <x:f>IFERROR(INDEX('Resource Rate Library'!$C$5:$C$85,MATCH(P86,'Resource Rate Library'!$A$5:$A$85,0)),"")</x:f>
      </x:c>
      <x:c r="R86" s="53"/>
      <x:c r="S86" s="53"/>
      <x:c r="T86" s="81" t="str">
        <x:f>IFERROR(INDEX('Resource Rate Library'!$E$5:$E$85,MATCH(P86,'Resource Rate Library'!$A$5:$A$85,0)),"")</x:f>
      </x:c>
      <x:c r="U86" s="62"/>
      <x:c r="V86" s="62"/>
      <x:c r="W86" s="83" t="n">
        <x:f>IFERROR(INDEX('Resource Rate Library'!$I$5:$I$85,MATCH(P86,'Resource Rate Library'!$A$5:$A$85,0)),0)</x:f>
        <x:v>0</x:v>
      </x:c>
      <x:c r="X86" s="52"/>
      <x:c r="Y86" s="83" t="n">
        <x:f t="shared" si="8">IF(X86&gt;0,X86,W86)</x:f>
        <x:v>0</x:v>
      </x:c>
      <x:c r="Z86" s="83" t="str">
        <x:f t="shared" si="9">IF(B86="","",IF(N86="Time x Count",M86*R86*IF(U86="",1,U86)*Y86,IF(N86="QS Qty x Factor",E86*R86*(1+IF(V86="",0,V86))*Y86,IF(N86="Direct Qty",S86*(1+IF(V86="",0,V86))*Y86,IF(N86="Lump Sum / Quote",S86*Y86,0)))))</x:f>
      </x:c>
      <x:c r="AA86" s="81" t="str">
        <x:f>IFERROR(INDEX('Resource Rate Library'!$N$5:$N$85,MATCH(P86,'Resource Rate Library'!$A$5:$A$85,0)),"")</x:f>
      </x:c>
      <x:c r="AB86" s="53"/>
      <x:c r="AC86" s="59"/>
      <x:c r="AD86" s="81" t="str">
        <x:f>IFERROR(INDEX('Resource Rate Library'!$G$5:$G$85,MATCH(P86,'Resource Rate Library'!$A$5:$A$85,0)),"")</x:f>
      </x:c>
      <x:c r="AE86" s="81" t="str">
        <x:f>IFERROR(INDEX('Resource Rate Library'!$H$5:$H$85,MATCH(P86,'Resource Rate Library'!$A$5:$A$85,0)),"")</x:f>
      </x:c>
      <x:c r="AF86" s="53"/>
      <x:c r="AG86" s="53"/>
      <x:c r="AH86" s="53"/>
      <x:c r="AI86" s="81" t="str">
        <x:f t="shared" si="5">IF(B86="","",IF(AND(P86="",N86&lt;&gt;"Lump Sum / Quote"),"RESOURCE CODE",IF(Y86=0,"RATE MISSING",IF(AND(O86="Plant",AD86="Yes",COUNTIFS($B$7:$B$306,B86,$O$7:$O$306,"Labour",$Q$7:$Q$306,"*Operator*")&gt;0),"OPERATOR DOUBLE-COUNT",IF(AND(O86="Plant",AE86="Yes",COUNTIFS($B$7:$B$306,B86,$Q$7:$Q$306,"*Fuel*")&gt;0),"FUEL DOUBLE-COUNT",IF(AH86&lt;&gt;"Yes","VERIFY","OK"))))))</x:f>
      </x:c>
      <x:c r="AJ86" s="54"/>
      <x:c r="AK86" s="473"/>
      <x:c r="AL86" s="473"/>
      <x:c r="AM86" s="473"/>
      <x:c r="AN86" s="500" t="n">
        <x:f>IF(AND(AK86="Yes",OR(O86="Labour",O86="Plant")),Z86,0)</x:f>
        <x:v>0</x:v>
      </x:c>
    </x:row>
    <x:row r="87" ht="22.049999237060547" customHeight="1">
      <x:c r="A87" s="80" t="str">
        <x:f>IF(B87="","",B87&amp;"-"&amp;TEXT(COUNTIF($B$7:B87,B87),"000"))</x:f>
      </x:c>
      <x:c r="B87" s="53"/>
      <x:c r="C87" s="81" t="str">
        <x:f>IFERROR(INDEX('QS Takeoff'!$A$3:$A$194,MATCH(B87,'QS Takeoff'!$B$3:$B$194,0)),"")</x:f>
      </x:c>
      <x:c r="D87" s="81" t="str">
        <x:f>IFERROR(INDEX('QS Takeoff'!$C$3:$C$194,MATCH(B87,'QS Takeoff'!$B$3:$B$194,0)),"")</x:f>
      </x:c>
      <x:c r="E87" s="81" t="str">
        <x:f>IFERROR(INDEX('QS Takeoff'!$E$3:$E$194,MATCH(B87,'QS Takeoff'!$B$3:$B$194,0)),"")</x:f>
      </x:c>
      <x:c r="F87" s="81" t="str">
        <x:f>IFERROR(INDEX('QS Takeoff'!$D$3:$D$194,MATCH(B87,'QS Takeoff'!$B$3:$B$194,0)),"")</x:f>
      </x:c>
      <x:c r="G87" s="81" t="str">
        <x:f>IFERROR(INDEX('QS Takeoff'!$J$3:$J$194,MATCH(B87,'QS Takeoff'!$B$3:$B$194,0)),"")</x:f>
      </x:c>
      <x:c r="H87" s="53"/>
      <x:c r="I87" s="60"/>
      <x:c r="J87" s="60"/>
      <x:c r="K87" s="82" t="str">
        <x:f t="shared" si="6">IF(OR(B87="",I87="",I87=0),"",E87/I87)</x:f>
      </x:c>
      <x:c r="L87" s="60"/>
      <x:c r="M87" s="82" t="str">
        <x:f t="shared" si="7">IF(L87&gt;0,L87,K87)</x:f>
      </x:c>
      <x:c r="N87" s="53"/>
      <x:c r="O87" s="53"/>
      <x:c r="P87" s="53"/>
      <x:c r="Q87" s="81" t="str">
        <x:f>IFERROR(INDEX('Resource Rate Library'!$C$5:$C$85,MATCH(P87,'Resource Rate Library'!$A$5:$A$85,0)),"")</x:f>
      </x:c>
      <x:c r="R87" s="53"/>
      <x:c r="S87" s="53"/>
      <x:c r="T87" s="81" t="str">
        <x:f>IFERROR(INDEX('Resource Rate Library'!$E$5:$E$85,MATCH(P87,'Resource Rate Library'!$A$5:$A$85,0)),"")</x:f>
      </x:c>
      <x:c r="U87" s="62"/>
      <x:c r="V87" s="62"/>
      <x:c r="W87" s="83" t="n">
        <x:f>IFERROR(INDEX('Resource Rate Library'!$I$5:$I$85,MATCH(P87,'Resource Rate Library'!$A$5:$A$85,0)),0)</x:f>
        <x:v>0</x:v>
      </x:c>
      <x:c r="X87" s="52"/>
      <x:c r="Y87" s="83" t="n">
        <x:f t="shared" si="8">IF(X87&gt;0,X87,W87)</x:f>
        <x:v>0</x:v>
      </x:c>
      <x:c r="Z87" s="83" t="str">
        <x:f t="shared" si="9">IF(B87="","",IF(N87="Time x Count",M87*R87*IF(U87="",1,U87)*Y87,IF(N87="QS Qty x Factor",E87*R87*(1+IF(V87="",0,V87))*Y87,IF(N87="Direct Qty",S87*(1+IF(V87="",0,V87))*Y87,IF(N87="Lump Sum / Quote",S87*Y87,0)))))</x:f>
      </x:c>
      <x:c r="AA87" s="81" t="str">
        <x:f>IFERROR(INDEX('Resource Rate Library'!$N$5:$N$85,MATCH(P87,'Resource Rate Library'!$A$5:$A$85,0)),"")</x:f>
      </x:c>
      <x:c r="AB87" s="53"/>
      <x:c r="AC87" s="59"/>
      <x:c r="AD87" s="81" t="str">
        <x:f>IFERROR(INDEX('Resource Rate Library'!$G$5:$G$85,MATCH(P87,'Resource Rate Library'!$A$5:$A$85,0)),"")</x:f>
      </x:c>
      <x:c r="AE87" s="81" t="str">
        <x:f>IFERROR(INDEX('Resource Rate Library'!$H$5:$H$85,MATCH(P87,'Resource Rate Library'!$A$5:$A$85,0)),"")</x:f>
      </x:c>
      <x:c r="AF87" s="53"/>
      <x:c r="AG87" s="53"/>
      <x:c r="AH87" s="53"/>
      <x:c r="AI87" s="81" t="str">
        <x:f t="shared" si="5">IF(B87="","",IF(AND(P87="",N87&lt;&gt;"Lump Sum / Quote"),"RESOURCE CODE",IF(Y87=0,"RATE MISSING",IF(AND(O87="Plant",AD87="Yes",COUNTIFS($B$7:$B$306,B87,$O$7:$O$306,"Labour",$Q$7:$Q$306,"*Operator*")&gt;0),"OPERATOR DOUBLE-COUNT",IF(AND(O87="Plant",AE87="Yes",COUNTIFS($B$7:$B$306,B87,$Q$7:$Q$306,"*Fuel*")&gt;0),"FUEL DOUBLE-COUNT",IF(AH87&lt;&gt;"Yes","VERIFY","OK"))))))</x:f>
      </x:c>
      <x:c r="AJ87" s="54"/>
      <x:c r="AK87" s="473"/>
      <x:c r="AL87" s="473"/>
      <x:c r="AM87" s="473"/>
      <x:c r="AN87" s="500" t="n">
        <x:f>IF(AND(AK87="Yes",OR(O87="Labour",O87="Plant")),Z87,0)</x:f>
        <x:v>0</x:v>
      </x:c>
    </x:row>
    <x:row r="88" ht="22.049999237060547" customHeight="1">
      <x:c r="A88" s="80" t="str">
        <x:f>IF(B88="","",B88&amp;"-"&amp;TEXT(COUNTIF($B$7:B88,B88),"000"))</x:f>
      </x:c>
      <x:c r="B88" s="53"/>
      <x:c r="C88" s="81" t="str">
        <x:f>IFERROR(INDEX('QS Takeoff'!$A$3:$A$194,MATCH(B88,'QS Takeoff'!$B$3:$B$194,0)),"")</x:f>
      </x:c>
      <x:c r="D88" s="81" t="str">
        <x:f>IFERROR(INDEX('QS Takeoff'!$C$3:$C$194,MATCH(B88,'QS Takeoff'!$B$3:$B$194,0)),"")</x:f>
      </x:c>
      <x:c r="E88" s="81" t="str">
        <x:f>IFERROR(INDEX('QS Takeoff'!$E$3:$E$194,MATCH(B88,'QS Takeoff'!$B$3:$B$194,0)),"")</x:f>
      </x:c>
      <x:c r="F88" s="81" t="str">
        <x:f>IFERROR(INDEX('QS Takeoff'!$D$3:$D$194,MATCH(B88,'QS Takeoff'!$B$3:$B$194,0)),"")</x:f>
      </x:c>
      <x:c r="G88" s="81" t="str">
        <x:f>IFERROR(INDEX('QS Takeoff'!$J$3:$J$194,MATCH(B88,'QS Takeoff'!$B$3:$B$194,0)),"")</x:f>
      </x:c>
      <x:c r="H88" s="53"/>
      <x:c r="I88" s="60"/>
      <x:c r="J88" s="60"/>
      <x:c r="K88" s="82" t="str">
        <x:f t="shared" si="6">IF(OR(B88="",I88="",I88=0),"",E88/I88)</x:f>
      </x:c>
      <x:c r="L88" s="60"/>
      <x:c r="M88" s="82" t="str">
        <x:f t="shared" si="7">IF(L88&gt;0,L88,K88)</x:f>
      </x:c>
      <x:c r="N88" s="53"/>
      <x:c r="O88" s="53"/>
      <x:c r="P88" s="53"/>
      <x:c r="Q88" s="81" t="str">
        <x:f>IFERROR(INDEX('Resource Rate Library'!$C$5:$C$85,MATCH(P88,'Resource Rate Library'!$A$5:$A$85,0)),"")</x:f>
      </x:c>
      <x:c r="R88" s="53"/>
      <x:c r="S88" s="53"/>
      <x:c r="T88" s="81" t="str">
        <x:f>IFERROR(INDEX('Resource Rate Library'!$E$5:$E$85,MATCH(P88,'Resource Rate Library'!$A$5:$A$85,0)),"")</x:f>
      </x:c>
      <x:c r="U88" s="62"/>
      <x:c r="V88" s="62"/>
      <x:c r="W88" s="83" t="n">
        <x:f>IFERROR(INDEX('Resource Rate Library'!$I$5:$I$85,MATCH(P88,'Resource Rate Library'!$A$5:$A$85,0)),0)</x:f>
        <x:v>0</x:v>
      </x:c>
      <x:c r="X88" s="52"/>
      <x:c r="Y88" s="83" t="n">
        <x:f t="shared" si="8">IF(X88&gt;0,X88,W88)</x:f>
        <x:v>0</x:v>
      </x:c>
      <x:c r="Z88" s="83" t="str">
        <x:f t="shared" si="9">IF(B88="","",IF(N88="Time x Count",M88*R88*IF(U88="",1,U88)*Y88,IF(N88="QS Qty x Factor",E88*R88*(1+IF(V88="",0,V88))*Y88,IF(N88="Direct Qty",S88*(1+IF(V88="",0,V88))*Y88,IF(N88="Lump Sum / Quote",S88*Y88,0)))))</x:f>
      </x:c>
      <x:c r="AA88" s="81" t="str">
        <x:f>IFERROR(INDEX('Resource Rate Library'!$N$5:$N$85,MATCH(P88,'Resource Rate Library'!$A$5:$A$85,0)),"")</x:f>
      </x:c>
      <x:c r="AB88" s="53"/>
      <x:c r="AC88" s="59"/>
      <x:c r="AD88" s="81" t="str">
        <x:f>IFERROR(INDEX('Resource Rate Library'!$G$5:$G$85,MATCH(P88,'Resource Rate Library'!$A$5:$A$85,0)),"")</x:f>
      </x:c>
      <x:c r="AE88" s="81" t="str">
        <x:f>IFERROR(INDEX('Resource Rate Library'!$H$5:$H$85,MATCH(P88,'Resource Rate Library'!$A$5:$A$85,0)),"")</x:f>
      </x:c>
      <x:c r="AF88" s="53"/>
      <x:c r="AG88" s="53"/>
      <x:c r="AH88" s="53"/>
      <x:c r="AI88" s="81" t="str">
        <x:f t="shared" si="5">IF(B88="","",IF(AND(P88="",N88&lt;&gt;"Lump Sum / Quote"),"RESOURCE CODE",IF(Y88=0,"RATE MISSING",IF(AND(O88="Plant",AD88="Yes",COUNTIFS($B$7:$B$306,B88,$O$7:$O$306,"Labour",$Q$7:$Q$306,"*Operator*")&gt;0),"OPERATOR DOUBLE-COUNT",IF(AND(O88="Plant",AE88="Yes",COUNTIFS($B$7:$B$306,B88,$Q$7:$Q$306,"*Fuel*")&gt;0),"FUEL DOUBLE-COUNT",IF(AH88&lt;&gt;"Yes","VERIFY","OK"))))))</x:f>
      </x:c>
      <x:c r="AJ88" s="54"/>
      <x:c r="AK88" s="473"/>
      <x:c r="AL88" s="473"/>
      <x:c r="AM88" s="473"/>
      <x:c r="AN88" s="500" t="n">
        <x:f>IF(AND(AK88="Yes",OR(O88="Labour",O88="Plant")),Z88,0)</x:f>
        <x:v>0</x:v>
      </x:c>
    </x:row>
    <x:row r="89" ht="22.049999237060547" customHeight="1">
      <x:c r="A89" s="80" t="str">
        <x:f>IF(B89="","",B89&amp;"-"&amp;TEXT(COUNTIF($B$7:B89,B89),"000"))</x:f>
      </x:c>
      <x:c r="B89" s="53"/>
      <x:c r="C89" s="81" t="str">
        <x:f>IFERROR(INDEX('QS Takeoff'!$A$3:$A$194,MATCH(B89,'QS Takeoff'!$B$3:$B$194,0)),"")</x:f>
      </x:c>
      <x:c r="D89" s="81" t="str">
        <x:f>IFERROR(INDEX('QS Takeoff'!$C$3:$C$194,MATCH(B89,'QS Takeoff'!$B$3:$B$194,0)),"")</x:f>
      </x:c>
      <x:c r="E89" s="81" t="str">
        <x:f>IFERROR(INDEX('QS Takeoff'!$E$3:$E$194,MATCH(B89,'QS Takeoff'!$B$3:$B$194,0)),"")</x:f>
      </x:c>
      <x:c r="F89" s="81" t="str">
        <x:f>IFERROR(INDEX('QS Takeoff'!$D$3:$D$194,MATCH(B89,'QS Takeoff'!$B$3:$B$194,0)),"")</x:f>
      </x:c>
      <x:c r="G89" s="81" t="str">
        <x:f>IFERROR(INDEX('QS Takeoff'!$J$3:$J$194,MATCH(B89,'QS Takeoff'!$B$3:$B$194,0)),"")</x:f>
      </x:c>
      <x:c r="H89" s="53"/>
      <x:c r="I89" s="60"/>
      <x:c r="J89" s="60"/>
      <x:c r="K89" s="82" t="str">
        <x:f t="shared" si="6">IF(OR(B89="",I89="",I89=0),"",E89/I89)</x:f>
      </x:c>
      <x:c r="L89" s="60"/>
      <x:c r="M89" s="82" t="str">
        <x:f t="shared" si="7">IF(L89&gt;0,L89,K89)</x:f>
      </x:c>
      <x:c r="N89" s="53"/>
      <x:c r="O89" s="53"/>
      <x:c r="P89" s="53"/>
      <x:c r="Q89" s="81" t="str">
        <x:f>IFERROR(INDEX('Resource Rate Library'!$C$5:$C$85,MATCH(P89,'Resource Rate Library'!$A$5:$A$85,0)),"")</x:f>
      </x:c>
      <x:c r="R89" s="53"/>
      <x:c r="S89" s="53"/>
      <x:c r="T89" s="81" t="str">
        <x:f>IFERROR(INDEX('Resource Rate Library'!$E$5:$E$85,MATCH(P89,'Resource Rate Library'!$A$5:$A$85,0)),"")</x:f>
      </x:c>
      <x:c r="U89" s="62"/>
      <x:c r="V89" s="62"/>
      <x:c r="W89" s="83" t="n">
        <x:f>IFERROR(INDEX('Resource Rate Library'!$I$5:$I$85,MATCH(P89,'Resource Rate Library'!$A$5:$A$85,0)),0)</x:f>
        <x:v>0</x:v>
      </x:c>
      <x:c r="X89" s="52"/>
      <x:c r="Y89" s="83" t="n">
        <x:f t="shared" si="8">IF(X89&gt;0,X89,W89)</x:f>
        <x:v>0</x:v>
      </x:c>
      <x:c r="Z89" s="83" t="str">
        <x:f t="shared" si="9">IF(B89="","",IF(N89="Time x Count",M89*R89*IF(U89="",1,U89)*Y89,IF(N89="QS Qty x Factor",E89*R89*(1+IF(V89="",0,V89))*Y89,IF(N89="Direct Qty",S89*(1+IF(V89="",0,V89))*Y89,IF(N89="Lump Sum / Quote",S89*Y89,0)))))</x:f>
      </x:c>
      <x:c r="AA89" s="81" t="str">
        <x:f>IFERROR(INDEX('Resource Rate Library'!$N$5:$N$85,MATCH(P89,'Resource Rate Library'!$A$5:$A$85,0)),"")</x:f>
      </x:c>
      <x:c r="AB89" s="53"/>
      <x:c r="AC89" s="59"/>
      <x:c r="AD89" s="81" t="str">
        <x:f>IFERROR(INDEX('Resource Rate Library'!$G$5:$G$85,MATCH(P89,'Resource Rate Library'!$A$5:$A$85,0)),"")</x:f>
      </x:c>
      <x:c r="AE89" s="81" t="str">
        <x:f>IFERROR(INDEX('Resource Rate Library'!$H$5:$H$85,MATCH(P89,'Resource Rate Library'!$A$5:$A$85,0)),"")</x:f>
      </x:c>
      <x:c r="AF89" s="53"/>
      <x:c r="AG89" s="53"/>
      <x:c r="AH89" s="53"/>
      <x:c r="AI89" s="81" t="str">
        <x:f t="shared" si="5">IF(B89="","",IF(AND(P89="",N89&lt;&gt;"Lump Sum / Quote"),"RESOURCE CODE",IF(Y89=0,"RATE MISSING",IF(AND(O89="Plant",AD89="Yes",COUNTIFS($B$7:$B$306,B89,$O$7:$O$306,"Labour",$Q$7:$Q$306,"*Operator*")&gt;0),"OPERATOR DOUBLE-COUNT",IF(AND(O89="Plant",AE89="Yes",COUNTIFS($B$7:$B$306,B89,$Q$7:$Q$306,"*Fuel*")&gt;0),"FUEL DOUBLE-COUNT",IF(AH89&lt;&gt;"Yes","VERIFY","OK"))))))</x:f>
      </x:c>
      <x:c r="AJ89" s="54"/>
      <x:c r="AK89" s="473"/>
      <x:c r="AL89" s="473"/>
      <x:c r="AM89" s="473"/>
      <x:c r="AN89" s="500" t="n">
        <x:f>IF(AND(AK89="Yes",OR(O89="Labour",O89="Plant")),Z89,0)</x:f>
        <x:v>0</x:v>
      </x:c>
    </x:row>
    <x:row r="90" ht="22.049999237060547" customHeight="1">
      <x:c r="A90" s="80" t="str">
        <x:f>IF(B90="","",B90&amp;"-"&amp;TEXT(COUNTIF($B$7:B90,B90),"000"))</x:f>
      </x:c>
      <x:c r="B90" s="53"/>
      <x:c r="C90" s="81" t="str">
        <x:f>IFERROR(INDEX('QS Takeoff'!$A$3:$A$194,MATCH(B90,'QS Takeoff'!$B$3:$B$194,0)),"")</x:f>
      </x:c>
      <x:c r="D90" s="81" t="str">
        <x:f>IFERROR(INDEX('QS Takeoff'!$C$3:$C$194,MATCH(B90,'QS Takeoff'!$B$3:$B$194,0)),"")</x:f>
      </x:c>
      <x:c r="E90" s="81" t="str">
        <x:f>IFERROR(INDEX('QS Takeoff'!$E$3:$E$194,MATCH(B90,'QS Takeoff'!$B$3:$B$194,0)),"")</x:f>
      </x:c>
      <x:c r="F90" s="81" t="str">
        <x:f>IFERROR(INDEX('QS Takeoff'!$D$3:$D$194,MATCH(B90,'QS Takeoff'!$B$3:$B$194,0)),"")</x:f>
      </x:c>
      <x:c r="G90" s="81" t="str">
        <x:f>IFERROR(INDEX('QS Takeoff'!$J$3:$J$194,MATCH(B90,'QS Takeoff'!$B$3:$B$194,0)),"")</x:f>
      </x:c>
      <x:c r="H90" s="53"/>
      <x:c r="I90" s="60"/>
      <x:c r="J90" s="60"/>
      <x:c r="K90" s="82" t="str">
        <x:f t="shared" si="6">IF(OR(B90="",I90="",I90=0),"",E90/I90)</x:f>
      </x:c>
      <x:c r="L90" s="60"/>
      <x:c r="M90" s="82" t="str">
        <x:f t="shared" si="7">IF(L90&gt;0,L90,K90)</x:f>
      </x:c>
      <x:c r="N90" s="53"/>
      <x:c r="O90" s="53"/>
      <x:c r="P90" s="53"/>
      <x:c r="Q90" s="81" t="str">
        <x:f>IFERROR(INDEX('Resource Rate Library'!$C$5:$C$85,MATCH(P90,'Resource Rate Library'!$A$5:$A$85,0)),"")</x:f>
      </x:c>
      <x:c r="R90" s="53"/>
      <x:c r="S90" s="53"/>
      <x:c r="T90" s="81" t="str">
        <x:f>IFERROR(INDEX('Resource Rate Library'!$E$5:$E$85,MATCH(P90,'Resource Rate Library'!$A$5:$A$85,0)),"")</x:f>
      </x:c>
      <x:c r="U90" s="62"/>
      <x:c r="V90" s="62"/>
      <x:c r="W90" s="83" t="n">
        <x:f>IFERROR(INDEX('Resource Rate Library'!$I$5:$I$85,MATCH(P90,'Resource Rate Library'!$A$5:$A$85,0)),0)</x:f>
        <x:v>0</x:v>
      </x:c>
      <x:c r="X90" s="52"/>
      <x:c r="Y90" s="83" t="n">
        <x:f t="shared" si="8">IF(X90&gt;0,X90,W90)</x:f>
        <x:v>0</x:v>
      </x:c>
      <x:c r="Z90" s="83" t="str">
        <x:f t="shared" si="9">IF(B90="","",IF(N90="Time x Count",M90*R90*IF(U90="",1,U90)*Y90,IF(N90="QS Qty x Factor",E90*R90*(1+IF(V90="",0,V90))*Y90,IF(N90="Direct Qty",S90*(1+IF(V90="",0,V90))*Y90,IF(N90="Lump Sum / Quote",S90*Y90,0)))))</x:f>
      </x:c>
      <x:c r="AA90" s="81" t="str">
        <x:f>IFERROR(INDEX('Resource Rate Library'!$N$5:$N$85,MATCH(P90,'Resource Rate Library'!$A$5:$A$85,0)),"")</x:f>
      </x:c>
      <x:c r="AB90" s="53"/>
      <x:c r="AC90" s="59"/>
      <x:c r="AD90" s="81" t="str">
        <x:f>IFERROR(INDEX('Resource Rate Library'!$G$5:$G$85,MATCH(P90,'Resource Rate Library'!$A$5:$A$85,0)),"")</x:f>
      </x:c>
      <x:c r="AE90" s="81" t="str">
        <x:f>IFERROR(INDEX('Resource Rate Library'!$H$5:$H$85,MATCH(P90,'Resource Rate Library'!$A$5:$A$85,0)),"")</x:f>
      </x:c>
      <x:c r="AF90" s="53"/>
      <x:c r="AG90" s="53"/>
      <x:c r="AH90" s="53"/>
      <x:c r="AI90" s="81" t="str">
        <x:f t="shared" si="5">IF(B90="","",IF(AND(P90="",N90&lt;&gt;"Lump Sum / Quote"),"RESOURCE CODE",IF(Y90=0,"RATE MISSING",IF(AND(O90="Plant",AD90="Yes",COUNTIFS($B$7:$B$306,B90,$O$7:$O$306,"Labour",$Q$7:$Q$306,"*Operator*")&gt;0),"OPERATOR DOUBLE-COUNT",IF(AND(O90="Plant",AE90="Yes",COUNTIFS($B$7:$B$306,B90,$Q$7:$Q$306,"*Fuel*")&gt;0),"FUEL DOUBLE-COUNT",IF(AH90&lt;&gt;"Yes","VERIFY","OK"))))))</x:f>
      </x:c>
      <x:c r="AJ90" s="54"/>
      <x:c r="AK90" s="473"/>
      <x:c r="AL90" s="473"/>
      <x:c r="AM90" s="473"/>
      <x:c r="AN90" s="500" t="n">
        <x:f>IF(AND(AK90="Yes",OR(O90="Labour",O90="Plant")),Z90,0)</x:f>
        <x:v>0</x:v>
      </x:c>
    </x:row>
    <x:row r="91" ht="22.049999237060547" customHeight="1">
      <x:c r="A91" s="80" t="str">
        <x:f>IF(B91="","",B91&amp;"-"&amp;TEXT(COUNTIF($B$7:B91,B91),"000"))</x:f>
      </x:c>
      <x:c r="B91" s="53"/>
      <x:c r="C91" s="81" t="str">
        <x:f>IFERROR(INDEX('QS Takeoff'!$A$3:$A$194,MATCH(B91,'QS Takeoff'!$B$3:$B$194,0)),"")</x:f>
      </x:c>
      <x:c r="D91" s="81" t="str">
        <x:f>IFERROR(INDEX('QS Takeoff'!$C$3:$C$194,MATCH(B91,'QS Takeoff'!$B$3:$B$194,0)),"")</x:f>
      </x:c>
      <x:c r="E91" s="81" t="str">
        <x:f>IFERROR(INDEX('QS Takeoff'!$E$3:$E$194,MATCH(B91,'QS Takeoff'!$B$3:$B$194,0)),"")</x:f>
      </x:c>
      <x:c r="F91" s="81" t="str">
        <x:f>IFERROR(INDEX('QS Takeoff'!$D$3:$D$194,MATCH(B91,'QS Takeoff'!$B$3:$B$194,0)),"")</x:f>
      </x:c>
      <x:c r="G91" s="81" t="str">
        <x:f>IFERROR(INDEX('QS Takeoff'!$J$3:$J$194,MATCH(B91,'QS Takeoff'!$B$3:$B$194,0)),"")</x:f>
      </x:c>
      <x:c r="H91" s="53"/>
      <x:c r="I91" s="60"/>
      <x:c r="J91" s="60"/>
      <x:c r="K91" s="82" t="str">
        <x:f t="shared" si="6">IF(OR(B91="",I91="",I91=0),"",E91/I91)</x:f>
      </x:c>
      <x:c r="L91" s="60"/>
      <x:c r="M91" s="82" t="str">
        <x:f t="shared" si="7">IF(L91&gt;0,L91,K91)</x:f>
      </x:c>
      <x:c r="N91" s="53"/>
      <x:c r="O91" s="53"/>
      <x:c r="P91" s="53"/>
      <x:c r="Q91" s="81" t="str">
        <x:f>IFERROR(INDEX('Resource Rate Library'!$C$5:$C$85,MATCH(P91,'Resource Rate Library'!$A$5:$A$85,0)),"")</x:f>
      </x:c>
      <x:c r="R91" s="53"/>
      <x:c r="S91" s="53"/>
      <x:c r="T91" s="81" t="str">
        <x:f>IFERROR(INDEX('Resource Rate Library'!$E$5:$E$85,MATCH(P91,'Resource Rate Library'!$A$5:$A$85,0)),"")</x:f>
      </x:c>
      <x:c r="U91" s="62"/>
      <x:c r="V91" s="62"/>
      <x:c r="W91" s="83" t="n">
        <x:f>IFERROR(INDEX('Resource Rate Library'!$I$5:$I$85,MATCH(P91,'Resource Rate Library'!$A$5:$A$85,0)),0)</x:f>
        <x:v>0</x:v>
      </x:c>
      <x:c r="X91" s="52"/>
      <x:c r="Y91" s="83" t="n">
        <x:f t="shared" si="8">IF(X91&gt;0,X91,W91)</x:f>
        <x:v>0</x:v>
      </x:c>
      <x:c r="Z91" s="83" t="str">
        <x:f t="shared" si="9">IF(B91="","",IF(N91="Time x Count",M91*R91*IF(U91="",1,U91)*Y91,IF(N91="QS Qty x Factor",E91*R91*(1+IF(V91="",0,V91))*Y91,IF(N91="Direct Qty",S91*(1+IF(V91="",0,V91))*Y91,IF(N91="Lump Sum / Quote",S91*Y91,0)))))</x:f>
      </x:c>
      <x:c r="AA91" s="81" t="str">
        <x:f>IFERROR(INDEX('Resource Rate Library'!$N$5:$N$85,MATCH(P91,'Resource Rate Library'!$A$5:$A$85,0)),"")</x:f>
      </x:c>
      <x:c r="AB91" s="53"/>
      <x:c r="AC91" s="59"/>
      <x:c r="AD91" s="81" t="str">
        <x:f>IFERROR(INDEX('Resource Rate Library'!$G$5:$G$85,MATCH(P91,'Resource Rate Library'!$A$5:$A$85,0)),"")</x:f>
      </x:c>
      <x:c r="AE91" s="81" t="str">
        <x:f>IFERROR(INDEX('Resource Rate Library'!$H$5:$H$85,MATCH(P91,'Resource Rate Library'!$A$5:$A$85,0)),"")</x:f>
      </x:c>
      <x:c r="AF91" s="53"/>
      <x:c r="AG91" s="53"/>
      <x:c r="AH91" s="53"/>
      <x:c r="AI91" s="81" t="str">
        <x:f t="shared" si="5">IF(B91="","",IF(AND(P91="",N91&lt;&gt;"Lump Sum / Quote"),"RESOURCE CODE",IF(Y91=0,"RATE MISSING",IF(AND(O91="Plant",AD91="Yes",COUNTIFS($B$7:$B$306,B91,$O$7:$O$306,"Labour",$Q$7:$Q$306,"*Operator*")&gt;0),"OPERATOR DOUBLE-COUNT",IF(AND(O91="Plant",AE91="Yes",COUNTIFS($B$7:$B$306,B91,$Q$7:$Q$306,"*Fuel*")&gt;0),"FUEL DOUBLE-COUNT",IF(AH91&lt;&gt;"Yes","VERIFY","OK"))))))</x:f>
      </x:c>
      <x:c r="AJ91" s="54"/>
      <x:c r="AK91" s="473"/>
      <x:c r="AL91" s="473"/>
      <x:c r="AM91" s="473"/>
      <x:c r="AN91" s="500" t="n">
        <x:f>IF(AND(AK91="Yes",OR(O91="Labour",O91="Plant")),Z91,0)</x:f>
        <x:v>0</x:v>
      </x:c>
    </x:row>
    <x:row r="92" ht="22.049999237060547" customHeight="1">
      <x:c r="A92" s="80" t="str">
        <x:f>IF(B92="","",B92&amp;"-"&amp;TEXT(COUNTIF($B$7:B92,B92),"000"))</x:f>
      </x:c>
      <x:c r="B92" s="53"/>
      <x:c r="C92" s="81" t="str">
        <x:f>IFERROR(INDEX('QS Takeoff'!$A$3:$A$194,MATCH(B92,'QS Takeoff'!$B$3:$B$194,0)),"")</x:f>
      </x:c>
      <x:c r="D92" s="81" t="str">
        <x:f>IFERROR(INDEX('QS Takeoff'!$C$3:$C$194,MATCH(B92,'QS Takeoff'!$B$3:$B$194,0)),"")</x:f>
      </x:c>
      <x:c r="E92" s="81" t="str">
        <x:f>IFERROR(INDEX('QS Takeoff'!$E$3:$E$194,MATCH(B92,'QS Takeoff'!$B$3:$B$194,0)),"")</x:f>
      </x:c>
      <x:c r="F92" s="81" t="str">
        <x:f>IFERROR(INDEX('QS Takeoff'!$D$3:$D$194,MATCH(B92,'QS Takeoff'!$B$3:$B$194,0)),"")</x:f>
      </x:c>
      <x:c r="G92" s="81" t="str">
        <x:f>IFERROR(INDEX('QS Takeoff'!$J$3:$J$194,MATCH(B92,'QS Takeoff'!$B$3:$B$194,0)),"")</x:f>
      </x:c>
      <x:c r="H92" s="53"/>
      <x:c r="I92" s="60"/>
      <x:c r="J92" s="60"/>
      <x:c r="K92" s="82" t="str">
        <x:f t="shared" si="6">IF(OR(B92="",I92="",I92=0),"",E92/I92)</x:f>
      </x:c>
      <x:c r="L92" s="60"/>
      <x:c r="M92" s="82" t="str">
        <x:f t="shared" si="7">IF(L92&gt;0,L92,K92)</x:f>
      </x:c>
      <x:c r="N92" s="53"/>
      <x:c r="O92" s="53"/>
      <x:c r="P92" s="53"/>
      <x:c r="Q92" s="81" t="str">
        <x:f>IFERROR(INDEX('Resource Rate Library'!$C$5:$C$85,MATCH(P92,'Resource Rate Library'!$A$5:$A$85,0)),"")</x:f>
      </x:c>
      <x:c r="R92" s="53"/>
      <x:c r="S92" s="53"/>
      <x:c r="T92" s="81" t="str">
        <x:f>IFERROR(INDEX('Resource Rate Library'!$E$5:$E$85,MATCH(P92,'Resource Rate Library'!$A$5:$A$85,0)),"")</x:f>
      </x:c>
      <x:c r="U92" s="62"/>
      <x:c r="V92" s="62"/>
      <x:c r="W92" s="83" t="n">
        <x:f>IFERROR(INDEX('Resource Rate Library'!$I$5:$I$85,MATCH(P92,'Resource Rate Library'!$A$5:$A$85,0)),0)</x:f>
        <x:v>0</x:v>
      </x:c>
      <x:c r="X92" s="52"/>
      <x:c r="Y92" s="83" t="n">
        <x:f t="shared" si="8">IF(X92&gt;0,X92,W92)</x:f>
        <x:v>0</x:v>
      </x:c>
      <x:c r="Z92" s="83" t="str">
        <x:f t="shared" si="9">IF(B92="","",IF(N92="Time x Count",M92*R92*IF(U92="",1,U92)*Y92,IF(N92="QS Qty x Factor",E92*R92*(1+IF(V92="",0,V92))*Y92,IF(N92="Direct Qty",S92*(1+IF(V92="",0,V92))*Y92,IF(N92="Lump Sum / Quote",S92*Y92,0)))))</x:f>
      </x:c>
      <x:c r="AA92" s="81" t="str">
        <x:f>IFERROR(INDEX('Resource Rate Library'!$N$5:$N$85,MATCH(P92,'Resource Rate Library'!$A$5:$A$85,0)),"")</x:f>
      </x:c>
      <x:c r="AB92" s="53"/>
      <x:c r="AC92" s="59"/>
      <x:c r="AD92" s="81" t="str">
        <x:f>IFERROR(INDEX('Resource Rate Library'!$G$5:$G$85,MATCH(P92,'Resource Rate Library'!$A$5:$A$85,0)),"")</x:f>
      </x:c>
      <x:c r="AE92" s="81" t="str">
        <x:f>IFERROR(INDEX('Resource Rate Library'!$H$5:$H$85,MATCH(P92,'Resource Rate Library'!$A$5:$A$85,0)),"")</x:f>
      </x:c>
      <x:c r="AF92" s="53"/>
      <x:c r="AG92" s="53"/>
      <x:c r="AH92" s="53"/>
      <x:c r="AI92" s="81" t="str">
        <x:f t="shared" si="5">IF(B92="","",IF(AND(P92="",N92&lt;&gt;"Lump Sum / Quote"),"RESOURCE CODE",IF(Y92=0,"RATE MISSING",IF(AND(O92="Plant",AD92="Yes",COUNTIFS($B$7:$B$306,B92,$O$7:$O$306,"Labour",$Q$7:$Q$306,"*Operator*")&gt;0),"OPERATOR DOUBLE-COUNT",IF(AND(O92="Plant",AE92="Yes",COUNTIFS($B$7:$B$306,B92,$Q$7:$Q$306,"*Fuel*")&gt;0),"FUEL DOUBLE-COUNT",IF(AH92&lt;&gt;"Yes","VERIFY","OK"))))))</x:f>
      </x:c>
      <x:c r="AJ92" s="54"/>
      <x:c r="AK92" s="473"/>
      <x:c r="AL92" s="473"/>
      <x:c r="AM92" s="473"/>
      <x:c r="AN92" s="500" t="n">
        <x:f>IF(AND(AK92="Yes",OR(O92="Labour",O92="Plant")),Z92,0)</x:f>
        <x:v>0</x:v>
      </x:c>
    </x:row>
    <x:row r="93" ht="22.049999237060547" customHeight="1">
      <x:c r="A93" s="80" t="str">
        <x:f>IF(B93="","",B93&amp;"-"&amp;TEXT(COUNTIF($B$7:B93,B93),"000"))</x:f>
      </x:c>
      <x:c r="B93" s="53"/>
      <x:c r="C93" s="81" t="str">
        <x:f>IFERROR(INDEX('QS Takeoff'!$A$3:$A$194,MATCH(B93,'QS Takeoff'!$B$3:$B$194,0)),"")</x:f>
      </x:c>
      <x:c r="D93" s="81" t="str">
        <x:f>IFERROR(INDEX('QS Takeoff'!$C$3:$C$194,MATCH(B93,'QS Takeoff'!$B$3:$B$194,0)),"")</x:f>
      </x:c>
      <x:c r="E93" s="81" t="str">
        <x:f>IFERROR(INDEX('QS Takeoff'!$E$3:$E$194,MATCH(B93,'QS Takeoff'!$B$3:$B$194,0)),"")</x:f>
      </x:c>
      <x:c r="F93" s="81" t="str">
        <x:f>IFERROR(INDEX('QS Takeoff'!$D$3:$D$194,MATCH(B93,'QS Takeoff'!$B$3:$B$194,0)),"")</x:f>
      </x:c>
      <x:c r="G93" s="81" t="str">
        <x:f>IFERROR(INDEX('QS Takeoff'!$J$3:$J$194,MATCH(B93,'QS Takeoff'!$B$3:$B$194,0)),"")</x:f>
      </x:c>
      <x:c r="H93" s="53"/>
      <x:c r="I93" s="60"/>
      <x:c r="J93" s="60"/>
      <x:c r="K93" s="82" t="str">
        <x:f t="shared" si="6">IF(OR(B93="",I93="",I93=0),"",E93/I93)</x:f>
      </x:c>
      <x:c r="L93" s="60"/>
      <x:c r="M93" s="82" t="str">
        <x:f t="shared" si="7">IF(L93&gt;0,L93,K93)</x:f>
      </x:c>
      <x:c r="N93" s="53"/>
      <x:c r="O93" s="53"/>
      <x:c r="P93" s="53"/>
      <x:c r="Q93" s="81" t="str">
        <x:f>IFERROR(INDEX('Resource Rate Library'!$C$5:$C$85,MATCH(P93,'Resource Rate Library'!$A$5:$A$85,0)),"")</x:f>
      </x:c>
      <x:c r="R93" s="53"/>
      <x:c r="S93" s="53"/>
      <x:c r="T93" s="81" t="str">
        <x:f>IFERROR(INDEX('Resource Rate Library'!$E$5:$E$85,MATCH(P93,'Resource Rate Library'!$A$5:$A$85,0)),"")</x:f>
      </x:c>
      <x:c r="U93" s="62"/>
      <x:c r="V93" s="62"/>
      <x:c r="W93" s="83" t="n">
        <x:f>IFERROR(INDEX('Resource Rate Library'!$I$5:$I$85,MATCH(P93,'Resource Rate Library'!$A$5:$A$85,0)),0)</x:f>
        <x:v>0</x:v>
      </x:c>
      <x:c r="X93" s="52"/>
      <x:c r="Y93" s="83" t="n">
        <x:f t="shared" si="8">IF(X93&gt;0,X93,W93)</x:f>
        <x:v>0</x:v>
      </x:c>
      <x:c r="Z93" s="83" t="str">
        <x:f t="shared" si="9">IF(B93="","",IF(N93="Time x Count",M93*R93*IF(U93="",1,U93)*Y93,IF(N93="QS Qty x Factor",E93*R93*(1+IF(V93="",0,V93))*Y93,IF(N93="Direct Qty",S93*(1+IF(V93="",0,V93))*Y93,IF(N93="Lump Sum / Quote",S93*Y93,0)))))</x:f>
      </x:c>
      <x:c r="AA93" s="81" t="str">
        <x:f>IFERROR(INDEX('Resource Rate Library'!$N$5:$N$85,MATCH(P93,'Resource Rate Library'!$A$5:$A$85,0)),"")</x:f>
      </x:c>
      <x:c r="AB93" s="53"/>
      <x:c r="AC93" s="59"/>
      <x:c r="AD93" s="81" t="str">
        <x:f>IFERROR(INDEX('Resource Rate Library'!$G$5:$G$85,MATCH(P93,'Resource Rate Library'!$A$5:$A$85,0)),"")</x:f>
      </x:c>
      <x:c r="AE93" s="81" t="str">
        <x:f>IFERROR(INDEX('Resource Rate Library'!$H$5:$H$85,MATCH(P93,'Resource Rate Library'!$A$5:$A$85,0)),"")</x:f>
      </x:c>
      <x:c r="AF93" s="53"/>
      <x:c r="AG93" s="53"/>
      <x:c r="AH93" s="53"/>
      <x:c r="AI93" s="81" t="str">
        <x:f t="shared" si="5">IF(B93="","",IF(AND(P93="",N93&lt;&gt;"Lump Sum / Quote"),"RESOURCE CODE",IF(Y93=0,"RATE MISSING",IF(AND(O93="Plant",AD93="Yes",COUNTIFS($B$7:$B$306,B93,$O$7:$O$306,"Labour",$Q$7:$Q$306,"*Operator*")&gt;0),"OPERATOR DOUBLE-COUNT",IF(AND(O93="Plant",AE93="Yes",COUNTIFS($B$7:$B$306,B93,$Q$7:$Q$306,"*Fuel*")&gt;0),"FUEL DOUBLE-COUNT",IF(AH93&lt;&gt;"Yes","VERIFY","OK"))))))</x:f>
      </x:c>
      <x:c r="AJ93" s="54"/>
      <x:c r="AK93" s="473"/>
      <x:c r="AL93" s="473"/>
      <x:c r="AM93" s="473"/>
      <x:c r="AN93" s="500" t="n">
        <x:f>IF(AND(AK93="Yes",OR(O93="Labour",O93="Plant")),Z93,0)</x:f>
        <x:v>0</x:v>
      </x:c>
    </x:row>
    <x:row r="94" ht="22.049999237060547" customHeight="1">
      <x:c r="A94" s="80" t="str">
        <x:f>IF(B94="","",B94&amp;"-"&amp;TEXT(COUNTIF($B$7:B94,B94),"000"))</x:f>
      </x:c>
      <x:c r="B94" s="53"/>
      <x:c r="C94" s="81" t="str">
        <x:f>IFERROR(INDEX('QS Takeoff'!$A$3:$A$194,MATCH(B94,'QS Takeoff'!$B$3:$B$194,0)),"")</x:f>
      </x:c>
      <x:c r="D94" s="81" t="str">
        <x:f>IFERROR(INDEX('QS Takeoff'!$C$3:$C$194,MATCH(B94,'QS Takeoff'!$B$3:$B$194,0)),"")</x:f>
      </x:c>
      <x:c r="E94" s="81" t="str">
        <x:f>IFERROR(INDEX('QS Takeoff'!$E$3:$E$194,MATCH(B94,'QS Takeoff'!$B$3:$B$194,0)),"")</x:f>
      </x:c>
      <x:c r="F94" s="81" t="str">
        <x:f>IFERROR(INDEX('QS Takeoff'!$D$3:$D$194,MATCH(B94,'QS Takeoff'!$B$3:$B$194,0)),"")</x:f>
      </x:c>
      <x:c r="G94" s="81" t="str">
        <x:f>IFERROR(INDEX('QS Takeoff'!$J$3:$J$194,MATCH(B94,'QS Takeoff'!$B$3:$B$194,0)),"")</x:f>
      </x:c>
      <x:c r="H94" s="53"/>
      <x:c r="I94" s="60"/>
      <x:c r="J94" s="60"/>
      <x:c r="K94" s="82" t="str">
        <x:f t="shared" si="6">IF(OR(B94="",I94="",I94=0),"",E94/I94)</x:f>
      </x:c>
      <x:c r="L94" s="60"/>
      <x:c r="M94" s="82" t="str">
        <x:f t="shared" si="7">IF(L94&gt;0,L94,K94)</x:f>
      </x:c>
      <x:c r="N94" s="53"/>
      <x:c r="O94" s="53"/>
      <x:c r="P94" s="53"/>
      <x:c r="Q94" s="81" t="str">
        <x:f>IFERROR(INDEX('Resource Rate Library'!$C$5:$C$85,MATCH(P94,'Resource Rate Library'!$A$5:$A$85,0)),"")</x:f>
      </x:c>
      <x:c r="R94" s="53"/>
      <x:c r="S94" s="53"/>
      <x:c r="T94" s="81" t="str">
        <x:f>IFERROR(INDEX('Resource Rate Library'!$E$5:$E$85,MATCH(P94,'Resource Rate Library'!$A$5:$A$85,0)),"")</x:f>
      </x:c>
      <x:c r="U94" s="62"/>
      <x:c r="V94" s="62"/>
      <x:c r="W94" s="83" t="n">
        <x:f>IFERROR(INDEX('Resource Rate Library'!$I$5:$I$85,MATCH(P94,'Resource Rate Library'!$A$5:$A$85,0)),0)</x:f>
        <x:v>0</x:v>
      </x:c>
      <x:c r="X94" s="52"/>
      <x:c r="Y94" s="83" t="n">
        <x:f t="shared" si="8">IF(X94&gt;0,X94,W94)</x:f>
        <x:v>0</x:v>
      </x:c>
      <x:c r="Z94" s="83" t="str">
        <x:f t="shared" si="9">IF(B94="","",IF(N94="Time x Count",M94*R94*IF(U94="",1,U94)*Y94,IF(N94="QS Qty x Factor",E94*R94*(1+IF(V94="",0,V94))*Y94,IF(N94="Direct Qty",S94*(1+IF(V94="",0,V94))*Y94,IF(N94="Lump Sum / Quote",S94*Y94,0)))))</x:f>
      </x:c>
      <x:c r="AA94" s="81" t="str">
        <x:f>IFERROR(INDEX('Resource Rate Library'!$N$5:$N$85,MATCH(P94,'Resource Rate Library'!$A$5:$A$85,0)),"")</x:f>
      </x:c>
      <x:c r="AB94" s="53"/>
      <x:c r="AC94" s="59"/>
      <x:c r="AD94" s="81" t="str">
        <x:f>IFERROR(INDEX('Resource Rate Library'!$G$5:$G$85,MATCH(P94,'Resource Rate Library'!$A$5:$A$85,0)),"")</x:f>
      </x:c>
      <x:c r="AE94" s="81" t="str">
        <x:f>IFERROR(INDEX('Resource Rate Library'!$H$5:$H$85,MATCH(P94,'Resource Rate Library'!$A$5:$A$85,0)),"")</x:f>
      </x:c>
      <x:c r="AF94" s="53"/>
      <x:c r="AG94" s="53"/>
      <x:c r="AH94" s="53"/>
      <x:c r="AI94" s="81" t="str">
        <x:f t="shared" si="5">IF(B94="","",IF(AND(P94="",N94&lt;&gt;"Lump Sum / Quote"),"RESOURCE CODE",IF(Y94=0,"RATE MISSING",IF(AND(O94="Plant",AD94="Yes",COUNTIFS($B$7:$B$306,B94,$O$7:$O$306,"Labour",$Q$7:$Q$306,"*Operator*")&gt;0),"OPERATOR DOUBLE-COUNT",IF(AND(O94="Plant",AE94="Yes",COUNTIFS($B$7:$B$306,B94,$Q$7:$Q$306,"*Fuel*")&gt;0),"FUEL DOUBLE-COUNT",IF(AH94&lt;&gt;"Yes","VERIFY","OK"))))))</x:f>
      </x:c>
      <x:c r="AJ94" s="54"/>
      <x:c r="AK94" s="473"/>
      <x:c r="AL94" s="473"/>
      <x:c r="AM94" s="473"/>
      <x:c r="AN94" s="500" t="n">
        <x:f>IF(AND(AK94="Yes",OR(O94="Labour",O94="Plant")),Z94,0)</x:f>
        <x:v>0</x:v>
      </x:c>
    </x:row>
    <x:row r="95" ht="22.049999237060547" customHeight="1">
      <x:c r="A95" s="80" t="str">
        <x:f>IF(B95="","",B95&amp;"-"&amp;TEXT(COUNTIF($B$7:B95,B95),"000"))</x:f>
      </x:c>
      <x:c r="B95" s="53"/>
      <x:c r="C95" s="81" t="str">
        <x:f>IFERROR(INDEX('QS Takeoff'!$A$3:$A$194,MATCH(B95,'QS Takeoff'!$B$3:$B$194,0)),"")</x:f>
      </x:c>
      <x:c r="D95" s="81" t="str">
        <x:f>IFERROR(INDEX('QS Takeoff'!$C$3:$C$194,MATCH(B95,'QS Takeoff'!$B$3:$B$194,0)),"")</x:f>
      </x:c>
      <x:c r="E95" s="81" t="str">
        <x:f>IFERROR(INDEX('QS Takeoff'!$E$3:$E$194,MATCH(B95,'QS Takeoff'!$B$3:$B$194,0)),"")</x:f>
      </x:c>
      <x:c r="F95" s="81" t="str">
        <x:f>IFERROR(INDEX('QS Takeoff'!$D$3:$D$194,MATCH(B95,'QS Takeoff'!$B$3:$B$194,0)),"")</x:f>
      </x:c>
      <x:c r="G95" s="81" t="str">
        <x:f>IFERROR(INDEX('QS Takeoff'!$J$3:$J$194,MATCH(B95,'QS Takeoff'!$B$3:$B$194,0)),"")</x:f>
      </x:c>
      <x:c r="H95" s="53"/>
      <x:c r="I95" s="60"/>
      <x:c r="J95" s="60"/>
      <x:c r="K95" s="82" t="str">
        <x:f t="shared" si="6">IF(OR(B95="",I95="",I95=0),"",E95/I95)</x:f>
      </x:c>
      <x:c r="L95" s="60"/>
      <x:c r="M95" s="82" t="str">
        <x:f t="shared" si="7">IF(L95&gt;0,L95,K95)</x:f>
      </x:c>
      <x:c r="N95" s="53"/>
      <x:c r="O95" s="53"/>
      <x:c r="P95" s="53"/>
      <x:c r="Q95" s="81" t="str">
        <x:f>IFERROR(INDEX('Resource Rate Library'!$C$5:$C$85,MATCH(P95,'Resource Rate Library'!$A$5:$A$85,0)),"")</x:f>
      </x:c>
      <x:c r="R95" s="53"/>
      <x:c r="S95" s="53"/>
      <x:c r="T95" s="81" t="str">
        <x:f>IFERROR(INDEX('Resource Rate Library'!$E$5:$E$85,MATCH(P95,'Resource Rate Library'!$A$5:$A$85,0)),"")</x:f>
      </x:c>
      <x:c r="U95" s="62"/>
      <x:c r="V95" s="62"/>
      <x:c r="W95" s="83" t="n">
        <x:f>IFERROR(INDEX('Resource Rate Library'!$I$5:$I$85,MATCH(P95,'Resource Rate Library'!$A$5:$A$85,0)),0)</x:f>
        <x:v>0</x:v>
      </x:c>
      <x:c r="X95" s="52"/>
      <x:c r="Y95" s="83" t="n">
        <x:f t="shared" si="8">IF(X95&gt;0,X95,W95)</x:f>
        <x:v>0</x:v>
      </x:c>
      <x:c r="Z95" s="83" t="str">
        <x:f t="shared" si="9">IF(B95="","",IF(N95="Time x Count",M95*R95*IF(U95="",1,U95)*Y95,IF(N95="QS Qty x Factor",E95*R95*(1+IF(V95="",0,V95))*Y95,IF(N95="Direct Qty",S95*(1+IF(V95="",0,V95))*Y95,IF(N95="Lump Sum / Quote",S95*Y95,0)))))</x:f>
      </x:c>
      <x:c r="AA95" s="81" t="str">
        <x:f>IFERROR(INDEX('Resource Rate Library'!$N$5:$N$85,MATCH(P95,'Resource Rate Library'!$A$5:$A$85,0)),"")</x:f>
      </x:c>
      <x:c r="AB95" s="53"/>
      <x:c r="AC95" s="59"/>
      <x:c r="AD95" s="81" t="str">
        <x:f>IFERROR(INDEX('Resource Rate Library'!$G$5:$G$85,MATCH(P95,'Resource Rate Library'!$A$5:$A$85,0)),"")</x:f>
      </x:c>
      <x:c r="AE95" s="81" t="str">
        <x:f>IFERROR(INDEX('Resource Rate Library'!$H$5:$H$85,MATCH(P95,'Resource Rate Library'!$A$5:$A$85,0)),"")</x:f>
      </x:c>
      <x:c r="AF95" s="53"/>
      <x:c r="AG95" s="53"/>
      <x:c r="AH95" s="53"/>
      <x:c r="AI95" s="81" t="str">
        <x:f t="shared" si="5">IF(B95="","",IF(AND(P95="",N95&lt;&gt;"Lump Sum / Quote"),"RESOURCE CODE",IF(Y95=0,"RATE MISSING",IF(AND(O95="Plant",AD95="Yes",COUNTIFS($B$7:$B$306,B95,$O$7:$O$306,"Labour",$Q$7:$Q$306,"*Operator*")&gt;0),"OPERATOR DOUBLE-COUNT",IF(AND(O95="Plant",AE95="Yes",COUNTIFS($B$7:$B$306,B95,$Q$7:$Q$306,"*Fuel*")&gt;0),"FUEL DOUBLE-COUNT",IF(AH95&lt;&gt;"Yes","VERIFY","OK"))))))</x:f>
      </x:c>
      <x:c r="AJ95" s="54"/>
      <x:c r="AK95" s="473"/>
      <x:c r="AL95" s="473"/>
      <x:c r="AM95" s="473"/>
      <x:c r="AN95" s="500" t="n">
        <x:f>IF(AND(AK95="Yes",OR(O95="Labour",O95="Plant")),Z95,0)</x:f>
        <x:v>0</x:v>
      </x:c>
    </x:row>
    <x:row r="96" ht="22.049999237060547" customHeight="1">
      <x:c r="A96" s="80" t="str">
        <x:f>IF(B96="","",B96&amp;"-"&amp;TEXT(COUNTIF($B$7:B96,B96),"000"))</x:f>
      </x:c>
      <x:c r="B96" s="53"/>
      <x:c r="C96" s="81" t="str">
        <x:f>IFERROR(INDEX('QS Takeoff'!$A$3:$A$194,MATCH(B96,'QS Takeoff'!$B$3:$B$194,0)),"")</x:f>
      </x:c>
      <x:c r="D96" s="81" t="str">
        <x:f>IFERROR(INDEX('QS Takeoff'!$C$3:$C$194,MATCH(B96,'QS Takeoff'!$B$3:$B$194,0)),"")</x:f>
      </x:c>
      <x:c r="E96" s="81" t="str">
        <x:f>IFERROR(INDEX('QS Takeoff'!$E$3:$E$194,MATCH(B96,'QS Takeoff'!$B$3:$B$194,0)),"")</x:f>
      </x:c>
      <x:c r="F96" s="81" t="str">
        <x:f>IFERROR(INDEX('QS Takeoff'!$D$3:$D$194,MATCH(B96,'QS Takeoff'!$B$3:$B$194,0)),"")</x:f>
      </x:c>
      <x:c r="G96" s="81" t="str">
        <x:f>IFERROR(INDEX('QS Takeoff'!$J$3:$J$194,MATCH(B96,'QS Takeoff'!$B$3:$B$194,0)),"")</x:f>
      </x:c>
      <x:c r="H96" s="53"/>
      <x:c r="I96" s="60"/>
      <x:c r="J96" s="60"/>
      <x:c r="K96" s="82" t="str">
        <x:f t="shared" si="6">IF(OR(B96="",I96="",I96=0),"",E96/I96)</x:f>
      </x:c>
      <x:c r="L96" s="60"/>
      <x:c r="M96" s="82" t="str">
        <x:f t="shared" si="7">IF(L96&gt;0,L96,K96)</x:f>
      </x:c>
      <x:c r="N96" s="53"/>
      <x:c r="O96" s="53"/>
      <x:c r="P96" s="53"/>
      <x:c r="Q96" s="81" t="str">
        <x:f>IFERROR(INDEX('Resource Rate Library'!$C$5:$C$85,MATCH(P96,'Resource Rate Library'!$A$5:$A$85,0)),"")</x:f>
      </x:c>
      <x:c r="R96" s="53"/>
      <x:c r="S96" s="53"/>
      <x:c r="T96" s="81" t="str">
        <x:f>IFERROR(INDEX('Resource Rate Library'!$E$5:$E$85,MATCH(P96,'Resource Rate Library'!$A$5:$A$85,0)),"")</x:f>
      </x:c>
      <x:c r="U96" s="62"/>
      <x:c r="V96" s="62"/>
      <x:c r="W96" s="83" t="n">
        <x:f>IFERROR(INDEX('Resource Rate Library'!$I$5:$I$85,MATCH(P96,'Resource Rate Library'!$A$5:$A$85,0)),0)</x:f>
        <x:v>0</x:v>
      </x:c>
      <x:c r="X96" s="52"/>
      <x:c r="Y96" s="83" t="n">
        <x:f t="shared" si="8">IF(X96&gt;0,X96,W96)</x:f>
        <x:v>0</x:v>
      </x:c>
      <x:c r="Z96" s="83" t="str">
        <x:f t="shared" si="9">IF(B96="","",IF(N96="Time x Count",M96*R96*IF(U96="",1,U96)*Y96,IF(N96="QS Qty x Factor",E96*R96*(1+IF(V96="",0,V96))*Y96,IF(N96="Direct Qty",S96*(1+IF(V96="",0,V96))*Y96,IF(N96="Lump Sum / Quote",S96*Y96,0)))))</x:f>
      </x:c>
      <x:c r="AA96" s="81" t="str">
        <x:f>IFERROR(INDEX('Resource Rate Library'!$N$5:$N$85,MATCH(P96,'Resource Rate Library'!$A$5:$A$85,0)),"")</x:f>
      </x:c>
      <x:c r="AB96" s="53"/>
      <x:c r="AC96" s="59"/>
      <x:c r="AD96" s="81" t="str">
        <x:f>IFERROR(INDEX('Resource Rate Library'!$G$5:$G$85,MATCH(P96,'Resource Rate Library'!$A$5:$A$85,0)),"")</x:f>
      </x:c>
      <x:c r="AE96" s="81" t="str">
        <x:f>IFERROR(INDEX('Resource Rate Library'!$H$5:$H$85,MATCH(P96,'Resource Rate Library'!$A$5:$A$85,0)),"")</x:f>
      </x:c>
      <x:c r="AF96" s="53"/>
      <x:c r="AG96" s="53"/>
      <x:c r="AH96" s="53"/>
      <x:c r="AI96" s="81" t="str">
        <x:f t="shared" si="5">IF(B96="","",IF(AND(P96="",N96&lt;&gt;"Lump Sum / Quote"),"RESOURCE CODE",IF(Y96=0,"RATE MISSING",IF(AND(O96="Plant",AD96="Yes",COUNTIFS($B$7:$B$306,B96,$O$7:$O$306,"Labour",$Q$7:$Q$306,"*Operator*")&gt;0),"OPERATOR DOUBLE-COUNT",IF(AND(O96="Plant",AE96="Yes",COUNTIFS($B$7:$B$306,B96,$Q$7:$Q$306,"*Fuel*")&gt;0),"FUEL DOUBLE-COUNT",IF(AH96&lt;&gt;"Yes","VERIFY","OK"))))))</x:f>
      </x:c>
      <x:c r="AJ96" s="54"/>
      <x:c r="AK96" s="473"/>
      <x:c r="AL96" s="473"/>
      <x:c r="AM96" s="473"/>
      <x:c r="AN96" s="500" t="n">
        <x:f>IF(AND(AK96="Yes",OR(O96="Labour",O96="Plant")),Z96,0)</x:f>
        <x:v>0</x:v>
      </x:c>
    </x:row>
    <x:row r="97" ht="22.049999237060547" customHeight="1">
      <x:c r="A97" s="80" t="str">
        <x:f>IF(B97="","",B97&amp;"-"&amp;TEXT(COUNTIF($B$7:B97,B97),"000"))</x:f>
      </x:c>
      <x:c r="B97" s="53"/>
      <x:c r="C97" s="81" t="str">
        <x:f>IFERROR(INDEX('QS Takeoff'!$A$3:$A$194,MATCH(B97,'QS Takeoff'!$B$3:$B$194,0)),"")</x:f>
      </x:c>
      <x:c r="D97" s="81" t="str">
        <x:f>IFERROR(INDEX('QS Takeoff'!$C$3:$C$194,MATCH(B97,'QS Takeoff'!$B$3:$B$194,0)),"")</x:f>
      </x:c>
      <x:c r="E97" s="81" t="str">
        <x:f>IFERROR(INDEX('QS Takeoff'!$E$3:$E$194,MATCH(B97,'QS Takeoff'!$B$3:$B$194,0)),"")</x:f>
      </x:c>
      <x:c r="F97" s="81" t="str">
        <x:f>IFERROR(INDEX('QS Takeoff'!$D$3:$D$194,MATCH(B97,'QS Takeoff'!$B$3:$B$194,0)),"")</x:f>
      </x:c>
      <x:c r="G97" s="81" t="str">
        <x:f>IFERROR(INDEX('QS Takeoff'!$J$3:$J$194,MATCH(B97,'QS Takeoff'!$B$3:$B$194,0)),"")</x:f>
      </x:c>
      <x:c r="H97" s="53"/>
      <x:c r="I97" s="60"/>
      <x:c r="J97" s="60"/>
      <x:c r="K97" s="82" t="str">
        <x:f t="shared" si="6">IF(OR(B97="",I97="",I97=0),"",E97/I97)</x:f>
      </x:c>
      <x:c r="L97" s="60"/>
      <x:c r="M97" s="82" t="str">
        <x:f t="shared" si="7">IF(L97&gt;0,L97,K97)</x:f>
      </x:c>
      <x:c r="N97" s="53"/>
      <x:c r="O97" s="53"/>
      <x:c r="P97" s="53"/>
      <x:c r="Q97" s="81" t="str">
        <x:f>IFERROR(INDEX('Resource Rate Library'!$C$5:$C$85,MATCH(P97,'Resource Rate Library'!$A$5:$A$85,0)),"")</x:f>
      </x:c>
      <x:c r="R97" s="53"/>
      <x:c r="S97" s="53"/>
      <x:c r="T97" s="81" t="str">
        <x:f>IFERROR(INDEX('Resource Rate Library'!$E$5:$E$85,MATCH(P97,'Resource Rate Library'!$A$5:$A$85,0)),"")</x:f>
      </x:c>
      <x:c r="U97" s="62"/>
      <x:c r="V97" s="62"/>
      <x:c r="W97" s="83" t="n">
        <x:f>IFERROR(INDEX('Resource Rate Library'!$I$5:$I$85,MATCH(P97,'Resource Rate Library'!$A$5:$A$85,0)),0)</x:f>
        <x:v>0</x:v>
      </x:c>
      <x:c r="X97" s="52"/>
      <x:c r="Y97" s="83" t="n">
        <x:f t="shared" si="8">IF(X97&gt;0,X97,W97)</x:f>
        <x:v>0</x:v>
      </x:c>
      <x:c r="Z97" s="83" t="str">
        <x:f t="shared" si="9">IF(B97="","",IF(N97="Time x Count",M97*R97*IF(U97="",1,U97)*Y97,IF(N97="QS Qty x Factor",E97*R97*(1+IF(V97="",0,V97))*Y97,IF(N97="Direct Qty",S97*(1+IF(V97="",0,V97))*Y97,IF(N97="Lump Sum / Quote",S97*Y97,0)))))</x:f>
      </x:c>
      <x:c r="AA97" s="81" t="str">
        <x:f>IFERROR(INDEX('Resource Rate Library'!$N$5:$N$85,MATCH(P97,'Resource Rate Library'!$A$5:$A$85,0)),"")</x:f>
      </x:c>
      <x:c r="AB97" s="53"/>
      <x:c r="AC97" s="59"/>
      <x:c r="AD97" s="81" t="str">
        <x:f>IFERROR(INDEX('Resource Rate Library'!$G$5:$G$85,MATCH(P97,'Resource Rate Library'!$A$5:$A$85,0)),"")</x:f>
      </x:c>
      <x:c r="AE97" s="81" t="str">
        <x:f>IFERROR(INDEX('Resource Rate Library'!$H$5:$H$85,MATCH(P97,'Resource Rate Library'!$A$5:$A$85,0)),"")</x:f>
      </x:c>
      <x:c r="AF97" s="53"/>
      <x:c r="AG97" s="53"/>
      <x:c r="AH97" s="53"/>
      <x:c r="AI97" s="81" t="str">
        <x:f t="shared" si="5">IF(B97="","",IF(AND(P97="",N97&lt;&gt;"Lump Sum / Quote"),"RESOURCE CODE",IF(Y97=0,"RATE MISSING",IF(AND(O97="Plant",AD97="Yes",COUNTIFS($B$7:$B$306,B97,$O$7:$O$306,"Labour",$Q$7:$Q$306,"*Operator*")&gt;0),"OPERATOR DOUBLE-COUNT",IF(AND(O97="Plant",AE97="Yes",COUNTIFS($B$7:$B$306,B97,$Q$7:$Q$306,"*Fuel*")&gt;0),"FUEL DOUBLE-COUNT",IF(AH97&lt;&gt;"Yes","VERIFY","OK"))))))</x:f>
      </x:c>
      <x:c r="AJ97" s="54"/>
      <x:c r="AK97" s="473"/>
      <x:c r="AL97" s="473"/>
      <x:c r="AM97" s="473"/>
      <x:c r="AN97" s="500" t="n">
        <x:f>IF(AND(AK97="Yes",OR(O97="Labour",O97="Plant")),Z97,0)</x:f>
        <x:v>0</x:v>
      </x:c>
    </x:row>
    <x:row r="98" ht="22.049999237060547" customHeight="1">
      <x:c r="A98" s="80" t="str">
        <x:f>IF(B98="","",B98&amp;"-"&amp;TEXT(COUNTIF($B$7:B98,B98),"000"))</x:f>
      </x:c>
      <x:c r="B98" s="53"/>
      <x:c r="C98" s="81" t="str">
        <x:f>IFERROR(INDEX('QS Takeoff'!$A$3:$A$194,MATCH(B98,'QS Takeoff'!$B$3:$B$194,0)),"")</x:f>
      </x:c>
      <x:c r="D98" s="81" t="str">
        <x:f>IFERROR(INDEX('QS Takeoff'!$C$3:$C$194,MATCH(B98,'QS Takeoff'!$B$3:$B$194,0)),"")</x:f>
      </x:c>
      <x:c r="E98" s="81" t="str">
        <x:f>IFERROR(INDEX('QS Takeoff'!$E$3:$E$194,MATCH(B98,'QS Takeoff'!$B$3:$B$194,0)),"")</x:f>
      </x:c>
      <x:c r="F98" s="81" t="str">
        <x:f>IFERROR(INDEX('QS Takeoff'!$D$3:$D$194,MATCH(B98,'QS Takeoff'!$B$3:$B$194,0)),"")</x:f>
      </x:c>
      <x:c r="G98" s="81" t="str">
        <x:f>IFERROR(INDEX('QS Takeoff'!$J$3:$J$194,MATCH(B98,'QS Takeoff'!$B$3:$B$194,0)),"")</x:f>
      </x:c>
      <x:c r="H98" s="53"/>
      <x:c r="I98" s="60"/>
      <x:c r="J98" s="60"/>
      <x:c r="K98" s="82" t="str">
        <x:f t="shared" si="6">IF(OR(B98="",I98="",I98=0),"",E98/I98)</x:f>
      </x:c>
      <x:c r="L98" s="60"/>
      <x:c r="M98" s="82" t="str">
        <x:f t="shared" si="7">IF(L98&gt;0,L98,K98)</x:f>
      </x:c>
      <x:c r="N98" s="53"/>
      <x:c r="O98" s="53"/>
      <x:c r="P98" s="53"/>
      <x:c r="Q98" s="81" t="str">
        <x:f>IFERROR(INDEX('Resource Rate Library'!$C$5:$C$85,MATCH(P98,'Resource Rate Library'!$A$5:$A$85,0)),"")</x:f>
      </x:c>
      <x:c r="R98" s="53"/>
      <x:c r="S98" s="53"/>
      <x:c r="T98" s="81" t="str">
        <x:f>IFERROR(INDEX('Resource Rate Library'!$E$5:$E$85,MATCH(P98,'Resource Rate Library'!$A$5:$A$85,0)),"")</x:f>
      </x:c>
      <x:c r="U98" s="62"/>
      <x:c r="V98" s="62"/>
      <x:c r="W98" s="83" t="n">
        <x:f>IFERROR(INDEX('Resource Rate Library'!$I$5:$I$85,MATCH(P98,'Resource Rate Library'!$A$5:$A$85,0)),0)</x:f>
        <x:v>0</x:v>
      </x:c>
      <x:c r="X98" s="52"/>
      <x:c r="Y98" s="83" t="n">
        <x:f t="shared" si="8">IF(X98&gt;0,X98,W98)</x:f>
        <x:v>0</x:v>
      </x:c>
      <x:c r="Z98" s="83" t="str">
        <x:f t="shared" si="9">IF(B98="","",IF(N98="Time x Count",M98*R98*IF(U98="",1,U98)*Y98,IF(N98="QS Qty x Factor",E98*R98*(1+IF(V98="",0,V98))*Y98,IF(N98="Direct Qty",S98*(1+IF(V98="",0,V98))*Y98,IF(N98="Lump Sum / Quote",S98*Y98,0)))))</x:f>
      </x:c>
      <x:c r="AA98" s="81" t="str">
        <x:f>IFERROR(INDEX('Resource Rate Library'!$N$5:$N$85,MATCH(P98,'Resource Rate Library'!$A$5:$A$85,0)),"")</x:f>
      </x:c>
      <x:c r="AB98" s="53"/>
      <x:c r="AC98" s="59"/>
      <x:c r="AD98" s="81" t="str">
        <x:f>IFERROR(INDEX('Resource Rate Library'!$G$5:$G$85,MATCH(P98,'Resource Rate Library'!$A$5:$A$85,0)),"")</x:f>
      </x:c>
      <x:c r="AE98" s="81" t="str">
        <x:f>IFERROR(INDEX('Resource Rate Library'!$H$5:$H$85,MATCH(P98,'Resource Rate Library'!$A$5:$A$85,0)),"")</x:f>
      </x:c>
      <x:c r="AF98" s="53"/>
      <x:c r="AG98" s="53"/>
      <x:c r="AH98" s="53"/>
      <x:c r="AI98" s="81" t="str">
        <x:f t="shared" ref="AI98:AI119" si="10">IF(B98="","",IF(AND(P98="",N98&lt;&gt;"Lump Sum / Quote"),"RESOURCE CODE",IF(Y98=0,"RATE MISSING",IF(AND(O98="Plant",AD98="Yes",COUNTIFS($B$7:$B$306,B98,$O$7:$O$306,"Labour",$Q$7:$Q$306,"*Operator*")&gt;0),"OPERATOR DOUBLE-COUNT",IF(AND(O98="Plant",AE98="Yes",COUNTIFS($B$7:$B$306,B98,$Q$7:$Q$306,"*Fuel*")&gt;0),"FUEL DOUBLE-COUNT",IF(AH98&lt;&gt;"Yes","VERIFY","OK"))))))</x:f>
      </x:c>
      <x:c r="AJ98" s="54"/>
      <x:c r="AK98" s="473"/>
      <x:c r="AL98" s="473"/>
      <x:c r="AM98" s="473"/>
      <x:c r="AN98" s="500" t="n">
        <x:f>IF(AND(AK98="Yes",OR(O98="Labour",O98="Plant")),Z98,0)</x:f>
        <x:v>0</x:v>
      </x:c>
    </x:row>
    <x:row r="99" ht="22.049999237060547" customHeight="1">
      <x:c r="A99" s="80" t="str">
        <x:f>IF(B99="","",B99&amp;"-"&amp;TEXT(COUNTIF($B$7:B99,B99),"000"))</x:f>
      </x:c>
      <x:c r="B99" s="53"/>
      <x:c r="C99" s="81" t="str">
        <x:f>IFERROR(INDEX('QS Takeoff'!$A$3:$A$194,MATCH(B99,'QS Takeoff'!$B$3:$B$194,0)),"")</x:f>
      </x:c>
      <x:c r="D99" s="81" t="str">
        <x:f>IFERROR(INDEX('QS Takeoff'!$C$3:$C$194,MATCH(B99,'QS Takeoff'!$B$3:$B$194,0)),"")</x:f>
      </x:c>
      <x:c r="E99" s="81" t="str">
        <x:f>IFERROR(INDEX('QS Takeoff'!$E$3:$E$194,MATCH(B99,'QS Takeoff'!$B$3:$B$194,0)),"")</x:f>
      </x:c>
      <x:c r="F99" s="81" t="str">
        <x:f>IFERROR(INDEX('QS Takeoff'!$D$3:$D$194,MATCH(B99,'QS Takeoff'!$B$3:$B$194,0)),"")</x:f>
      </x:c>
      <x:c r="G99" s="81" t="str">
        <x:f>IFERROR(INDEX('QS Takeoff'!$J$3:$J$194,MATCH(B99,'QS Takeoff'!$B$3:$B$194,0)),"")</x:f>
      </x:c>
      <x:c r="H99" s="53"/>
      <x:c r="I99" s="60"/>
      <x:c r="J99" s="60"/>
      <x:c r="K99" s="82" t="str">
        <x:f t="shared" si="6">IF(OR(B99="",I99="",I99=0),"",E99/I99)</x:f>
      </x:c>
      <x:c r="L99" s="60"/>
      <x:c r="M99" s="82" t="str">
        <x:f t="shared" si="7">IF(L99&gt;0,L99,K99)</x:f>
      </x:c>
      <x:c r="N99" s="53"/>
      <x:c r="O99" s="53"/>
      <x:c r="P99" s="53"/>
      <x:c r="Q99" s="81" t="str">
        <x:f>IFERROR(INDEX('Resource Rate Library'!$C$5:$C$85,MATCH(P99,'Resource Rate Library'!$A$5:$A$85,0)),"")</x:f>
      </x:c>
      <x:c r="R99" s="53"/>
      <x:c r="S99" s="53"/>
      <x:c r="T99" s="81" t="str">
        <x:f>IFERROR(INDEX('Resource Rate Library'!$E$5:$E$85,MATCH(P99,'Resource Rate Library'!$A$5:$A$85,0)),"")</x:f>
      </x:c>
      <x:c r="U99" s="62"/>
      <x:c r="V99" s="62"/>
      <x:c r="W99" s="83" t="n">
        <x:f>IFERROR(INDEX('Resource Rate Library'!$I$5:$I$85,MATCH(P99,'Resource Rate Library'!$A$5:$A$85,0)),0)</x:f>
        <x:v>0</x:v>
      </x:c>
      <x:c r="X99" s="52"/>
      <x:c r="Y99" s="83" t="n">
        <x:f t="shared" si="8">IF(X99&gt;0,X99,W99)</x:f>
        <x:v>0</x:v>
      </x:c>
      <x:c r="Z99" s="83" t="str">
        <x:f t="shared" si="9">IF(B99="","",IF(N99="Time x Count",M99*R99*IF(U99="",1,U99)*Y99,IF(N99="QS Qty x Factor",E99*R99*(1+IF(V99="",0,V99))*Y99,IF(N99="Direct Qty",S99*(1+IF(V99="",0,V99))*Y99,IF(N99="Lump Sum / Quote",S99*Y99,0)))))</x:f>
      </x:c>
      <x:c r="AA99" s="81" t="str">
        <x:f>IFERROR(INDEX('Resource Rate Library'!$N$5:$N$85,MATCH(P99,'Resource Rate Library'!$A$5:$A$85,0)),"")</x:f>
      </x:c>
      <x:c r="AB99" s="53"/>
      <x:c r="AC99" s="59"/>
      <x:c r="AD99" s="81" t="str">
        <x:f>IFERROR(INDEX('Resource Rate Library'!$G$5:$G$85,MATCH(P99,'Resource Rate Library'!$A$5:$A$85,0)),"")</x:f>
      </x:c>
      <x:c r="AE99" s="81" t="str">
        <x:f>IFERROR(INDEX('Resource Rate Library'!$H$5:$H$85,MATCH(P99,'Resource Rate Library'!$A$5:$A$85,0)),"")</x:f>
      </x:c>
      <x:c r="AF99" s="53"/>
      <x:c r="AG99" s="53"/>
      <x:c r="AH99" s="53"/>
      <x:c r="AI99" s="81" t="str">
        <x:f t="shared" si="10">IF(B99="","",IF(AND(P99="",N99&lt;&gt;"Lump Sum / Quote"),"RESOURCE CODE",IF(Y99=0,"RATE MISSING",IF(AND(O99="Plant",AD99="Yes",COUNTIFS($B$7:$B$306,B99,$O$7:$O$306,"Labour",$Q$7:$Q$306,"*Operator*")&gt;0),"OPERATOR DOUBLE-COUNT",IF(AND(O99="Plant",AE99="Yes",COUNTIFS($B$7:$B$306,B99,$Q$7:$Q$306,"*Fuel*")&gt;0),"FUEL DOUBLE-COUNT",IF(AH99&lt;&gt;"Yes","VERIFY","OK"))))))</x:f>
      </x:c>
      <x:c r="AJ99" s="54"/>
      <x:c r="AK99" s="473"/>
      <x:c r="AL99" s="473"/>
      <x:c r="AM99" s="473"/>
      <x:c r="AN99" s="500" t="n">
        <x:f>IF(AND(AK99="Yes",OR(O99="Labour",O99="Plant")),Z99,0)</x:f>
        <x:v>0</x:v>
      </x:c>
    </x:row>
    <x:row r="100" ht="22.049999237060547" customHeight="1">
      <x:c r="A100" s="80" t="str">
        <x:f>IF(B100="","",B100&amp;"-"&amp;TEXT(COUNTIF($B$7:B100,B100),"000"))</x:f>
      </x:c>
      <x:c r="B100" s="53"/>
      <x:c r="C100" s="81" t="str">
        <x:f>IFERROR(INDEX('QS Takeoff'!$A$3:$A$194,MATCH(B100,'QS Takeoff'!$B$3:$B$194,0)),"")</x:f>
      </x:c>
      <x:c r="D100" s="81" t="str">
        <x:f>IFERROR(INDEX('QS Takeoff'!$C$3:$C$194,MATCH(B100,'QS Takeoff'!$B$3:$B$194,0)),"")</x:f>
      </x:c>
      <x:c r="E100" s="81" t="str">
        <x:f>IFERROR(INDEX('QS Takeoff'!$E$3:$E$194,MATCH(B100,'QS Takeoff'!$B$3:$B$194,0)),"")</x:f>
      </x:c>
      <x:c r="F100" s="81" t="str">
        <x:f>IFERROR(INDEX('QS Takeoff'!$D$3:$D$194,MATCH(B100,'QS Takeoff'!$B$3:$B$194,0)),"")</x:f>
      </x:c>
      <x:c r="G100" s="81" t="str">
        <x:f>IFERROR(INDEX('QS Takeoff'!$J$3:$J$194,MATCH(B100,'QS Takeoff'!$B$3:$B$194,0)),"")</x:f>
      </x:c>
      <x:c r="H100" s="53"/>
      <x:c r="I100" s="60"/>
      <x:c r="J100" s="60"/>
      <x:c r="K100" s="82" t="str">
        <x:f t="shared" si="6">IF(OR(B100="",I100="",I100=0),"",E100/I100)</x:f>
      </x:c>
      <x:c r="L100" s="60"/>
      <x:c r="M100" s="82" t="str">
        <x:f t="shared" si="7">IF(L100&gt;0,L100,K100)</x:f>
      </x:c>
      <x:c r="N100" s="53"/>
      <x:c r="O100" s="53"/>
      <x:c r="P100" s="53"/>
      <x:c r="Q100" s="81" t="str">
        <x:f>IFERROR(INDEX('Resource Rate Library'!$C$5:$C$85,MATCH(P100,'Resource Rate Library'!$A$5:$A$85,0)),"")</x:f>
      </x:c>
      <x:c r="R100" s="53"/>
      <x:c r="S100" s="53"/>
      <x:c r="T100" s="81" t="str">
        <x:f>IFERROR(INDEX('Resource Rate Library'!$E$5:$E$85,MATCH(P100,'Resource Rate Library'!$A$5:$A$85,0)),"")</x:f>
      </x:c>
      <x:c r="U100" s="62"/>
      <x:c r="V100" s="62"/>
      <x:c r="W100" s="83" t="n">
        <x:f>IFERROR(INDEX('Resource Rate Library'!$I$5:$I$85,MATCH(P100,'Resource Rate Library'!$A$5:$A$85,0)),0)</x:f>
        <x:v>0</x:v>
      </x:c>
      <x:c r="X100" s="52"/>
      <x:c r="Y100" s="83" t="n">
        <x:f t="shared" si="8">IF(X100&gt;0,X100,W100)</x:f>
        <x:v>0</x:v>
      </x:c>
      <x:c r="Z100" s="83" t="str">
        <x:f t="shared" si="9">IF(B100="","",IF(N100="Time x Count",M100*R100*IF(U100="",1,U100)*Y100,IF(N100="QS Qty x Factor",E100*R100*(1+IF(V100="",0,V100))*Y100,IF(N100="Direct Qty",S100*(1+IF(V100="",0,V100))*Y100,IF(N100="Lump Sum / Quote",S100*Y100,0)))))</x:f>
      </x:c>
      <x:c r="AA100" s="81" t="str">
        <x:f>IFERROR(INDEX('Resource Rate Library'!$N$5:$N$85,MATCH(P100,'Resource Rate Library'!$A$5:$A$85,0)),"")</x:f>
      </x:c>
      <x:c r="AB100" s="53"/>
      <x:c r="AC100" s="59"/>
      <x:c r="AD100" s="81" t="str">
        <x:f>IFERROR(INDEX('Resource Rate Library'!$G$5:$G$85,MATCH(P100,'Resource Rate Library'!$A$5:$A$85,0)),"")</x:f>
      </x:c>
      <x:c r="AE100" s="81" t="str">
        <x:f>IFERROR(INDEX('Resource Rate Library'!$H$5:$H$85,MATCH(P100,'Resource Rate Library'!$A$5:$A$85,0)),"")</x:f>
      </x:c>
      <x:c r="AF100" s="53"/>
      <x:c r="AG100" s="53"/>
      <x:c r="AH100" s="53"/>
      <x:c r="AI100" s="81" t="str">
        <x:f t="shared" si="10">IF(B100="","",IF(AND(P100="",N100&lt;&gt;"Lump Sum / Quote"),"RESOURCE CODE",IF(Y100=0,"RATE MISSING",IF(AND(O100="Plant",AD100="Yes",COUNTIFS($B$7:$B$306,B100,$O$7:$O$306,"Labour",$Q$7:$Q$306,"*Operator*")&gt;0),"OPERATOR DOUBLE-COUNT",IF(AND(O100="Plant",AE100="Yes",COUNTIFS($B$7:$B$306,B100,$Q$7:$Q$306,"*Fuel*")&gt;0),"FUEL DOUBLE-COUNT",IF(AH100&lt;&gt;"Yes","VERIFY","OK"))))))</x:f>
      </x:c>
      <x:c r="AJ100" s="54"/>
      <x:c r="AK100" s="473"/>
      <x:c r="AL100" s="473"/>
      <x:c r="AM100" s="473"/>
      <x:c r="AN100" s="500" t="n">
        <x:f>IF(AND(AK100="Yes",OR(O100="Labour",O100="Plant")),Z100,0)</x:f>
        <x:v>0</x:v>
      </x:c>
    </x:row>
    <x:row r="101" ht="22.049999237060547" customHeight="1">
      <x:c r="A101" s="80" t="str">
        <x:f>IF(B101="","",B101&amp;"-"&amp;TEXT(COUNTIF($B$7:B101,B101),"000"))</x:f>
      </x:c>
      <x:c r="B101" s="53"/>
      <x:c r="C101" s="81" t="str">
        <x:f>IFERROR(INDEX('QS Takeoff'!$A$3:$A$194,MATCH(B101,'QS Takeoff'!$B$3:$B$194,0)),"")</x:f>
      </x:c>
      <x:c r="D101" s="81" t="str">
        <x:f>IFERROR(INDEX('QS Takeoff'!$C$3:$C$194,MATCH(B101,'QS Takeoff'!$B$3:$B$194,0)),"")</x:f>
      </x:c>
      <x:c r="E101" s="81" t="str">
        <x:f>IFERROR(INDEX('QS Takeoff'!$E$3:$E$194,MATCH(B101,'QS Takeoff'!$B$3:$B$194,0)),"")</x:f>
      </x:c>
      <x:c r="F101" s="81" t="str">
        <x:f>IFERROR(INDEX('QS Takeoff'!$D$3:$D$194,MATCH(B101,'QS Takeoff'!$B$3:$B$194,0)),"")</x:f>
      </x:c>
      <x:c r="G101" s="81" t="str">
        <x:f>IFERROR(INDEX('QS Takeoff'!$J$3:$J$194,MATCH(B101,'QS Takeoff'!$B$3:$B$194,0)),"")</x:f>
      </x:c>
      <x:c r="H101" s="53"/>
      <x:c r="I101" s="60"/>
      <x:c r="J101" s="60"/>
      <x:c r="K101" s="82" t="str">
        <x:f t="shared" si="6">IF(OR(B101="",I101="",I101=0),"",E101/I101)</x:f>
      </x:c>
      <x:c r="L101" s="60"/>
      <x:c r="M101" s="82" t="str">
        <x:f t="shared" si="7">IF(L101&gt;0,L101,K101)</x:f>
      </x:c>
      <x:c r="N101" s="53"/>
      <x:c r="O101" s="53"/>
      <x:c r="P101" s="53"/>
      <x:c r="Q101" s="81" t="str">
        <x:f>IFERROR(INDEX('Resource Rate Library'!$C$5:$C$85,MATCH(P101,'Resource Rate Library'!$A$5:$A$85,0)),"")</x:f>
      </x:c>
      <x:c r="R101" s="53"/>
      <x:c r="S101" s="53"/>
      <x:c r="T101" s="81" t="str">
        <x:f>IFERROR(INDEX('Resource Rate Library'!$E$5:$E$85,MATCH(P101,'Resource Rate Library'!$A$5:$A$85,0)),"")</x:f>
      </x:c>
      <x:c r="U101" s="62"/>
      <x:c r="V101" s="62"/>
      <x:c r="W101" s="83" t="n">
        <x:f>IFERROR(INDEX('Resource Rate Library'!$I$5:$I$85,MATCH(P101,'Resource Rate Library'!$A$5:$A$85,0)),0)</x:f>
        <x:v>0</x:v>
      </x:c>
      <x:c r="X101" s="52"/>
      <x:c r="Y101" s="83" t="n">
        <x:f t="shared" si="8">IF(X101&gt;0,X101,W101)</x:f>
        <x:v>0</x:v>
      </x:c>
      <x:c r="Z101" s="83" t="str">
        <x:f t="shared" si="9">IF(B101="","",IF(N101="Time x Count",M101*R101*IF(U101="",1,U101)*Y101,IF(N101="QS Qty x Factor",E101*R101*(1+IF(V101="",0,V101))*Y101,IF(N101="Direct Qty",S101*(1+IF(V101="",0,V101))*Y101,IF(N101="Lump Sum / Quote",S101*Y101,0)))))</x:f>
      </x:c>
      <x:c r="AA101" s="81" t="str">
        <x:f>IFERROR(INDEX('Resource Rate Library'!$N$5:$N$85,MATCH(P101,'Resource Rate Library'!$A$5:$A$85,0)),"")</x:f>
      </x:c>
      <x:c r="AB101" s="53"/>
      <x:c r="AC101" s="59"/>
      <x:c r="AD101" s="81" t="str">
        <x:f>IFERROR(INDEX('Resource Rate Library'!$G$5:$G$85,MATCH(P101,'Resource Rate Library'!$A$5:$A$85,0)),"")</x:f>
      </x:c>
      <x:c r="AE101" s="81" t="str">
        <x:f>IFERROR(INDEX('Resource Rate Library'!$H$5:$H$85,MATCH(P101,'Resource Rate Library'!$A$5:$A$85,0)),"")</x:f>
      </x:c>
      <x:c r="AF101" s="53"/>
      <x:c r="AG101" s="53"/>
      <x:c r="AH101" s="53"/>
      <x:c r="AI101" s="81" t="str">
        <x:f t="shared" si="10">IF(B101="","",IF(AND(P101="",N101&lt;&gt;"Lump Sum / Quote"),"RESOURCE CODE",IF(Y101=0,"RATE MISSING",IF(AND(O101="Plant",AD101="Yes",COUNTIFS($B$7:$B$306,B101,$O$7:$O$306,"Labour",$Q$7:$Q$306,"*Operator*")&gt;0),"OPERATOR DOUBLE-COUNT",IF(AND(O101="Plant",AE101="Yes",COUNTIFS($B$7:$B$306,B101,$Q$7:$Q$306,"*Fuel*")&gt;0),"FUEL DOUBLE-COUNT",IF(AH101&lt;&gt;"Yes","VERIFY","OK"))))))</x:f>
      </x:c>
      <x:c r="AJ101" s="54"/>
      <x:c r="AK101" s="473"/>
      <x:c r="AL101" s="473"/>
      <x:c r="AM101" s="473"/>
      <x:c r="AN101" s="500" t="n">
        <x:f>IF(AND(AK101="Yes",OR(O101="Labour",O101="Plant")),Z101,0)</x:f>
        <x:v>0</x:v>
      </x:c>
    </x:row>
    <x:row r="102" ht="22.049999237060547" customHeight="1">
      <x:c r="A102" s="80" t="str">
        <x:f>IF(B102="","",B102&amp;"-"&amp;TEXT(COUNTIF($B$7:B102,B102),"000"))</x:f>
      </x:c>
      <x:c r="B102" s="53"/>
      <x:c r="C102" s="81" t="str">
        <x:f>IFERROR(INDEX('QS Takeoff'!$A$3:$A$194,MATCH(B102,'QS Takeoff'!$B$3:$B$194,0)),"")</x:f>
      </x:c>
      <x:c r="D102" s="81" t="str">
        <x:f>IFERROR(INDEX('QS Takeoff'!$C$3:$C$194,MATCH(B102,'QS Takeoff'!$B$3:$B$194,0)),"")</x:f>
      </x:c>
      <x:c r="E102" s="81" t="str">
        <x:f>IFERROR(INDEX('QS Takeoff'!$E$3:$E$194,MATCH(B102,'QS Takeoff'!$B$3:$B$194,0)),"")</x:f>
      </x:c>
      <x:c r="F102" s="81" t="str">
        <x:f>IFERROR(INDEX('QS Takeoff'!$D$3:$D$194,MATCH(B102,'QS Takeoff'!$B$3:$B$194,0)),"")</x:f>
      </x:c>
      <x:c r="G102" s="81" t="str">
        <x:f>IFERROR(INDEX('QS Takeoff'!$J$3:$J$194,MATCH(B102,'QS Takeoff'!$B$3:$B$194,0)),"")</x:f>
      </x:c>
      <x:c r="H102" s="53"/>
      <x:c r="I102" s="60"/>
      <x:c r="J102" s="60"/>
      <x:c r="K102" s="82" t="str">
        <x:f t="shared" si="6">IF(OR(B102="",I102="",I102=0),"",E102/I102)</x:f>
      </x:c>
      <x:c r="L102" s="60"/>
      <x:c r="M102" s="82" t="str">
        <x:f t="shared" si="7">IF(L102&gt;0,L102,K102)</x:f>
      </x:c>
      <x:c r="N102" s="53"/>
      <x:c r="O102" s="53"/>
      <x:c r="P102" s="53"/>
      <x:c r="Q102" s="81" t="str">
        <x:f>IFERROR(INDEX('Resource Rate Library'!$C$5:$C$85,MATCH(P102,'Resource Rate Library'!$A$5:$A$85,0)),"")</x:f>
      </x:c>
      <x:c r="R102" s="53"/>
      <x:c r="S102" s="53"/>
      <x:c r="T102" s="81" t="str">
        <x:f>IFERROR(INDEX('Resource Rate Library'!$E$5:$E$85,MATCH(P102,'Resource Rate Library'!$A$5:$A$85,0)),"")</x:f>
      </x:c>
      <x:c r="U102" s="62"/>
      <x:c r="V102" s="62"/>
      <x:c r="W102" s="83" t="n">
        <x:f>IFERROR(INDEX('Resource Rate Library'!$I$5:$I$85,MATCH(P102,'Resource Rate Library'!$A$5:$A$85,0)),0)</x:f>
        <x:v>0</x:v>
      </x:c>
      <x:c r="X102" s="52"/>
      <x:c r="Y102" s="83" t="n">
        <x:f t="shared" si="8">IF(X102&gt;0,X102,W102)</x:f>
        <x:v>0</x:v>
      </x:c>
      <x:c r="Z102" s="83" t="str">
        <x:f t="shared" si="9">IF(B102="","",IF(N102="Time x Count",M102*R102*IF(U102="",1,U102)*Y102,IF(N102="QS Qty x Factor",E102*R102*(1+IF(V102="",0,V102))*Y102,IF(N102="Direct Qty",S102*(1+IF(V102="",0,V102))*Y102,IF(N102="Lump Sum / Quote",S102*Y102,0)))))</x:f>
      </x:c>
      <x:c r="AA102" s="81" t="str">
        <x:f>IFERROR(INDEX('Resource Rate Library'!$N$5:$N$85,MATCH(P102,'Resource Rate Library'!$A$5:$A$85,0)),"")</x:f>
      </x:c>
      <x:c r="AB102" s="53"/>
      <x:c r="AC102" s="59"/>
      <x:c r="AD102" s="81" t="str">
        <x:f>IFERROR(INDEX('Resource Rate Library'!$G$5:$G$85,MATCH(P102,'Resource Rate Library'!$A$5:$A$85,0)),"")</x:f>
      </x:c>
      <x:c r="AE102" s="81" t="str">
        <x:f>IFERROR(INDEX('Resource Rate Library'!$H$5:$H$85,MATCH(P102,'Resource Rate Library'!$A$5:$A$85,0)),"")</x:f>
      </x:c>
      <x:c r="AF102" s="53"/>
      <x:c r="AG102" s="53"/>
      <x:c r="AH102" s="53"/>
      <x:c r="AI102" s="81" t="str">
        <x:f t="shared" si="10">IF(B102="","",IF(AND(P102="",N102&lt;&gt;"Lump Sum / Quote"),"RESOURCE CODE",IF(Y102=0,"RATE MISSING",IF(AND(O102="Plant",AD102="Yes",COUNTIFS($B$7:$B$306,B102,$O$7:$O$306,"Labour",$Q$7:$Q$306,"*Operator*")&gt;0),"OPERATOR DOUBLE-COUNT",IF(AND(O102="Plant",AE102="Yes",COUNTIFS($B$7:$B$306,B102,$Q$7:$Q$306,"*Fuel*")&gt;0),"FUEL DOUBLE-COUNT",IF(AH102&lt;&gt;"Yes","VERIFY","OK"))))))</x:f>
      </x:c>
      <x:c r="AJ102" s="54"/>
      <x:c r="AK102" s="473"/>
      <x:c r="AL102" s="473"/>
      <x:c r="AM102" s="473"/>
      <x:c r="AN102" s="500" t="n">
        <x:f>IF(AND(AK102="Yes",OR(O102="Labour",O102="Plant")),Z102,0)</x:f>
        <x:v>0</x:v>
      </x:c>
    </x:row>
    <x:row r="103" ht="22.049999237060547" customHeight="1">
      <x:c r="A103" s="80" t="str">
        <x:f>IF(B103="","",B103&amp;"-"&amp;TEXT(COUNTIF($B$7:B103,B103),"000"))</x:f>
      </x:c>
      <x:c r="B103" s="53"/>
      <x:c r="C103" s="81" t="str">
        <x:f>IFERROR(INDEX('QS Takeoff'!$A$3:$A$194,MATCH(B103,'QS Takeoff'!$B$3:$B$194,0)),"")</x:f>
      </x:c>
      <x:c r="D103" s="81" t="str">
        <x:f>IFERROR(INDEX('QS Takeoff'!$C$3:$C$194,MATCH(B103,'QS Takeoff'!$B$3:$B$194,0)),"")</x:f>
      </x:c>
      <x:c r="E103" s="81" t="str">
        <x:f>IFERROR(INDEX('QS Takeoff'!$E$3:$E$194,MATCH(B103,'QS Takeoff'!$B$3:$B$194,0)),"")</x:f>
      </x:c>
      <x:c r="F103" s="81" t="str">
        <x:f>IFERROR(INDEX('QS Takeoff'!$D$3:$D$194,MATCH(B103,'QS Takeoff'!$B$3:$B$194,0)),"")</x:f>
      </x:c>
      <x:c r="G103" s="81" t="str">
        <x:f>IFERROR(INDEX('QS Takeoff'!$J$3:$J$194,MATCH(B103,'QS Takeoff'!$B$3:$B$194,0)),"")</x:f>
      </x:c>
      <x:c r="H103" s="53"/>
      <x:c r="I103" s="60"/>
      <x:c r="J103" s="60"/>
      <x:c r="K103" s="82" t="str">
        <x:f t="shared" si="6">IF(OR(B103="",I103="",I103=0),"",E103/I103)</x:f>
      </x:c>
      <x:c r="L103" s="60"/>
      <x:c r="M103" s="82" t="str">
        <x:f t="shared" si="7">IF(L103&gt;0,L103,K103)</x:f>
      </x:c>
      <x:c r="N103" s="53"/>
      <x:c r="O103" s="53"/>
      <x:c r="P103" s="53"/>
      <x:c r="Q103" s="81" t="str">
        <x:f>IFERROR(INDEX('Resource Rate Library'!$C$5:$C$85,MATCH(P103,'Resource Rate Library'!$A$5:$A$85,0)),"")</x:f>
      </x:c>
      <x:c r="R103" s="53"/>
      <x:c r="S103" s="53"/>
      <x:c r="T103" s="81" t="str">
        <x:f>IFERROR(INDEX('Resource Rate Library'!$E$5:$E$85,MATCH(P103,'Resource Rate Library'!$A$5:$A$85,0)),"")</x:f>
      </x:c>
      <x:c r="U103" s="62"/>
      <x:c r="V103" s="62"/>
      <x:c r="W103" s="83" t="n">
        <x:f>IFERROR(INDEX('Resource Rate Library'!$I$5:$I$85,MATCH(P103,'Resource Rate Library'!$A$5:$A$85,0)),0)</x:f>
        <x:v>0</x:v>
      </x:c>
      <x:c r="X103" s="52"/>
      <x:c r="Y103" s="83" t="n">
        <x:f t="shared" si="8">IF(X103&gt;0,X103,W103)</x:f>
        <x:v>0</x:v>
      </x:c>
      <x:c r="Z103" s="83" t="str">
        <x:f t="shared" si="9">IF(B103="","",IF(N103="Time x Count",M103*R103*IF(U103="",1,U103)*Y103,IF(N103="QS Qty x Factor",E103*R103*(1+IF(V103="",0,V103))*Y103,IF(N103="Direct Qty",S103*(1+IF(V103="",0,V103))*Y103,IF(N103="Lump Sum / Quote",S103*Y103,0)))))</x:f>
      </x:c>
      <x:c r="AA103" s="81" t="str">
        <x:f>IFERROR(INDEX('Resource Rate Library'!$N$5:$N$85,MATCH(P103,'Resource Rate Library'!$A$5:$A$85,0)),"")</x:f>
      </x:c>
      <x:c r="AB103" s="53"/>
      <x:c r="AC103" s="59"/>
      <x:c r="AD103" s="81" t="str">
        <x:f>IFERROR(INDEX('Resource Rate Library'!$G$5:$G$85,MATCH(P103,'Resource Rate Library'!$A$5:$A$85,0)),"")</x:f>
      </x:c>
      <x:c r="AE103" s="81" t="str">
        <x:f>IFERROR(INDEX('Resource Rate Library'!$H$5:$H$85,MATCH(P103,'Resource Rate Library'!$A$5:$A$85,0)),"")</x:f>
      </x:c>
      <x:c r="AF103" s="53"/>
      <x:c r="AG103" s="53"/>
      <x:c r="AH103" s="53"/>
      <x:c r="AI103" s="81" t="str">
        <x:f t="shared" si="10">IF(B103="","",IF(AND(P103="",N103&lt;&gt;"Lump Sum / Quote"),"RESOURCE CODE",IF(Y103=0,"RATE MISSING",IF(AND(O103="Plant",AD103="Yes",COUNTIFS($B$7:$B$306,B103,$O$7:$O$306,"Labour",$Q$7:$Q$306,"*Operator*")&gt;0),"OPERATOR DOUBLE-COUNT",IF(AND(O103="Plant",AE103="Yes",COUNTIFS($B$7:$B$306,B103,$Q$7:$Q$306,"*Fuel*")&gt;0),"FUEL DOUBLE-COUNT",IF(AH103&lt;&gt;"Yes","VERIFY","OK"))))))</x:f>
      </x:c>
      <x:c r="AJ103" s="54"/>
      <x:c r="AK103" s="473"/>
      <x:c r="AL103" s="473"/>
      <x:c r="AM103" s="473"/>
      <x:c r="AN103" s="500" t="n">
        <x:f>IF(AND(AK103="Yes",OR(O103="Labour",O103="Plant")),Z103,0)</x:f>
        <x:v>0</x:v>
      </x:c>
    </x:row>
    <x:row r="104" ht="22.049999237060547" customHeight="1">
      <x:c r="A104" s="80" t="str">
        <x:f>IF(B104="","",B104&amp;"-"&amp;TEXT(COUNTIF($B$7:B104,B104),"000"))</x:f>
      </x:c>
      <x:c r="B104" s="53"/>
      <x:c r="C104" s="81" t="str">
        <x:f>IFERROR(INDEX('QS Takeoff'!$A$3:$A$194,MATCH(B104,'QS Takeoff'!$B$3:$B$194,0)),"")</x:f>
      </x:c>
      <x:c r="D104" s="81" t="str">
        <x:f>IFERROR(INDEX('QS Takeoff'!$C$3:$C$194,MATCH(B104,'QS Takeoff'!$B$3:$B$194,0)),"")</x:f>
      </x:c>
      <x:c r="E104" s="81" t="str">
        <x:f>IFERROR(INDEX('QS Takeoff'!$E$3:$E$194,MATCH(B104,'QS Takeoff'!$B$3:$B$194,0)),"")</x:f>
      </x:c>
      <x:c r="F104" s="81" t="str">
        <x:f>IFERROR(INDEX('QS Takeoff'!$D$3:$D$194,MATCH(B104,'QS Takeoff'!$B$3:$B$194,0)),"")</x:f>
      </x:c>
      <x:c r="G104" s="81" t="str">
        <x:f>IFERROR(INDEX('QS Takeoff'!$J$3:$J$194,MATCH(B104,'QS Takeoff'!$B$3:$B$194,0)),"")</x:f>
      </x:c>
      <x:c r="H104" s="53"/>
      <x:c r="I104" s="60"/>
      <x:c r="J104" s="60"/>
      <x:c r="K104" s="82" t="str">
        <x:f t="shared" si="6">IF(OR(B104="",I104="",I104=0),"",E104/I104)</x:f>
      </x:c>
      <x:c r="L104" s="60"/>
      <x:c r="M104" s="82" t="str">
        <x:f t="shared" si="7">IF(L104&gt;0,L104,K104)</x:f>
      </x:c>
      <x:c r="N104" s="53"/>
      <x:c r="O104" s="53"/>
      <x:c r="P104" s="53"/>
      <x:c r="Q104" s="81" t="str">
        <x:f>IFERROR(INDEX('Resource Rate Library'!$C$5:$C$85,MATCH(P104,'Resource Rate Library'!$A$5:$A$85,0)),"")</x:f>
      </x:c>
      <x:c r="R104" s="53"/>
      <x:c r="S104" s="53"/>
      <x:c r="T104" s="81" t="str">
        <x:f>IFERROR(INDEX('Resource Rate Library'!$E$5:$E$85,MATCH(P104,'Resource Rate Library'!$A$5:$A$85,0)),"")</x:f>
      </x:c>
      <x:c r="U104" s="62"/>
      <x:c r="V104" s="62"/>
      <x:c r="W104" s="83" t="n">
        <x:f>IFERROR(INDEX('Resource Rate Library'!$I$5:$I$85,MATCH(P104,'Resource Rate Library'!$A$5:$A$85,0)),0)</x:f>
        <x:v>0</x:v>
      </x:c>
      <x:c r="X104" s="52"/>
      <x:c r="Y104" s="83" t="n">
        <x:f t="shared" si="8">IF(X104&gt;0,X104,W104)</x:f>
        <x:v>0</x:v>
      </x:c>
      <x:c r="Z104" s="83" t="str">
        <x:f t="shared" si="9">IF(B104="","",IF(N104="Time x Count",M104*R104*IF(U104="",1,U104)*Y104,IF(N104="QS Qty x Factor",E104*R104*(1+IF(V104="",0,V104))*Y104,IF(N104="Direct Qty",S104*(1+IF(V104="",0,V104))*Y104,IF(N104="Lump Sum / Quote",S104*Y104,0)))))</x:f>
      </x:c>
      <x:c r="AA104" s="81" t="str">
        <x:f>IFERROR(INDEX('Resource Rate Library'!$N$5:$N$85,MATCH(P104,'Resource Rate Library'!$A$5:$A$85,0)),"")</x:f>
      </x:c>
      <x:c r="AB104" s="53"/>
      <x:c r="AC104" s="59"/>
      <x:c r="AD104" s="81" t="str">
        <x:f>IFERROR(INDEX('Resource Rate Library'!$G$5:$G$85,MATCH(P104,'Resource Rate Library'!$A$5:$A$85,0)),"")</x:f>
      </x:c>
      <x:c r="AE104" s="81" t="str">
        <x:f>IFERROR(INDEX('Resource Rate Library'!$H$5:$H$85,MATCH(P104,'Resource Rate Library'!$A$5:$A$85,0)),"")</x:f>
      </x:c>
      <x:c r="AF104" s="53"/>
      <x:c r="AG104" s="53"/>
      <x:c r="AH104" s="53"/>
      <x:c r="AI104" s="81" t="str">
        <x:f t="shared" si="10">IF(B104="","",IF(AND(P104="",N104&lt;&gt;"Lump Sum / Quote"),"RESOURCE CODE",IF(Y104=0,"RATE MISSING",IF(AND(O104="Plant",AD104="Yes",COUNTIFS($B$7:$B$306,B104,$O$7:$O$306,"Labour",$Q$7:$Q$306,"*Operator*")&gt;0),"OPERATOR DOUBLE-COUNT",IF(AND(O104="Plant",AE104="Yes",COUNTIFS($B$7:$B$306,B104,$Q$7:$Q$306,"*Fuel*")&gt;0),"FUEL DOUBLE-COUNT",IF(AH104&lt;&gt;"Yes","VERIFY","OK"))))))</x:f>
      </x:c>
      <x:c r="AJ104" s="54"/>
      <x:c r="AK104" s="473"/>
      <x:c r="AL104" s="473"/>
      <x:c r="AM104" s="473"/>
      <x:c r="AN104" s="500" t="n">
        <x:f>IF(AND(AK104="Yes",OR(O104="Labour",O104="Plant")),Z104,0)</x:f>
        <x:v>0</x:v>
      </x:c>
    </x:row>
    <x:row r="105" ht="22.049999237060547" customHeight="1">
      <x:c r="A105" s="80" t="str">
        <x:f>IF(B105="","",B105&amp;"-"&amp;TEXT(COUNTIF($B$7:B105,B105),"000"))</x:f>
      </x:c>
      <x:c r="B105" s="53"/>
      <x:c r="C105" s="81" t="str">
        <x:f>IFERROR(INDEX('QS Takeoff'!$A$3:$A$194,MATCH(B105,'QS Takeoff'!$B$3:$B$194,0)),"")</x:f>
      </x:c>
      <x:c r="D105" s="81" t="str">
        <x:f>IFERROR(INDEX('QS Takeoff'!$C$3:$C$194,MATCH(B105,'QS Takeoff'!$B$3:$B$194,0)),"")</x:f>
      </x:c>
      <x:c r="E105" s="81" t="str">
        <x:f>IFERROR(INDEX('QS Takeoff'!$E$3:$E$194,MATCH(B105,'QS Takeoff'!$B$3:$B$194,0)),"")</x:f>
      </x:c>
      <x:c r="F105" s="81" t="str">
        <x:f>IFERROR(INDEX('QS Takeoff'!$D$3:$D$194,MATCH(B105,'QS Takeoff'!$B$3:$B$194,0)),"")</x:f>
      </x:c>
      <x:c r="G105" s="81" t="str">
        <x:f>IFERROR(INDEX('QS Takeoff'!$J$3:$J$194,MATCH(B105,'QS Takeoff'!$B$3:$B$194,0)),"")</x:f>
      </x:c>
      <x:c r="H105" s="53"/>
      <x:c r="I105" s="60"/>
      <x:c r="J105" s="60"/>
      <x:c r="K105" s="82" t="str">
        <x:f t="shared" si="6">IF(OR(B105="",I105="",I105=0),"",E105/I105)</x:f>
      </x:c>
      <x:c r="L105" s="60"/>
      <x:c r="M105" s="82" t="str">
        <x:f t="shared" si="7">IF(L105&gt;0,L105,K105)</x:f>
      </x:c>
      <x:c r="N105" s="53"/>
      <x:c r="O105" s="53"/>
      <x:c r="P105" s="53"/>
      <x:c r="Q105" s="81" t="str">
        <x:f>IFERROR(INDEX('Resource Rate Library'!$C$5:$C$85,MATCH(P105,'Resource Rate Library'!$A$5:$A$85,0)),"")</x:f>
      </x:c>
      <x:c r="R105" s="53"/>
      <x:c r="S105" s="53"/>
      <x:c r="T105" s="81" t="str">
        <x:f>IFERROR(INDEX('Resource Rate Library'!$E$5:$E$85,MATCH(P105,'Resource Rate Library'!$A$5:$A$85,0)),"")</x:f>
      </x:c>
      <x:c r="U105" s="62"/>
      <x:c r="V105" s="62"/>
      <x:c r="W105" s="83" t="n">
        <x:f>IFERROR(INDEX('Resource Rate Library'!$I$5:$I$85,MATCH(P105,'Resource Rate Library'!$A$5:$A$85,0)),0)</x:f>
        <x:v>0</x:v>
      </x:c>
      <x:c r="X105" s="52"/>
      <x:c r="Y105" s="83" t="n">
        <x:f t="shared" si="8">IF(X105&gt;0,X105,W105)</x:f>
        <x:v>0</x:v>
      </x:c>
      <x:c r="Z105" s="83" t="str">
        <x:f t="shared" si="9">IF(B105="","",IF(N105="Time x Count",M105*R105*IF(U105="",1,U105)*Y105,IF(N105="QS Qty x Factor",E105*R105*(1+IF(V105="",0,V105))*Y105,IF(N105="Direct Qty",S105*(1+IF(V105="",0,V105))*Y105,IF(N105="Lump Sum / Quote",S105*Y105,0)))))</x:f>
      </x:c>
      <x:c r="AA105" s="81" t="str">
        <x:f>IFERROR(INDEX('Resource Rate Library'!$N$5:$N$85,MATCH(P105,'Resource Rate Library'!$A$5:$A$85,0)),"")</x:f>
      </x:c>
      <x:c r="AB105" s="53"/>
      <x:c r="AC105" s="59"/>
      <x:c r="AD105" s="81" t="str">
        <x:f>IFERROR(INDEX('Resource Rate Library'!$G$5:$G$85,MATCH(P105,'Resource Rate Library'!$A$5:$A$85,0)),"")</x:f>
      </x:c>
      <x:c r="AE105" s="81" t="str">
        <x:f>IFERROR(INDEX('Resource Rate Library'!$H$5:$H$85,MATCH(P105,'Resource Rate Library'!$A$5:$A$85,0)),"")</x:f>
      </x:c>
      <x:c r="AF105" s="53"/>
      <x:c r="AG105" s="53"/>
      <x:c r="AH105" s="53"/>
      <x:c r="AI105" s="81" t="str">
        <x:f t="shared" si="10">IF(B105="","",IF(AND(P105="",N105&lt;&gt;"Lump Sum / Quote"),"RESOURCE CODE",IF(Y105=0,"RATE MISSING",IF(AND(O105="Plant",AD105="Yes",COUNTIFS($B$7:$B$306,B105,$O$7:$O$306,"Labour",$Q$7:$Q$306,"*Operator*")&gt;0),"OPERATOR DOUBLE-COUNT",IF(AND(O105="Plant",AE105="Yes",COUNTIFS($B$7:$B$306,B105,$Q$7:$Q$306,"*Fuel*")&gt;0),"FUEL DOUBLE-COUNT",IF(AH105&lt;&gt;"Yes","VERIFY","OK"))))))</x:f>
      </x:c>
      <x:c r="AJ105" s="54"/>
      <x:c r="AK105" s="473"/>
      <x:c r="AL105" s="473"/>
      <x:c r="AM105" s="473"/>
      <x:c r="AN105" s="500" t="n">
        <x:f>IF(AND(AK105="Yes",OR(O105="Labour",O105="Plant")),Z105,0)</x:f>
        <x:v>0</x:v>
      </x:c>
    </x:row>
    <x:row r="106" ht="22.049999237060547" customHeight="1">
      <x:c r="A106" s="80" t="str">
        <x:f>IF(B106="","",B106&amp;"-"&amp;TEXT(COUNTIF($B$7:B106,B106),"000"))</x:f>
      </x:c>
      <x:c r="B106" s="53"/>
      <x:c r="C106" s="81" t="str">
        <x:f>IFERROR(INDEX('QS Takeoff'!$A$3:$A$194,MATCH(B106,'QS Takeoff'!$B$3:$B$194,0)),"")</x:f>
      </x:c>
      <x:c r="D106" s="81" t="str">
        <x:f>IFERROR(INDEX('QS Takeoff'!$C$3:$C$194,MATCH(B106,'QS Takeoff'!$B$3:$B$194,0)),"")</x:f>
      </x:c>
      <x:c r="E106" s="81" t="str">
        <x:f>IFERROR(INDEX('QS Takeoff'!$E$3:$E$194,MATCH(B106,'QS Takeoff'!$B$3:$B$194,0)),"")</x:f>
      </x:c>
      <x:c r="F106" s="81" t="str">
        <x:f>IFERROR(INDEX('QS Takeoff'!$D$3:$D$194,MATCH(B106,'QS Takeoff'!$B$3:$B$194,0)),"")</x:f>
      </x:c>
      <x:c r="G106" s="81" t="str">
        <x:f>IFERROR(INDEX('QS Takeoff'!$J$3:$J$194,MATCH(B106,'QS Takeoff'!$B$3:$B$194,0)),"")</x:f>
      </x:c>
      <x:c r="H106" s="53"/>
      <x:c r="I106" s="60"/>
      <x:c r="J106" s="60"/>
      <x:c r="K106" s="82" t="str">
        <x:f t="shared" si="6">IF(OR(B106="",I106="",I106=0),"",E106/I106)</x:f>
      </x:c>
      <x:c r="L106" s="60"/>
      <x:c r="M106" s="82" t="str">
        <x:f t="shared" si="7">IF(L106&gt;0,L106,K106)</x:f>
      </x:c>
      <x:c r="N106" s="53"/>
      <x:c r="O106" s="53"/>
      <x:c r="P106" s="53"/>
      <x:c r="Q106" s="81" t="str">
        <x:f>IFERROR(INDEX('Resource Rate Library'!$C$5:$C$85,MATCH(P106,'Resource Rate Library'!$A$5:$A$85,0)),"")</x:f>
      </x:c>
      <x:c r="R106" s="53"/>
      <x:c r="S106" s="53"/>
      <x:c r="T106" s="81" t="str">
        <x:f>IFERROR(INDEX('Resource Rate Library'!$E$5:$E$85,MATCH(P106,'Resource Rate Library'!$A$5:$A$85,0)),"")</x:f>
      </x:c>
      <x:c r="U106" s="62"/>
      <x:c r="V106" s="62"/>
      <x:c r="W106" s="83" t="n">
        <x:f>IFERROR(INDEX('Resource Rate Library'!$I$5:$I$85,MATCH(P106,'Resource Rate Library'!$A$5:$A$85,0)),0)</x:f>
        <x:v>0</x:v>
      </x:c>
      <x:c r="X106" s="52"/>
      <x:c r="Y106" s="83" t="n">
        <x:f t="shared" si="8">IF(X106&gt;0,X106,W106)</x:f>
        <x:v>0</x:v>
      </x:c>
      <x:c r="Z106" s="83" t="str">
        <x:f t="shared" si="9">IF(B106="","",IF(N106="Time x Count",M106*R106*IF(U106="",1,U106)*Y106,IF(N106="QS Qty x Factor",E106*R106*(1+IF(V106="",0,V106))*Y106,IF(N106="Direct Qty",S106*(1+IF(V106="",0,V106))*Y106,IF(N106="Lump Sum / Quote",S106*Y106,0)))))</x:f>
      </x:c>
      <x:c r="AA106" s="81" t="str">
        <x:f>IFERROR(INDEX('Resource Rate Library'!$N$5:$N$85,MATCH(P106,'Resource Rate Library'!$A$5:$A$85,0)),"")</x:f>
      </x:c>
      <x:c r="AB106" s="53"/>
      <x:c r="AC106" s="59"/>
      <x:c r="AD106" s="81" t="str">
        <x:f>IFERROR(INDEX('Resource Rate Library'!$G$5:$G$85,MATCH(P106,'Resource Rate Library'!$A$5:$A$85,0)),"")</x:f>
      </x:c>
      <x:c r="AE106" s="81" t="str">
        <x:f>IFERROR(INDEX('Resource Rate Library'!$H$5:$H$85,MATCH(P106,'Resource Rate Library'!$A$5:$A$85,0)),"")</x:f>
      </x:c>
      <x:c r="AF106" s="53"/>
      <x:c r="AG106" s="53"/>
      <x:c r="AH106" s="53"/>
      <x:c r="AI106" s="81" t="str">
        <x:f t="shared" si="10">IF(B106="","",IF(AND(P106="",N106&lt;&gt;"Lump Sum / Quote"),"RESOURCE CODE",IF(Y106=0,"RATE MISSING",IF(AND(O106="Plant",AD106="Yes",COUNTIFS($B$7:$B$306,B106,$O$7:$O$306,"Labour",$Q$7:$Q$306,"*Operator*")&gt;0),"OPERATOR DOUBLE-COUNT",IF(AND(O106="Plant",AE106="Yes",COUNTIFS($B$7:$B$306,B106,$Q$7:$Q$306,"*Fuel*")&gt;0),"FUEL DOUBLE-COUNT",IF(AH106&lt;&gt;"Yes","VERIFY","OK"))))))</x:f>
      </x:c>
      <x:c r="AJ106" s="54"/>
      <x:c r="AK106" s="473"/>
      <x:c r="AL106" s="473"/>
      <x:c r="AM106" s="473"/>
      <x:c r="AN106" s="500" t="n">
        <x:f>IF(AND(AK106="Yes",OR(O106="Labour",O106="Plant")),Z106,0)</x:f>
        <x:v>0</x:v>
      </x:c>
    </x:row>
    <x:row r="107" ht="22.049999237060547" customHeight="1">
      <x:c r="A107" s="80" t="str">
        <x:f>IF(B107="","",B107&amp;"-"&amp;TEXT(COUNTIF($B$7:B107,B107),"000"))</x:f>
      </x:c>
      <x:c r="B107" s="53"/>
      <x:c r="C107" s="81" t="str">
        <x:f>IFERROR(INDEX('QS Takeoff'!$A$3:$A$194,MATCH(B107,'QS Takeoff'!$B$3:$B$194,0)),"")</x:f>
      </x:c>
      <x:c r="D107" s="81" t="str">
        <x:f>IFERROR(INDEX('QS Takeoff'!$C$3:$C$194,MATCH(B107,'QS Takeoff'!$B$3:$B$194,0)),"")</x:f>
      </x:c>
      <x:c r="E107" s="81" t="str">
        <x:f>IFERROR(INDEX('QS Takeoff'!$E$3:$E$194,MATCH(B107,'QS Takeoff'!$B$3:$B$194,0)),"")</x:f>
      </x:c>
      <x:c r="F107" s="81" t="str">
        <x:f>IFERROR(INDEX('QS Takeoff'!$D$3:$D$194,MATCH(B107,'QS Takeoff'!$B$3:$B$194,0)),"")</x:f>
      </x:c>
      <x:c r="G107" s="81" t="str">
        <x:f>IFERROR(INDEX('QS Takeoff'!$J$3:$J$194,MATCH(B107,'QS Takeoff'!$B$3:$B$194,0)),"")</x:f>
      </x:c>
      <x:c r="H107" s="53"/>
      <x:c r="I107" s="60"/>
      <x:c r="J107" s="60"/>
      <x:c r="K107" s="82" t="str">
        <x:f t="shared" si="6">IF(OR(B107="",I107="",I107=0),"",E107/I107)</x:f>
      </x:c>
      <x:c r="L107" s="60"/>
      <x:c r="M107" s="82" t="str">
        <x:f t="shared" si="7">IF(L107&gt;0,L107,K107)</x:f>
      </x:c>
      <x:c r="N107" s="53"/>
      <x:c r="O107" s="53"/>
      <x:c r="P107" s="53"/>
      <x:c r="Q107" s="81" t="str">
        <x:f>IFERROR(INDEX('Resource Rate Library'!$C$5:$C$85,MATCH(P107,'Resource Rate Library'!$A$5:$A$85,0)),"")</x:f>
      </x:c>
      <x:c r="R107" s="53"/>
      <x:c r="S107" s="53"/>
      <x:c r="T107" s="81" t="str">
        <x:f>IFERROR(INDEX('Resource Rate Library'!$E$5:$E$85,MATCH(P107,'Resource Rate Library'!$A$5:$A$85,0)),"")</x:f>
      </x:c>
      <x:c r="U107" s="62"/>
      <x:c r="V107" s="62"/>
      <x:c r="W107" s="83" t="n">
        <x:f>IFERROR(INDEX('Resource Rate Library'!$I$5:$I$85,MATCH(P107,'Resource Rate Library'!$A$5:$A$85,0)),0)</x:f>
        <x:v>0</x:v>
      </x:c>
      <x:c r="X107" s="52"/>
      <x:c r="Y107" s="83" t="n">
        <x:f t="shared" si="8">IF(X107&gt;0,X107,W107)</x:f>
        <x:v>0</x:v>
      </x:c>
      <x:c r="Z107" s="83" t="str">
        <x:f t="shared" si="9">IF(B107="","",IF(N107="Time x Count",M107*R107*IF(U107="",1,U107)*Y107,IF(N107="QS Qty x Factor",E107*R107*(1+IF(V107="",0,V107))*Y107,IF(N107="Direct Qty",S107*(1+IF(V107="",0,V107))*Y107,IF(N107="Lump Sum / Quote",S107*Y107,0)))))</x:f>
      </x:c>
      <x:c r="AA107" s="81" t="str">
        <x:f>IFERROR(INDEX('Resource Rate Library'!$N$5:$N$85,MATCH(P107,'Resource Rate Library'!$A$5:$A$85,0)),"")</x:f>
      </x:c>
      <x:c r="AB107" s="53"/>
      <x:c r="AC107" s="59"/>
      <x:c r="AD107" s="81" t="str">
        <x:f>IFERROR(INDEX('Resource Rate Library'!$G$5:$G$85,MATCH(P107,'Resource Rate Library'!$A$5:$A$85,0)),"")</x:f>
      </x:c>
      <x:c r="AE107" s="81" t="str">
        <x:f>IFERROR(INDEX('Resource Rate Library'!$H$5:$H$85,MATCH(P107,'Resource Rate Library'!$A$5:$A$85,0)),"")</x:f>
      </x:c>
      <x:c r="AF107" s="53"/>
      <x:c r="AG107" s="53"/>
      <x:c r="AH107" s="53"/>
      <x:c r="AI107" s="81" t="str">
        <x:f t="shared" si="10">IF(B107="","",IF(AND(P107="",N107&lt;&gt;"Lump Sum / Quote"),"RESOURCE CODE",IF(Y107=0,"RATE MISSING",IF(AND(O107="Plant",AD107="Yes",COUNTIFS($B$7:$B$306,B107,$O$7:$O$306,"Labour",$Q$7:$Q$306,"*Operator*")&gt;0),"OPERATOR DOUBLE-COUNT",IF(AND(O107="Plant",AE107="Yes",COUNTIFS($B$7:$B$306,B107,$Q$7:$Q$306,"*Fuel*")&gt;0),"FUEL DOUBLE-COUNT",IF(AH107&lt;&gt;"Yes","VERIFY","OK"))))))</x:f>
      </x:c>
      <x:c r="AJ107" s="54"/>
      <x:c r="AK107" s="473"/>
      <x:c r="AL107" s="473"/>
      <x:c r="AM107" s="473"/>
      <x:c r="AN107" s="500" t="n">
        <x:f>IF(AND(AK107="Yes",OR(O107="Labour",O107="Plant")),Z107,0)</x:f>
        <x:v>0</x:v>
      </x:c>
    </x:row>
    <x:row r="108" ht="22.049999237060547" customHeight="1">
      <x:c r="A108" s="80" t="str">
        <x:f>IF(B108="","",B108&amp;"-"&amp;TEXT(COUNTIF($B$7:B108,B108),"000"))</x:f>
      </x:c>
      <x:c r="B108" s="53"/>
      <x:c r="C108" s="81" t="str">
        <x:f>IFERROR(INDEX('QS Takeoff'!$A$3:$A$194,MATCH(B108,'QS Takeoff'!$B$3:$B$194,0)),"")</x:f>
      </x:c>
      <x:c r="D108" s="81" t="str">
        <x:f>IFERROR(INDEX('QS Takeoff'!$C$3:$C$194,MATCH(B108,'QS Takeoff'!$B$3:$B$194,0)),"")</x:f>
      </x:c>
      <x:c r="E108" s="81" t="str">
        <x:f>IFERROR(INDEX('QS Takeoff'!$E$3:$E$194,MATCH(B108,'QS Takeoff'!$B$3:$B$194,0)),"")</x:f>
      </x:c>
      <x:c r="F108" s="81" t="str">
        <x:f>IFERROR(INDEX('QS Takeoff'!$D$3:$D$194,MATCH(B108,'QS Takeoff'!$B$3:$B$194,0)),"")</x:f>
      </x:c>
      <x:c r="G108" s="81" t="str">
        <x:f>IFERROR(INDEX('QS Takeoff'!$J$3:$J$194,MATCH(B108,'QS Takeoff'!$B$3:$B$194,0)),"")</x:f>
      </x:c>
      <x:c r="H108" s="53"/>
      <x:c r="I108" s="60"/>
      <x:c r="J108" s="60"/>
      <x:c r="K108" s="82" t="str">
        <x:f t="shared" si="6">IF(OR(B108="",I108="",I108=0),"",E108/I108)</x:f>
      </x:c>
      <x:c r="L108" s="60"/>
      <x:c r="M108" s="82" t="str">
        <x:f t="shared" si="7">IF(L108&gt;0,L108,K108)</x:f>
      </x:c>
      <x:c r="N108" s="53"/>
      <x:c r="O108" s="53"/>
      <x:c r="P108" s="53"/>
      <x:c r="Q108" s="81" t="str">
        <x:f>IFERROR(INDEX('Resource Rate Library'!$C$5:$C$85,MATCH(P108,'Resource Rate Library'!$A$5:$A$85,0)),"")</x:f>
      </x:c>
      <x:c r="R108" s="53"/>
      <x:c r="S108" s="53"/>
      <x:c r="T108" s="81" t="str">
        <x:f>IFERROR(INDEX('Resource Rate Library'!$E$5:$E$85,MATCH(P108,'Resource Rate Library'!$A$5:$A$85,0)),"")</x:f>
      </x:c>
      <x:c r="U108" s="62"/>
      <x:c r="V108" s="62"/>
      <x:c r="W108" s="83" t="n">
        <x:f>IFERROR(INDEX('Resource Rate Library'!$I$5:$I$85,MATCH(P108,'Resource Rate Library'!$A$5:$A$85,0)),0)</x:f>
        <x:v>0</x:v>
      </x:c>
      <x:c r="X108" s="52"/>
      <x:c r="Y108" s="83" t="n">
        <x:f t="shared" si="8">IF(X108&gt;0,X108,W108)</x:f>
        <x:v>0</x:v>
      </x:c>
      <x:c r="Z108" s="83" t="str">
        <x:f t="shared" si="9">IF(B108="","",IF(N108="Time x Count",M108*R108*IF(U108="",1,U108)*Y108,IF(N108="QS Qty x Factor",E108*R108*(1+IF(V108="",0,V108))*Y108,IF(N108="Direct Qty",S108*(1+IF(V108="",0,V108))*Y108,IF(N108="Lump Sum / Quote",S108*Y108,0)))))</x:f>
      </x:c>
      <x:c r="AA108" s="81" t="str">
        <x:f>IFERROR(INDEX('Resource Rate Library'!$N$5:$N$85,MATCH(P108,'Resource Rate Library'!$A$5:$A$85,0)),"")</x:f>
      </x:c>
      <x:c r="AB108" s="53"/>
      <x:c r="AC108" s="59"/>
      <x:c r="AD108" s="81" t="str">
        <x:f>IFERROR(INDEX('Resource Rate Library'!$G$5:$G$85,MATCH(P108,'Resource Rate Library'!$A$5:$A$85,0)),"")</x:f>
      </x:c>
      <x:c r="AE108" s="81" t="str">
        <x:f>IFERROR(INDEX('Resource Rate Library'!$H$5:$H$85,MATCH(P108,'Resource Rate Library'!$A$5:$A$85,0)),"")</x:f>
      </x:c>
      <x:c r="AF108" s="53"/>
      <x:c r="AG108" s="53"/>
      <x:c r="AH108" s="53"/>
      <x:c r="AI108" s="81" t="str">
        <x:f t="shared" si="10">IF(B108="","",IF(AND(P108="",N108&lt;&gt;"Lump Sum / Quote"),"RESOURCE CODE",IF(Y108=0,"RATE MISSING",IF(AND(O108="Plant",AD108="Yes",COUNTIFS($B$7:$B$306,B108,$O$7:$O$306,"Labour",$Q$7:$Q$306,"*Operator*")&gt;0),"OPERATOR DOUBLE-COUNT",IF(AND(O108="Plant",AE108="Yes",COUNTIFS($B$7:$B$306,B108,$Q$7:$Q$306,"*Fuel*")&gt;0),"FUEL DOUBLE-COUNT",IF(AH108&lt;&gt;"Yes","VERIFY","OK"))))))</x:f>
      </x:c>
      <x:c r="AJ108" s="54"/>
      <x:c r="AK108" s="473"/>
      <x:c r="AL108" s="473"/>
      <x:c r="AM108" s="473"/>
      <x:c r="AN108" s="500" t="n">
        <x:f>IF(AND(AK108="Yes",OR(O108="Labour",O108="Plant")),Z108,0)</x:f>
        <x:v>0</x:v>
      </x:c>
    </x:row>
    <x:row r="109" ht="22.049999237060547" customHeight="1">
      <x:c r="A109" s="80" t="str">
        <x:f>IF(B109="","",B109&amp;"-"&amp;TEXT(COUNTIF($B$7:B109,B109),"000"))</x:f>
      </x:c>
      <x:c r="B109" s="53"/>
      <x:c r="C109" s="81" t="str">
        <x:f>IFERROR(INDEX('QS Takeoff'!$A$3:$A$194,MATCH(B109,'QS Takeoff'!$B$3:$B$194,0)),"")</x:f>
      </x:c>
      <x:c r="D109" s="81" t="str">
        <x:f>IFERROR(INDEX('QS Takeoff'!$C$3:$C$194,MATCH(B109,'QS Takeoff'!$B$3:$B$194,0)),"")</x:f>
      </x:c>
      <x:c r="E109" s="81" t="str">
        <x:f>IFERROR(INDEX('QS Takeoff'!$E$3:$E$194,MATCH(B109,'QS Takeoff'!$B$3:$B$194,0)),"")</x:f>
      </x:c>
      <x:c r="F109" s="81" t="str">
        <x:f>IFERROR(INDEX('QS Takeoff'!$D$3:$D$194,MATCH(B109,'QS Takeoff'!$B$3:$B$194,0)),"")</x:f>
      </x:c>
      <x:c r="G109" s="81" t="str">
        <x:f>IFERROR(INDEX('QS Takeoff'!$J$3:$J$194,MATCH(B109,'QS Takeoff'!$B$3:$B$194,0)),"")</x:f>
      </x:c>
      <x:c r="H109" s="53"/>
      <x:c r="I109" s="60"/>
      <x:c r="J109" s="60"/>
      <x:c r="K109" s="82" t="str">
        <x:f t="shared" si="6">IF(OR(B109="",I109="",I109=0),"",E109/I109)</x:f>
      </x:c>
      <x:c r="L109" s="60"/>
      <x:c r="M109" s="82" t="str">
        <x:f t="shared" si="7">IF(L109&gt;0,L109,K109)</x:f>
      </x:c>
      <x:c r="N109" s="53"/>
      <x:c r="O109" s="53"/>
      <x:c r="P109" s="53"/>
      <x:c r="Q109" s="81" t="str">
        <x:f>IFERROR(INDEX('Resource Rate Library'!$C$5:$C$85,MATCH(P109,'Resource Rate Library'!$A$5:$A$85,0)),"")</x:f>
      </x:c>
      <x:c r="R109" s="53"/>
      <x:c r="S109" s="53"/>
      <x:c r="T109" s="81" t="str">
        <x:f>IFERROR(INDEX('Resource Rate Library'!$E$5:$E$85,MATCH(P109,'Resource Rate Library'!$A$5:$A$85,0)),"")</x:f>
      </x:c>
      <x:c r="U109" s="62"/>
      <x:c r="V109" s="62"/>
      <x:c r="W109" s="83" t="n">
        <x:f>IFERROR(INDEX('Resource Rate Library'!$I$5:$I$85,MATCH(P109,'Resource Rate Library'!$A$5:$A$85,0)),0)</x:f>
        <x:v>0</x:v>
      </x:c>
      <x:c r="X109" s="52"/>
      <x:c r="Y109" s="83" t="n">
        <x:f t="shared" si="8">IF(X109&gt;0,X109,W109)</x:f>
        <x:v>0</x:v>
      </x:c>
      <x:c r="Z109" s="83" t="str">
        <x:f t="shared" si="9">IF(B109="","",IF(N109="Time x Count",M109*R109*IF(U109="",1,U109)*Y109,IF(N109="QS Qty x Factor",E109*R109*(1+IF(V109="",0,V109))*Y109,IF(N109="Direct Qty",S109*(1+IF(V109="",0,V109))*Y109,IF(N109="Lump Sum / Quote",S109*Y109,0)))))</x:f>
      </x:c>
      <x:c r="AA109" s="81" t="str">
        <x:f>IFERROR(INDEX('Resource Rate Library'!$N$5:$N$85,MATCH(P109,'Resource Rate Library'!$A$5:$A$85,0)),"")</x:f>
      </x:c>
      <x:c r="AB109" s="53"/>
      <x:c r="AC109" s="59"/>
      <x:c r="AD109" s="81" t="str">
        <x:f>IFERROR(INDEX('Resource Rate Library'!$G$5:$G$85,MATCH(P109,'Resource Rate Library'!$A$5:$A$85,0)),"")</x:f>
      </x:c>
      <x:c r="AE109" s="81" t="str">
        <x:f>IFERROR(INDEX('Resource Rate Library'!$H$5:$H$85,MATCH(P109,'Resource Rate Library'!$A$5:$A$85,0)),"")</x:f>
      </x:c>
      <x:c r="AF109" s="53"/>
      <x:c r="AG109" s="53"/>
      <x:c r="AH109" s="53"/>
      <x:c r="AI109" s="81" t="str">
        <x:f t="shared" si="10">IF(B109="","",IF(AND(P109="",N109&lt;&gt;"Lump Sum / Quote"),"RESOURCE CODE",IF(Y109=0,"RATE MISSING",IF(AND(O109="Plant",AD109="Yes",COUNTIFS($B$7:$B$306,B109,$O$7:$O$306,"Labour",$Q$7:$Q$306,"*Operator*")&gt;0),"OPERATOR DOUBLE-COUNT",IF(AND(O109="Plant",AE109="Yes",COUNTIFS($B$7:$B$306,B109,$Q$7:$Q$306,"*Fuel*")&gt;0),"FUEL DOUBLE-COUNT",IF(AH109&lt;&gt;"Yes","VERIFY","OK"))))))</x:f>
      </x:c>
      <x:c r="AJ109" s="54"/>
      <x:c r="AK109" s="473"/>
      <x:c r="AL109" s="473"/>
      <x:c r="AM109" s="473"/>
      <x:c r="AN109" s="500" t="n">
        <x:f>IF(AND(AK109="Yes",OR(O109="Labour",O109="Plant")),Z109,0)</x:f>
        <x:v>0</x:v>
      </x:c>
    </x:row>
    <x:row r="110" ht="22.049999237060547" customHeight="1">
      <x:c r="A110" s="80" t="str">
        <x:f>IF(B110="","",B110&amp;"-"&amp;TEXT(COUNTIF($B$7:B110,B110),"000"))</x:f>
      </x:c>
      <x:c r="B110" s="53"/>
      <x:c r="C110" s="81" t="str">
        <x:f>IFERROR(INDEX('QS Takeoff'!$A$3:$A$194,MATCH(B110,'QS Takeoff'!$B$3:$B$194,0)),"")</x:f>
      </x:c>
      <x:c r="D110" s="81" t="str">
        <x:f>IFERROR(INDEX('QS Takeoff'!$C$3:$C$194,MATCH(B110,'QS Takeoff'!$B$3:$B$194,0)),"")</x:f>
      </x:c>
      <x:c r="E110" s="81" t="str">
        <x:f>IFERROR(INDEX('QS Takeoff'!$E$3:$E$194,MATCH(B110,'QS Takeoff'!$B$3:$B$194,0)),"")</x:f>
      </x:c>
      <x:c r="F110" s="81" t="str">
        <x:f>IFERROR(INDEX('QS Takeoff'!$D$3:$D$194,MATCH(B110,'QS Takeoff'!$B$3:$B$194,0)),"")</x:f>
      </x:c>
      <x:c r="G110" s="81" t="str">
        <x:f>IFERROR(INDEX('QS Takeoff'!$J$3:$J$194,MATCH(B110,'QS Takeoff'!$B$3:$B$194,0)),"")</x:f>
      </x:c>
      <x:c r="H110" s="53"/>
      <x:c r="I110" s="60"/>
      <x:c r="J110" s="60"/>
      <x:c r="K110" s="82" t="str">
        <x:f t="shared" si="6">IF(OR(B110="",I110="",I110=0),"",E110/I110)</x:f>
      </x:c>
      <x:c r="L110" s="60"/>
      <x:c r="M110" s="82" t="str">
        <x:f t="shared" si="7">IF(L110&gt;0,L110,K110)</x:f>
      </x:c>
      <x:c r="N110" s="53"/>
      <x:c r="O110" s="53"/>
      <x:c r="P110" s="53"/>
      <x:c r="Q110" s="81" t="str">
        <x:f>IFERROR(INDEX('Resource Rate Library'!$C$5:$C$85,MATCH(P110,'Resource Rate Library'!$A$5:$A$85,0)),"")</x:f>
      </x:c>
      <x:c r="R110" s="53"/>
      <x:c r="S110" s="53"/>
      <x:c r="T110" s="81" t="str">
        <x:f>IFERROR(INDEX('Resource Rate Library'!$E$5:$E$85,MATCH(P110,'Resource Rate Library'!$A$5:$A$85,0)),"")</x:f>
      </x:c>
      <x:c r="U110" s="62"/>
      <x:c r="V110" s="62"/>
      <x:c r="W110" s="83" t="n">
        <x:f>IFERROR(INDEX('Resource Rate Library'!$I$5:$I$85,MATCH(P110,'Resource Rate Library'!$A$5:$A$85,0)),0)</x:f>
        <x:v>0</x:v>
      </x:c>
      <x:c r="X110" s="52"/>
      <x:c r="Y110" s="83" t="n">
        <x:f t="shared" si="8">IF(X110&gt;0,X110,W110)</x:f>
        <x:v>0</x:v>
      </x:c>
      <x:c r="Z110" s="83" t="str">
        <x:f t="shared" si="9">IF(B110="","",IF(N110="Time x Count",M110*R110*IF(U110="",1,U110)*Y110,IF(N110="QS Qty x Factor",E110*R110*(1+IF(V110="",0,V110))*Y110,IF(N110="Direct Qty",S110*(1+IF(V110="",0,V110))*Y110,IF(N110="Lump Sum / Quote",S110*Y110,0)))))</x:f>
      </x:c>
      <x:c r="AA110" s="81" t="str">
        <x:f>IFERROR(INDEX('Resource Rate Library'!$N$5:$N$85,MATCH(P110,'Resource Rate Library'!$A$5:$A$85,0)),"")</x:f>
      </x:c>
      <x:c r="AB110" s="53"/>
      <x:c r="AC110" s="59"/>
      <x:c r="AD110" s="81" t="str">
        <x:f>IFERROR(INDEX('Resource Rate Library'!$G$5:$G$85,MATCH(P110,'Resource Rate Library'!$A$5:$A$85,0)),"")</x:f>
      </x:c>
      <x:c r="AE110" s="81" t="str">
        <x:f>IFERROR(INDEX('Resource Rate Library'!$H$5:$H$85,MATCH(P110,'Resource Rate Library'!$A$5:$A$85,0)),"")</x:f>
      </x:c>
      <x:c r="AF110" s="53"/>
      <x:c r="AG110" s="53"/>
      <x:c r="AH110" s="53"/>
      <x:c r="AI110" s="81" t="str">
        <x:f t="shared" si="10">IF(B110="","",IF(AND(P110="",N110&lt;&gt;"Lump Sum / Quote"),"RESOURCE CODE",IF(Y110=0,"RATE MISSING",IF(AND(O110="Plant",AD110="Yes",COUNTIFS($B$7:$B$306,B110,$O$7:$O$306,"Labour",$Q$7:$Q$306,"*Operator*")&gt;0),"OPERATOR DOUBLE-COUNT",IF(AND(O110="Plant",AE110="Yes",COUNTIFS($B$7:$B$306,B110,$Q$7:$Q$306,"*Fuel*")&gt;0),"FUEL DOUBLE-COUNT",IF(AH110&lt;&gt;"Yes","VERIFY","OK"))))))</x:f>
      </x:c>
      <x:c r="AJ110" s="54"/>
      <x:c r="AK110" s="473"/>
      <x:c r="AL110" s="473"/>
      <x:c r="AM110" s="473"/>
      <x:c r="AN110" s="500" t="n">
        <x:f>IF(AND(AK110="Yes",OR(O110="Labour",O110="Plant")),Z110,0)</x:f>
        <x:v>0</x:v>
      </x:c>
    </x:row>
    <x:row r="111" ht="22.049999237060547" customHeight="1">
      <x:c r="A111" s="80" t="str">
        <x:f>IF(B111="","",B111&amp;"-"&amp;TEXT(COUNTIF($B$7:B111,B111),"000"))</x:f>
      </x:c>
      <x:c r="B111" s="53"/>
      <x:c r="C111" s="81" t="str">
        <x:f>IFERROR(INDEX('QS Takeoff'!$A$3:$A$194,MATCH(B111,'QS Takeoff'!$B$3:$B$194,0)),"")</x:f>
      </x:c>
      <x:c r="D111" s="81" t="str">
        <x:f>IFERROR(INDEX('QS Takeoff'!$C$3:$C$194,MATCH(B111,'QS Takeoff'!$B$3:$B$194,0)),"")</x:f>
      </x:c>
      <x:c r="E111" s="81" t="str">
        <x:f>IFERROR(INDEX('QS Takeoff'!$E$3:$E$194,MATCH(B111,'QS Takeoff'!$B$3:$B$194,0)),"")</x:f>
      </x:c>
      <x:c r="F111" s="81" t="str">
        <x:f>IFERROR(INDEX('QS Takeoff'!$D$3:$D$194,MATCH(B111,'QS Takeoff'!$B$3:$B$194,0)),"")</x:f>
      </x:c>
      <x:c r="G111" s="81" t="str">
        <x:f>IFERROR(INDEX('QS Takeoff'!$J$3:$J$194,MATCH(B111,'QS Takeoff'!$B$3:$B$194,0)),"")</x:f>
      </x:c>
      <x:c r="H111" s="53"/>
      <x:c r="I111" s="60"/>
      <x:c r="J111" s="60"/>
      <x:c r="K111" s="82" t="str">
        <x:f t="shared" si="6">IF(OR(B111="",I111="",I111=0),"",E111/I111)</x:f>
      </x:c>
      <x:c r="L111" s="60"/>
      <x:c r="M111" s="82" t="str">
        <x:f t="shared" si="7">IF(L111&gt;0,L111,K111)</x:f>
      </x:c>
      <x:c r="N111" s="53"/>
      <x:c r="O111" s="53"/>
      <x:c r="P111" s="53"/>
      <x:c r="Q111" s="81" t="str">
        <x:f>IFERROR(INDEX('Resource Rate Library'!$C$5:$C$85,MATCH(P111,'Resource Rate Library'!$A$5:$A$85,0)),"")</x:f>
      </x:c>
      <x:c r="R111" s="53"/>
      <x:c r="S111" s="53"/>
      <x:c r="T111" s="81" t="str">
        <x:f>IFERROR(INDEX('Resource Rate Library'!$E$5:$E$85,MATCH(P111,'Resource Rate Library'!$A$5:$A$85,0)),"")</x:f>
      </x:c>
      <x:c r="U111" s="62"/>
      <x:c r="V111" s="62"/>
      <x:c r="W111" s="83" t="n">
        <x:f>IFERROR(INDEX('Resource Rate Library'!$I$5:$I$85,MATCH(P111,'Resource Rate Library'!$A$5:$A$85,0)),0)</x:f>
        <x:v>0</x:v>
      </x:c>
      <x:c r="X111" s="52"/>
      <x:c r="Y111" s="83" t="n">
        <x:f t="shared" si="8">IF(X111&gt;0,X111,W111)</x:f>
        <x:v>0</x:v>
      </x:c>
      <x:c r="Z111" s="83" t="str">
        <x:f t="shared" si="9">IF(B111="","",IF(N111="Time x Count",M111*R111*IF(U111="",1,U111)*Y111,IF(N111="QS Qty x Factor",E111*R111*(1+IF(V111="",0,V111))*Y111,IF(N111="Direct Qty",S111*(1+IF(V111="",0,V111))*Y111,IF(N111="Lump Sum / Quote",S111*Y111,0)))))</x:f>
      </x:c>
      <x:c r="AA111" s="81" t="str">
        <x:f>IFERROR(INDEX('Resource Rate Library'!$N$5:$N$85,MATCH(P111,'Resource Rate Library'!$A$5:$A$85,0)),"")</x:f>
      </x:c>
      <x:c r="AB111" s="53"/>
      <x:c r="AC111" s="59"/>
      <x:c r="AD111" s="81" t="str">
        <x:f>IFERROR(INDEX('Resource Rate Library'!$G$5:$G$85,MATCH(P111,'Resource Rate Library'!$A$5:$A$85,0)),"")</x:f>
      </x:c>
      <x:c r="AE111" s="81" t="str">
        <x:f>IFERROR(INDEX('Resource Rate Library'!$H$5:$H$85,MATCH(P111,'Resource Rate Library'!$A$5:$A$85,0)),"")</x:f>
      </x:c>
      <x:c r="AF111" s="53"/>
      <x:c r="AG111" s="53"/>
      <x:c r="AH111" s="53"/>
      <x:c r="AI111" s="81" t="str">
        <x:f t="shared" si="10">IF(B111="","",IF(AND(P111="",N111&lt;&gt;"Lump Sum / Quote"),"RESOURCE CODE",IF(Y111=0,"RATE MISSING",IF(AND(O111="Plant",AD111="Yes",COUNTIFS($B$7:$B$306,B111,$O$7:$O$306,"Labour",$Q$7:$Q$306,"*Operator*")&gt;0),"OPERATOR DOUBLE-COUNT",IF(AND(O111="Plant",AE111="Yes",COUNTIFS($B$7:$B$306,B111,$Q$7:$Q$306,"*Fuel*")&gt;0),"FUEL DOUBLE-COUNT",IF(AH111&lt;&gt;"Yes","VERIFY","OK"))))))</x:f>
      </x:c>
      <x:c r="AJ111" s="54"/>
      <x:c r="AK111" s="473"/>
      <x:c r="AL111" s="473"/>
      <x:c r="AM111" s="473"/>
      <x:c r="AN111" s="500" t="n">
        <x:f>IF(AND(AK111="Yes",OR(O111="Labour",O111="Plant")),Z111,0)</x:f>
        <x:v>0</x:v>
      </x:c>
    </x:row>
    <x:row r="112" ht="22.049999237060547" customHeight="1">
      <x:c r="A112" s="80" t="str">
        <x:f>IF(B112="","",B112&amp;"-"&amp;TEXT(COUNTIF($B$7:B112,B112),"000"))</x:f>
      </x:c>
      <x:c r="B112" s="53"/>
      <x:c r="C112" s="81" t="str">
        <x:f>IFERROR(INDEX('QS Takeoff'!$A$3:$A$194,MATCH(B112,'QS Takeoff'!$B$3:$B$194,0)),"")</x:f>
      </x:c>
      <x:c r="D112" s="81" t="str">
        <x:f>IFERROR(INDEX('QS Takeoff'!$C$3:$C$194,MATCH(B112,'QS Takeoff'!$B$3:$B$194,0)),"")</x:f>
      </x:c>
      <x:c r="E112" s="81" t="str">
        <x:f>IFERROR(INDEX('QS Takeoff'!$E$3:$E$194,MATCH(B112,'QS Takeoff'!$B$3:$B$194,0)),"")</x:f>
      </x:c>
      <x:c r="F112" s="81" t="str">
        <x:f>IFERROR(INDEX('QS Takeoff'!$D$3:$D$194,MATCH(B112,'QS Takeoff'!$B$3:$B$194,0)),"")</x:f>
      </x:c>
      <x:c r="G112" s="81" t="str">
        <x:f>IFERROR(INDEX('QS Takeoff'!$J$3:$J$194,MATCH(B112,'QS Takeoff'!$B$3:$B$194,0)),"")</x:f>
      </x:c>
      <x:c r="H112" s="53"/>
      <x:c r="I112" s="60"/>
      <x:c r="J112" s="60"/>
      <x:c r="K112" s="82" t="str">
        <x:f t="shared" si="6">IF(OR(B112="",I112="",I112=0),"",E112/I112)</x:f>
      </x:c>
      <x:c r="L112" s="60"/>
      <x:c r="M112" s="82" t="str">
        <x:f t="shared" si="7">IF(L112&gt;0,L112,K112)</x:f>
      </x:c>
      <x:c r="N112" s="53"/>
      <x:c r="O112" s="53"/>
      <x:c r="P112" s="53"/>
      <x:c r="Q112" s="81" t="str">
        <x:f>IFERROR(INDEX('Resource Rate Library'!$C$5:$C$85,MATCH(P112,'Resource Rate Library'!$A$5:$A$85,0)),"")</x:f>
      </x:c>
      <x:c r="R112" s="53"/>
      <x:c r="S112" s="53"/>
      <x:c r="T112" s="81" t="str">
        <x:f>IFERROR(INDEX('Resource Rate Library'!$E$5:$E$85,MATCH(P112,'Resource Rate Library'!$A$5:$A$85,0)),"")</x:f>
      </x:c>
      <x:c r="U112" s="62"/>
      <x:c r="V112" s="62"/>
      <x:c r="W112" s="83" t="n">
        <x:f>IFERROR(INDEX('Resource Rate Library'!$I$5:$I$85,MATCH(P112,'Resource Rate Library'!$A$5:$A$85,0)),0)</x:f>
        <x:v>0</x:v>
      </x:c>
      <x:c r="X112" s="52"/>
      <x:c r="Y112" s="83" t="n">
        <x:f t="shared" si="8">IF(X112&gt;0,X112,W112)</x:f>
        <x:v>0</x:v>
      </x:c>
      <x:c r="Z112" s="83" t="str">
        <x:f t="shared" si="9">IF(B112="","",IF(N112="Time x Count",M112*R112*IF(U112="",1,U112)*Y112,IF(N112="QS Qty x Factor",E112*R112*(1+IF(V112="",0,V112))*Y112,IF(N112="Direct Qty",S112*(1+IF(V112="",0,V112))*Y112,IF(N112="Lump Sum / Quote",S112*Y112,0)))))</x:f>
      </x:c>
      <x:c r="AA112" s="81" t="str">
        <x:f>IFERROR(INDEX('Resource Rate Library'!$N$5:$N$85,MATCH(P112,'Resource Rate Library'!$A$5:$A$85,0)),"")</x:f>
      </x:c>
      <x:c r="AB112" s="53"/>
      <x:c r="AC112" s="59"/>
      <x:c r="AD112" s="81" t="str">
        <x:f>IFERROR(INDEX('Resource Rate Library'!$G$5:$G$85,MATCH(P112,'Resource Rate Library'!$A$5:$A$85,0)),"")</x:f>
      </x:c>
      <x:c r="AE112" s="81" t="str">
        <x:f>IFERROR(INDEX('Resource Rate Library'!$H$5:$H$85,MATCH(P112,'Resource Rate Library'!$A$5:$A$85,0)),"")</x:f>
      </x:c>
      <x:c r="AF112" s="53"/>
      <x:c r="AG112" s="53"/>
      <x:c r="AH112" s="53"/>
      <x:c r="AI112" s="81" t="str">
        <x:f t="shared" si="10">IF(B112="","",IF(AND(P112="",N112&lt;&gt;"Lump Sum / Quote"),"RESOURCE CODE",IF(Y112=0,"RATE MISSING",IF(AND(O112="Plant",AD112="Yes",COUNTIFS($B$7:$B$306,B112,$O$7:$O$306,"Labour",$Q$7:$Q$306,"*Operator*")&gt;0),"OPERATOR DOUBLE-COUNT",IF(AND(O112="Plant",AE112="Yes",COUNTIFS($B$7:$B$306,B112,$Q$7:$Q$306,"*Fuel*")&gt;0),"FUEL DOUBLE-COUNT",IF(AH112&lt;&gt;"Yes","VERIFY","OK"))))))</x:f>
      </x:c>
      <x:c r="AJ112" s="54"/>
      <x:c r="AK112" s="473"/>
      <x:c r="AL112" s="473"/>
      <x:c r="AM112" s="473"/>
      <x:c r="AN112" s="500" t="n">
        <x:f>IF(AND(AK112="Yes",OR(O112="Labour",O112="Plant")),Z112,0)</x:f>
        <x:v>0</x:v>
      </x:c>
    </x:row>
    <x:row r="113" ht="22.049999237060547" customHeight="1">
      <x:c r="A113" s="80" t="str">
        <x:f>IF(B113="","",B113&amp;"-"&amp;TEXT(COUNTIF($B$7:B113,B113),"000"))</x:f>
      </x:c>
      <x:c r="B113" s="53"/>
      <x:c r="C113" s="81" t="str">
        <x:f>IFERROR(INDEX('QS Takeoff'!$A$3:$A$194,MATCH(B113,'QS Takeoff'!$B$3:$B$194,0)),"")</x:f>
      </x:c>
      <x:c r="D113" s="81" t="str">
        <x:f>IFERROR(INDEX('QS Takeoff'!$C$3:$C$194,MATCH(B113,'QS Takeoff'!$B$3:$B$194,0)),"")</x:f>
      </x:c>
      <x:c r="E113" s="81" t="str">
        <x:f>IFERROR(INDEX('QS Takeoff'!$E$3:$E$194,MATCH(B113,'QS Takeoff'!$B$3:$B$194,0)),"")</x:f>
      </x:c>
      <x:c r="F113" s="81" t="str">
        <x:f>IFERROR(INDEX('QS Takeoff'!$D$3:$D$194,MATCH(B113,'QS Takeoff'!$B$3:$B$194,0)),"")</x:f>
      </x:c>
      <x:c r="G113" s="81" t="str">
        <x:f>IFERROR(INDEX('QS Takeoff'!$J$3:$J$194,MATCH(B113,'QS Takeoff'!$B$3:$B$194,0)),"")</x:f>
      </x:c>
      <x:c r="H113" s="53"/>
      <x:c r="I113" s="60"/>
      <x:c r="J113" s="60"/>
      <x:c r="K113" s="82" t="str">
        <x:f t="shared" si="6">IF(OR(B113="",I113="",I113=0),"",E113/I113)</x:f>
      </x:c>
      <x:c r="L113" s="60"/>
      <x:c r="M113" s="82" t="str">
        <x:f t="shared" si="7">IF(L113&gt;0,L113,K113)</x:f>
      </x:c>
      <x:c r="N113" s="53"/>
      <x:c r="O113" s="53"/>
      <x:c r="P113" s="53"/>
      <x:c r="Q113" s="81" t="str">
        <x:f>IFERROR(INDEX('Resource Rate Library'!$C$5:$C$85,MATCH(P113,'Resource Rate Library'!$A$5:$A$85,0)),"")</x:f>
      </x:c>
      <x:c r="R113" s="53"/>
      <x:c r="S113" s="53"/>
      <x:c r="T113" s="81" t="str">
        <x:f>IFERROR(INDEX('Resource Rate Library'!$E$5:$E$85,MATCH(P113,'Resource Rate Library'!$A$5:$A$85,0)),"")</x:f>
      </x:c>
      <x:c r="U113" s="62"/>
      <x:c r="V113" s="62"/>
      <x:c r="W113" s="83" t="n">
        <x:f>IFERROR(INDEX('Resource Rate Library'!$I$5:$I$85,MATCH(P113,'Resource Rate Library'!$A$5:$A$85,0)),0)</x:f>
        <x:v>0</x:v>
      </x:c>
      <x:c r="X113" s="52"/>
      <x:c r="Y113" s="83" t="n">
        <x:f t="shared" si="8">IF(X113&gt;0,X113,W113)</x:f>
        <x:v>0</x:v>
      </x:c>
      <x:c r="Z113" s="83" t="str">
        <x:f t="shared" si="9">IF(B113="","",IF(N113="Time x Count",M113*R113*IF(U113="",1,U113)*Y113,IF(N113="QS Qty x Factor",E113*R113*(1+IF(V113="",0,V113))*Y113,IF(N113="Direct Qty",S113*(1+IF(V113="",0,V113))*Y113,IF(N113="Lump Sum / Quote",S113*Y113,0)))))</x:f>
      </x:c>
      <x:c r="AA113" s="81" t="str">
        <x:f>IFERROR(INDEX('Resource Rate Library'!$N$5:$N$85,MATCH(P113,'Resource Rate Library'!$A$5:$A$85,0)),"")</x:f>
      </x:c>
      <x:c r="AB113" s="53"/>
      <x:c r="AC113" s="59"/>
      <x:c r="AD113" s="81" t="str">
        <x:f>IFERROR(INDEX('Resource Rate Library'!$G$5:$G$85,MATCH(P113,'Resource Rate Library'!$A$5:$A$85,0)),"")</x:f>
      </x:c>
      <x:c r="AE113" s="81" t="str">
        <x:f>IFERROR(INDEX('Resource Rate Library'!$H$5:$H$85,MATCH(P113,'Resource Rate Library'!$A$5:$A$85,0)),"")</x:f>
      </x:c>
      <x:c r="AF113" s="53"/>
      <x:c r="AG113" s="53"/>
      <x:c r="AH113" s="53"/>
      <x:c r="AI113" s="81" t="str">
        <x:f t="shared" si="10">IF(B113="","",IF(AND(P113="",N113&lt;&gt;"Lump Sum / Quote"),"RESOURCE CODE",IF(Y113=0,"RATE MISSING",IF(AND(O113="Plant",AD113="Yes",COUNTIFS($B$7:$B$306,B113,$O$7:$O$306,"Labour",$Q$7:$Q$306,"*Operator*")&gt;0),"OPERATOR DOUBLE-COUNT",IF(AND(O113="Plant",AE113="Yes",COUNTIFS($B$7:$B$306,B113,$Q$7:$Q$306,"*Fuel*")&gt;0),"FUEL DOUBLE-COUNT",IF(AH113&lt;&gt;"Yes","VERIFY","OK"))))))</x:f>
      </x:c>
      <x:c r="AJ113" s="54"/>
      <x:c r="AK113" s="473"/>
      <x:c r="AL113" s="473"/>
      <x:c r="AM113" s="473"/>
      <x:c r="AN113" s="500" t="n">
        <x:f>IF(AND(AK113="Yes",OR(O113="Labour",O113="Plant")),Z113,0)</x:f>
        <x:v>0</x:v>
      </x:c>
    </x:row>
    <x:row r="114" ht="22.049999237060547" customHeight="1">
      <x:c r="A114" s="80" t="str">
        <x:f>IF(B114="","",B114&amp;"-"&amp;TEXT(COUNTIF($B$7:B114,B114),"000"))</x:f>
      </x:c>
      <x:c r="B114" s="53"/>
      <x:c r="C114" s="81" t="str">
        <x:f>IFERROR(INDEX('QS Takeoff'!$A$3:$A$194,MATCH(B114,'QS Takeoff'!$B$3:$B$194,0)),"")</x:f>
      </x:c>
      <x:c r="D114" s="81" t="str">
        <x:f>IFERROR(INDEX('QS Takeoff'!$C$3:$C$194,MATCH(B114,'QS Takeoff'!$B$3:$B$194,0)),"")</x:f>
      </x:c>
      <x:c r="E114" s="81" t="str">
        <x:f>IFERROR(INDEX('QS Takeoff'!$E$3:$E$194,MATCH(B114,'QS Takeoff'!$B$3:$B$194,0)),"")</x:f>
      </x:c>
      <x:c r="F114" s="81" t="str">
        <x:f>IFERROR(INDEX('QS Takeoff'!$D$3:$D$194,MATCH(B114,'QS Takeoff'!$B$3:$B$194,0)),"")</x:f>
      </x:c>
      <x:c r="G114" s="81" t="str">
        <x:f>IFERROR(INDEX('QS Takeoff'!$J$3:$J$194,MATCH(B114,'QS Takeoff'!$B$3:$B$194,0)),"")</x:f>
      </x:c>
      <x:c r="H114" s="53"/>
      <x:c r="I114" s="60"/>
      <x:c r="J114" s="60"/>
      <x:c r="K114" s="82" t="str">
        <x:f t="shared" si="6">IF(OR(B114="",I114="",I114=0),"",E114/I114)</x:f>
      </x:c>
      <x:c r="L114" s="60"/>
      <x:c r="M114" s="82" t="str">
        <x:f t="shared" si="7">IF(L114&gt;0,L114,K114)</x:f>
      </x:c>
      <x:c r="N114" s="53"/>
      <x:c r="O114" s="53"/>
      <x:c r="P114" s="53"/>
      <x:c r="Q114" s="81" t="str">
        <x:f>IFERROR(INDEX('Resource Rate Library'!$C$5:$C$85,MATCH(P114,'Resource Rate Library'!$A$5:$A$85,0)),"")</x:f>
      </x:c>
      <x:c r="R114" s="53"/>
      <x:c r="S114" s="53"/>
      <x:c r="T114" s="81" t="str">
        <x:f>IFERROR(INDEX('Resource Rate Library'!$E$5:$E$85,MATCH(P114,'Resource Rate Library'!$A$5:$A$85,0)),"")</x:f>
      </x:c>
      <x:c r="U114" s="62"/>
      <x:c r="V114" s="62"/>
      <x:c r="W114" s="83" t="n">
        <x:f>IFERROR(INDEX('Resource Rate Library'!$I$5:$I$85,MATCH(P114,'Resource Rate Library'!$A$5:$A$85,0)),0)</x:f>
        <x:v>0</x:v>
      </x:c>
      <x:c r="X114" s="52"/>
      <x:c r="Y114" s="83" t="n">
        <x:f t="shared" si="8">IF(X114&gt;0,X114,W114)</x:f>
        <x:v>0</x:v>
      </x:c>
      <x:c r="Z114" s="83" t="str">
        <x:f t="shared" si="9">IF(B114="","",IF(N114="Time x Count",M114*R114*IF(U114="",1,U114)*Y114,IF(N114="QS Qty x Factor",E114*R114*(1+IF(V114="",0,V114))*Y114,IF(N114="Direct Qty",S114*(1+IF(V114="",0,V114))*Y114,IF(N114="Lump Sum / Quote",S114*Y114,0)))))</x:f>
      </x:c>
      <x:c r="AA114" s="81" t="str">
        <x:f>IFERROR(INDEX('Resource Rate Library'!$N$5:$N$85,MATCH(P114,'Resource Rate Library'!$A$5:$A$85,0)),"")</x:f>
      </x:c>
      <x:c r="AB114" s="53"/>
      <x:c r="AC114" s="59"/>
      <x:c r="AD114" s="81" t="str">
        <x:f>IFERROR(INDEX('Resource Rate Library'!$G$5:$G$85,MATCH(P114,'Resource Rate Library'!$A$5:$A$85,0)),"")</x:f>
      </x:c>
      <x:c r="AE114" s="81" t="str">
        <x:f>IFERROR(INDEX('Resource Rate Library'!$H$5:$H$85,MATCH(P114,'Resource Rate Library'!$A$5:$A$85,0)),"")</x:f>
      </x:c>
      <x:c r="AF114" s="53"/>
      <x:c r="AG114" s="53"/>
      <x:c r="AH114" s="53"/>
      <x:c r="AI114" s="81" t="str">
        <x:f t="shared" si="10">IF(B114="","",IF(AND(P114="",N114&lt;&gt;"Lump Sum / Quote"),"RESOURCE CODE",IF(Y114=0,"RATE MISSING",IF(AND(O114="Plant",AD114="Yes",COUNTIFS($B$7:$B$306,B114,$O$7:$O$306,"Labour",$Q$7:$Q$306,"*Operator*")&gt;0),"OPERATOR DOUBLE-COUNT",IF(AND(O114="Plant",AE114="Yes",COUNTIFS($B$7:$B$306,B114,$Q$7:$Q$306,"*Fuel*")&gt;0),"FUEL DOUBLE-COUNT",IF(AH114&lt;&gt;"Yes","VERIFY","OK"))))))</x:f>
      </x:c>
      <x:c r="AJ114" s="54"/>
      <x:c r="AK114" s="473"/>
      <x:c r="AL114" s="473"/>
      <x:c r="AM114" s="473"/>
      <x:c r="AN114" s="500" t="n">
        <x:f>IF(AND(AK114="Yes",OR(O114="Labour",O114="Plant")),Z114,0)</x:f>
        <x:v>0</x:v>
      </x:c>
    </x:row>
    <x:row r="115" ht="22.049999237060547" customHeight="1">
      <x:c r="A115" s="80" t="str">
        <x:f>IF(B115="","",B115&amp;"-"&amp;TEXT(COUNTIF($B$7:B115,B115),"000"))</x:f>
      </x:c>
      <x:c r="B115" s="53"/>
      <x:c r="C115" s="81" t="str">
        <x:f>IFERROR(INDEX('QS Takeoff'!$A$3:$A$194,MATCH(B115,'QS Takeoff'!$B$3:$B$194,0)),"")</x:f>
      </x:c>
      <x:c r="D115" s="81" t="str">
        <x:f>IFERROR(INDEX('QS Takeoff'!$C$3:$C$194,MATCH(B115,'QS Takeoff'!$B$3:$B$194,0)),"")</x:f>
      </x:c>
      <x:c r="E115" s="81" t="str">
        <x:f>IFERROR(INDEX('QS Takeoff'!$E$3:$E$194,MATCH(B115,'QS Takeoff'!$B$3:$B$194,0)),"")</x:f>
      </x:c>
      <x:c r="F115" s="81" t="str">
        <x:f>IFERROR(INDEX('QS Takeoff'!$D$3:$D$194,MATCH(B115,'QS Takeoff'!$B$3:$B$194,0)),"")</x:f>
      </x:c>
      <x:c r="G115" s="81" t="str">
        <x:f>IFERROR(INDEX('QS Takeoff'!$J$3:$J$194,MATCH(B115,'QS Takeoff'!$B$3:$B$194,0)),"")</x:f>
      </x:c>
      <x:c r="H115" s="53"/>
      <x:c r="I115" s="60"/>
      <x:c r="J115" s="60"/>
      <x:c r="K115" s="82" t="str">
        <x:f t="shared" si="6">IF(OR(B115="",I115="",I115=0),"",E115/I115)</x:f>
      </x:c>
      <x:c r="L115" s="60"/>
      <x:c r="M115" s="82" t="str">
        <x:f t="shared" si="7">IF(L115&gt;0,L115,K115)</x:f>
      </x:c>
      <x:c r="N115" s="53"/>
      <x:c r="O115" s="53"/>
      <x:c r="P115" s="53"/>
      <x:c r="Q115" s="81" t="str">
        <x:f>IFERROR(INDEX('Resource Rate Library'!$C$5:$C$85,MATCH(P115,'Resource Rate Library'!$A$5:$A$85,0)),"")</x:f>
      </x:c>
      <x:c r="R115" s="53"/>
      <x:c r="S115" s="53"/>
      <x:c r="T115" s="81" t="str">
        <x:f>IFERROR(INDEX('Resource Rate Library'!$E$5:$E$85,MATCH(P115,'Resource Rate Library'!$A$5:$A$85,0)),"")</x:f>
      </x:c>
      <x:c r="U115" s="62"/>
      <x:c r="V115" s="62"/>
      <x:c r="W115" s="83" t="n">
        <x:f>IFERROR(INDEX('Resource Rate Library'!$I$5:$I$85,MATCH(P115,'Resource Rate Library'!$A$5:$A$85,0)),0)</x:f>
        <x:v>0</x:v>
      </x:c>
      <x:c r="X115" s="52"/>
      <x:c r="Y115" s="83" t="n">
        <x:f t="shared" si="8">IF(X115&gt;0,X115,W115)</x:f>
        <x:v>0</x:v>
      </x:c>
      <x:c r="Z115" s="83" t="str">
        <x:f t="shared" si="9">IF(B115="","",IF(N115="Time x Count",M115*R115*IF(U115="",1,U115)*Y115,IF(N115="QS Qty x Factor",E115*R115*(1+IF(V115="",0,V115))*Y115,IF(N115="Direct Qty",S115*(1+IF(V115="",0,V115))*Y115,IF(N115="Lump Sum / Quote",S115*Y115,0)))))</x:f>
      </x:c>
      <x:c r="AA115" s="81" t="str">
        <x:f>IFERROR(INDEX('Resource Rate Library'!$N$5:$N$85,MATCH(P115,'Resource Rate Library'!$A$5:$A$85,0)),"")</x:f>
      </x:c>
      <x:c r="AB115" s="53"/>
      <x:c r="AC115" s="59"/>
      <x:c r="AD115" s="81" t="str">
        <x:f>IFERROR(INDEX('Resource Rate Library'!$G$5:$G$85,MATCH(P115,'Resource Rate Library'!$A$5:$A$85,0)),"")</x:f>
      </x:c>
      <x:c r="AE115" s="81" t="str">
        <x:f>IFERROR(INDEX('Resource Rate Library'!$H$5:$H$85,MATCH(P115,'Resource Rate Library'!$A$5:$A$85,0)),"")</x:f>
      </x:c>
      <x:c r="AF115" s="53"/>
      <x:c r="AG115" s="53"/>
      <x:c r="AH115" s="53"/>
      <x:c r="AI115" s="81" t="str">
        <x:f t="shared" si="10">IF(B115="","",IF(AND(P115="",N115&lt;&gt;"Lump Sum / Quote"),"RESOURCE CODE",IF(Y115=0,"RATE MISSING",IF(AND(O115="Plant",AD115="Yes",COUNTIFS($B$7:$B$306,B115,$O$7:$O$306,"Labour",$Q$7:$Q$306,"*Operator*")&gt;0),"OPERATOR DOUBLE-COUNT",IF(AND(O115="Plant",AE115="Yes",COUNTIFS($B$7:$B$306,B115,$Q$7:$Q$306,"*Fuel*")&gt;0),"FUEL DOUBLE-COUNT",IF(AH115&lt;&gt;"Yes","VERIFY","OK"))))))</x:f>
      </x:c>
      <x:c r="AJ115" s="54"/>
      <x:c r="AK115" s="473"/>
      <x:c r="AL115" s="473"/>
      <x:c r="AM115" s="473"/>
      <x:c r="AN115" s="500" t="n">
        <x:f>IF(AND(AK115="Yes",OR(O115="Labour",O115="Plant")),Z115,0)</x:f>
        <x:v>0</x:v>
      </x:c>
    </x:row>
    <x:row r="116" ht="22.049999237060547" customHeight="1">
      <x:c r="A116" s="80" t="str">
        <x:f>IF(B116="","",B116&amp;"-"&amp;TEXT(COUNTIF($B$7:B116,B116),"000"))</x:f>
      </x:c>
      <x:c r="B116" s="53"/>
      <x:c r="C116" s="81" t="str">
        <x:f>IFERROR(INDEX('QS Takeoff'!$A$3:$A$194,MATCH(B116,'QS Takeoff'!$B$3:$B$194,0)),"")</x:f>
      </x:c>
      <x:c r="D116" s="81" t="str">
        <x:f>IFERROR(INDEX('QS Takeoff'!$C$3:$C$194,MATCH(B116,'QS Takeoff'!$B$3:$B$194,0)),"")</x:f>
      </x:c>
      <x:c r="E116" s="81" t="str">
        <x:f>IFERROR(INDEX('QS Takeoff'!$E$3:$E$194,MATCH(B116,'QS Takeoff'!$B$3:$B$194,0)),"")</x:f>
      </x:c>
      <x:c r="F116" s="81" t="str">
        <x:f>IFERROR(INDEX('QS Takeoff'!$D$3:$D$194,MATCH(B116,'QS Takeoff'!$B$3:$B$194,0)),"")</x:f>
      </x:c>
      <x:c r="G116" s="81" t="str">
        <x:f>IFERROR(INDEX('QS Takeoff'!$J$3:$J$194,MATCH(B116,'QS Takeoff'!$B$3:$B$194,0)),"")</x:f>
      </x:c>
      <x:c r="H116" s="53"/>
      <x:c r="I116" s="60"/>
      <x:c r="J116" s="60"/>
      <x:c r="K116" s="82" t="str">
        <x:f t="shared" si="6">IF(OR(B116="",I116="",I116=0),"",E116/I116)</x:f>
      </x:c>
      <x:c r="L116" s="60"/>
      <x:c r="M116" s="82" t="str">
        <x:f t="shared" si="7">IF(L116&gt;0,L116,K116)</x:f>
      </x:c>
      <x:c r="N116" s="53"/>
      <x:c r="O116" s="53"/>
      <x:c r="P116" s="53"/>
      <x:c r="Q116" s="81" t="str">
        <x:f>IFERROR(INDEX('Resource Rate Library'!$C$5:$C$85,MATCH(P116,'Resource Rate Library'!$A$5:$A$85,0)),"")</x:f>
      </x:c>
      <x:c r="R116" s="53"/>
      <x:c r="S116" s="53"/>
      <x:c r="T116" s="81" t="str">
        <x:f>IFERROR(INDEX('Resource Rate Library'!$E$5:$E$85,MATCH(P116,'Resource Rate Library'!$A$5:$A$85,0)),"")</x:f>
      </x:c>
      <x:c r="U116" s="62"/>
      <x:c r="V116" s="62"/>
      <x:c r="W116" s="83" t="n">
        <x:f>IFERROR(INDEX('Resource Rate Library'!$I$5:$I$85,MATCH(P116,'Resource Rate Library'!$A$5:$A$85,0)),0)</x:f>
        <x:v>0</x:v>
      </x:c>
      <x:c r="X116" s="52"/>
      <x:c r="Y116" s="83" t="n">
        <x:f t="shared" si="8">IF(X116&gt;0,X116,W116)</x:f>
        <x:v>0</x:v>
      </x:c>
      <x:c r="Z116" s="83" t="str">
        <x:f t="shared" si="9">IF(B116="","",IF(N116="Time x Count",M116*R116*IF(U116="",1,U116)*Y116,IF(N116="QS Qty x Factor",E116*R116*(1+IF(V116="",0,V116))*Y116,IF(N116="Direct Qty",S116*(1+IF(V116="",0,V116))*Y116,IF(N116="Lump Sum / Quote",S116*Y116,0)))))</x:f>
      </x:c>
      <x:c r="AA116" s="81" t="str">
        <x:f>IFERROR(INDEX('Resource Rate Library'!$N$5:$N$85,MATCH(P116,'Resource Rate Library'!$A$5:$A$85,0)),"")</x:f>
      </x:c>
      <x:c r="AB116" s="53"/>
      <x:c r="AC116" s="59"/>
      <x:c r="AD116" s="81" t="str">
        <x:f>IFERROR(INDEX('Resource Rate Library'!$G$5:$G$85,MATCH(P116,'Resource Rate Library'!$A$5:$A$85,0)),"")</x:f>
      </x:c>
      <x:c r="AE116" s="81" t="str">
        <x:f>IFERROR(INDEX('Resource Rate Library'!$H$5:$H$85,MATCH(P116,'Resource Rate Library'!$A$5:$A$85,0)),"")</x:f>
      </x:c>
      <x:c r="AF116" s="53"/>
      <x:c r="AG116" s="53"/>
      <x:c r="AH116" s="53"/>
      <x:c r="AI116" s="81" t="str">
        <x:f t="shared" si="10">IF(B116="","",IF(AND(P116="",N116&lt;&gt;"Lump Sum / Quote"),"RESOURCE CODE",IF(Y116=0,"RATE MISSING",IF(AND(O116="Plant",AD116="Yes",COUNTIFS($B$7:$B$306,B116,$O$7:$O$306,"Labour",$Q$7:$Q$306,"*Operator*")&gt;0),"OPERATOR DOUBLE-COUNT",IF(AND(O116="Plant",AE116="Yes",COUNTIFS($B$7:$B$306,B116,$Q$7:$Q$306,"*Fuel*")&gt;0),"FUEL DOUBLE-COUNT",IF(AH116&lt;&gt;"Yes","VERIFY","OK"))))))</x:f>
      </x:c>
      <x:c r="AJ116" s="54"/>
      <x:c r="AK116" s="473"/>
      <x:c r="AL116" s="473"/>
      <x:c r="AM116" s="473"/>
      <x:c r="AN116" s="500" t="n">
        <x:f>IF(AND(AK116="Yes",OR(O116="Labour",O116="Plant")),Z116,0)</x:f>
        <x:v>0</x:v>
      </x:c>
    </x:row>
    <x:row r="117" ht="22.049999237060547" customHeight="1">
      <x:c r="A117" s="80" t="str">
        <x:f>IF(B117="","",B117&amp;"-"&amp;TEXT(COUNTIF($B$7:B117,B117),"000"))</x:f>
      </x:c>
      <x:c r="B117" s="53"/>
      <x:c r="C117" s="81" t="str">
        <x:f>IFERROR(INDEX('QS Takeoff'!$A$3:$A$194,MATCH(B117,'QS Takeoff'!$B$3:$B$194,0)),"")</x:f>
      </x:c>
      <x:c r="D117" s="81" t="str">
        <x:f>IFERROR(INDEX('QS Takeoff'!$C$3:$C$194,MATCH(B117,'QS Takeoff'!$B$3:$B$194,0)),"")</x:f>
      </x:c>
      <x:c r="E117" s="81" t="str">
        <x:f>IFERROR(INDEX('QS Takeoff'!$E$3:$E$194,MATCH(B117,'QS Takeoff'!$B$3:$B$194,0)),"")</x:f>
      </x:c>
      <x:c r="F117" s="81" t="str">
        <x:f>IFERROR(INDEX('QS Takeoff'!$D$3:$D$194,MATCH(B117,'QS Takeoff'!$B$3:$B$194,0)),"")</x:f>
      </x:c>
      <x:c r="G117" s="81" t="str">
        <x:f>IFERROR(INDEX('QS Takeoff'!$J$3:$J$194,MATCH(B117,'QS Takeoff'!$B$3:$B$194,0)),"")</x:f>
      </x:c>
      <x:c r="H117" s="53"/>
      <x:c r="I117" s="60"/>
      <x:c r="J117" s="60"/>
      <x:c r="K117" s="82" t="str">
        <x:f t="shared" si="6">IF(OR(B117="",I117="",I117=0),"",E117/I117)</x:f>
      </x:c>
      <x:c r="L117" s="60"/>
      <x:c r="M117" s="82" t="str">
        <x:f t="shared" si="7">IF(L117&gt;0,L117,K117)</x:f>
      </x:c>
      <x:c r="N117" s="53"/>
      <x:c r="O117" s="53"/>
      <x:c r="P117" s="53"/>
      <x:c r="Q117" s="81" t="str">
        <x:f>IFERROR(INDEX('Resource Rate Library'!$C$5:$C$85,MATCH(P117,'Resource Rate Library'!$A$5:$A$85,0)),"")</x:f>
      </x:c>
      <x:c r="R117" s="53"/>
      <x:c r="S117" s="53"/>
      <x:c r="T117" s="81" t="str">
        <x:f>IFERROR(INDEX('Resource Rate Library'!$E$5:$E$85,MATCH(P117,'Resource Rate Library'!$A$5:$A$85,0)),"")</x:f>
      </x:c>
      <x:c r="U117" s="62"/>
      <x:c r="V117" s="62"/>
      <x:c r="W117" s="83" t="n">
        <x:f>IFERROR(INDEX('Resource Rate Library'!$I$5:$I$85,MATCH(P117,'Resource Rate Library'!$A$5:$A$85,0)),0)</x:f>
        <x:v>0</x:v>
      </x:c>
      <x:c r="X117" s="52"/>
      <x:c r="Y117" s="83" t="n">
        <x:f t="shared" si="8">IF(X117&gt;0,X117,W117)</x:f>
        <x:v>0</x:v>
      </x:c>
      <x:c r="Z117" s="83" t="str">
        <x:f t="shared" si="9">IF(B117="","",IF(N117="Time x Count",M117*R117*IF(U117="",1,U117)*Y117,IF(N117="QS Qty x Factor",E117*R117*(1+IF(V117="",0,V117))*Y117,IF(N117="Direct Qty",S117*(1+IF(V117="",0,V117))*Y117,IF(N117="Lump Sum / Quote",S117*Y117,0)))))</x:f>
      </x:c>
      <x:c r="AA117" s="81" t="str">
        <x:f>IFERROR(INDEX('Resource Rate Library'!$N$5:$N$85,MATCH(P117,'Resource Rate Library'!$A$5:$A$85,0)),"")</x:f>
      </x:c>
      <x:c r="AB117" s="53"/>
      <x:c r="AC117" s="59"/>
      <x:c r="AD117" s="81" t="str">
        <x:f>IFERROR(INDEX('Resource Rate Library'!$G$5:$G$85,MATCH(P117,'Resource Rate Library'!$A$5:$A$85,0)),"")</x:f>
      </x:c>
      <x:c r="AE117" s="81" t="str">
        <x:f>IFERROR(INDEX('Resource Rate Library'!$H$5:$H$85,MATCH(P117,'Resource Rate Library'!$A$5:$A$85,0)),"")</x:f>
      </x:c>
      <x:c r="AF117" s="53"/>
      <x:c r="AG117" s="53"/>
      <x:c r="AH117" s="53"/>
      <x:c r="AI117" s="81" t="str">
        <x:f t="shared" si="10">IF(B117="","",IF(AND(P117="",N117&lt;&gt;"Lump Sum / Quote"),"RESOURCE CODE",IF(Y117=0,"RATE MISSING",IF(AND(O117="Plant",AD117="Yes",COUNTIFS($B$7:$B$306,B117,$O$7:$O$306,"Labour",$Q$7:$Q$306,"*Operator*")&gt;0),"OPERATOR DOUBLE-COUNT",IF(AND(O117="Plant",AE117="Yes",COUNTIFS($B$7:$B$306,B117,$Q$7:$Q$306,"*Fuel*")&gt;0),"FUEL DOUBLE-COUNT",IF(AH117&lt;&gt;"Yes","VERIFY","OK"))))))</x:f>
      </x:c>
      <x:c r="AJ117" s="54"/>
      <x:c r="AK117" s="473"/>
      <x:c r="AL117" s="473"/>
      <x:c r="AM117" s="473"/>
      <x:c r="AN117" s="500" t="n">
        <x:f>IF(AND(AK117="Yes",OR(O117="Labour",O117="Plant")),Z117,0)</x:f>
        <x:v>0</x:v>
      </x:c>
    </x:row>
    <x:row r="118" ht="22.049999237060547" customHeight="1">
      <x:c r="A118" s="80" t="str">
        <x:f>IF(B118="","",B118&amp;"-"&amp;TEXT(COUNTIF($B$7:B118,B118),"000"))</x:f>
      </x:c>
      <x:c r="B118" s="53"/>
      <x:c r="C118" s="81" t="str">
        <x:f>IFERROR(INDEX('QS Takeoff'!$A$3:$A$194,MATCH(B118,'QS Takeoff'!$B$3:$B$194,0)),"")</x:f>
      </x:c>
      <x:c r="D118" s="81" t="str">
        <x:f>IFERROR(INDEX('QS Takeoff'!$C$3:$C$194,MATCH(B118,'QS Takeoff'!$B$3:$B$194,0)),"")</x:f>
      </x:c>
      <x:c r="E118" s="81" t="str">
        <x:f>IFERROR(INDEX('QS Takeoff'!$E$3:$E$194,MATCH(B118,'QS Takeoff'!$B$3:$B$194,0)),"")</x:f>
      </x:c>
      <x:c r="F118" s="81" t="str">
        <x:f>IFERROR(INDEX('QS Takeoff'!$D$3:$D$194,MATCH(B118,'QS Takeoff'!$B$3:$B$194,0)),"")</x:f>
      </x:c>
      <x:c r="G118" s="81" t="str">
        <x:f>IFERROR(INDEX('QS Takeoff'!$J$3:$J$194,MATCH(B118,'QS Takeoff'!$B$3:$B$194,0)),"")</x:f>
      </x:c>
      <x:c r="H118" s="53"/>
      <x:c r="I118" s="60"/>
      <x:c r="J118" s="60"/>
      <x:c r="K118" s="82" t="str">
        <x:f t="shared" si="6">IF(OR(B118="",I118="",I118=0),"",E118/I118)</x:f>
      </x:c>
      <x:c r="L118" s="60"/>
      <x:c r="M118" s="82" t="str">
        <x:f t="shared" si="7">IF(L118&gt;0,L118,K118)</x:f>
      </x:c>
      <x:c r="N118" s="53"/>
      <x:c r="O118" s="53"/>
      <x:c r="P118" s="53"/>
      <x:c r="Q118" s="81" t="str">
        <x:f>IFERROR(INDEX('Resource Rate Library'!$C$5:$C$85,MATCH(P118,'Resource Rate Library'!$A$5:$A$85,0)),"")</x:f>
      </x:c>
      <x:c r="R118" s="53"/>
      <x:c r="S118" s="53"/>
      <x:c r="T118" s="81" t="str">
        <x:f>IFERROR(INDEX('Resource Rate Library'!$E$5:$E$85,MATCH(P118,'Resource Rate Library'!$A$5:$A$85,0)),"")</x:f>
      </x:c>
      <x:c r="U118" s="62"/>
      <x:c r="V118" s="62"/>
      <x:c r="W118" s="83" t="n">
        <x:f>IFERROR(INDEX('Resource Rate Library'!$I$5:$I$85,MATCH(P118,'Resource Rate Library'!$A$5:$A$85,0)),0)</x:f>
        <x:v>0</x:v>
      </x:c>
      <x:c r="X118" s="52"/>
      <x:c r="Y118" s="83" t="n">
        <x:f t="shared" si="8">IF(X118&gt;0,X118,W118)</x:f>
        <x:v>0</x:v>
      </x:c>
      <x:c r="Z118" s="83" t="str">
        <x:f t="shared" si="9">IF(B118="","",IF(N118="Time x Count",M118*R118*IF(U118="",1,U118)*Y118,IF(N118="QS Qty x Factor",E118*R118*(1+IF(V118="",0,V118))*Y118,IF(N118="Direct Qty",S118*(1+IF(V118="",0,V118))*Y118,IF(N118="Lump Sum / Quote",S118*Y118,0)))))</x:f>
      </x:c>
      <x:c r="AA118" s="81" t="str">
        <x:f>IFERROR(INDEX('Resource Rate Library'!$N$5:$N$85,MATCH(P118,'Resource Rate Library'!$A$5:$A$85,0)),"")</x:f>
      </x:c>
      <x:c r="AB118" s="53"/>
      <x:c r="AC118" s="59"/>
      <x:c r="AD118" s="81" t="str">
        <x:f>IFERROR(INDEX('Resource Rate Library'!$G$5:$G$85,MATCH(P118,'Resource Rate Library'!$A$5:$A$85,0)),"")</x:f>
      </x:c>
      <x:c r="AE118" s="81" t="str">
        <x:f>IFERROR(INDEX('Resource Rate Library'!$H$5:$H$85,MATCH(P118,'Resource Rate Library'!$A$5:$A$85,0)),"")</x:f>
      </x:c>
      <x:c r="AF118" s="53"/>
      <x:c r="AG118" s="53"/>
      <x:c r="AH118" s="53"/>
      <x:c r="AI118" s="81" t="str">
        <x:f t="shared" si="10">IF(B118="","",IF(AND(P118="",N118&lt;&gt;"Lump Sum / Quote"),"RESOURCE CODE",IF(Y118=0,"RATE MISSING",IF(AND(O118="Plant",AD118="Yes",COUNTIFS($B$7:$B$306,B118,$O$7:$O$306,"Labour",$Q$7:$Q$306,"*Operator*")&gt;0),"OPERATOR DOUBLE-COUNT",IF(AND(O118="Plant",AE118="Yes",COUNTIFS($B$7:$B$306,B118,$Q$7:$Q$306,"*Fuel*")&gt;0),"FUEL DOUBLE-COUNT",IF(AH118&lt;&gt;"Yes","VERIFY","OK"))))))</x:f>
      </x:c>
      <x:c r="AJ118" s="54"/>
      <x:c r="AK118" s="473"/>
      <x:c r="AL118" s="473"/>
      <x:c r="AM118" s="473"/>
      <x:c r="AN118" s="500" t="n">
        <x:f>IF(AND(AK118="Yes",OR(O118="Labour",O118="Plant")),Z118,0)</x:f>
        <x:v>0</x:v>
      </x:c>
    </x:row>
    <x:row r="119" ht="22.049999237060547" customHeight="1">
      <x:c r="A119" s="80" t="str">
        <x:f>IF(B119="","",B119&amp;"-"&amp;TEXT(COUNTIF($B$7:B119,B119),"000"))</x:f>
      </x:c>
      <x:c r="B119" s="53"/>
      <x:c r="C119" s="81" t="str">
        <x:f>IFERROR(INDEX('QS Takeoff'!$A$3:$A$194,MATCH(B119,'QS Takeoff'!$B$3:$B$194,0)),"")</x:f>
      </x:c>
      <x:c r="D119" s="81" t="str">
        <x:f>IFERROR(INDEX('QS Takeoff'!$C$3:$C$194,MATCH(B119,'QS Takeoff'!$B$3:$B$194,0)),"")</x:f>
      </x:c>
      <x:c r="E119" s="81" t="str">
        <x:f>IFERROR(INDEX('QS Takeoff'!$E$3:$E$194,MATCH(B119,'QS Takeoff'!$B$3:$B$194,0)),"")</x:f>
      </x:c>
      <x:c r="F119" s="81" t="str">
        <x:f>IFERROR(INDEX('QS Takeoff'!$D$3:$D$194,MATCH(B119,'QS Takeoff'!$B$3:$B$194,0)),"")</x:f>
      </x:c>
      <x:c r="G119" s="81" t="str">
        <x:f>IFERROR(INDEX('QS Takeoff'!$J$3:$J$194,MATCH(B119,'QS Takeoff'!$B$3:$B$194,0)),"")</x:f>
      </x:c>
      <x:c r="H119" s="53"/>
      <x:c r="I119" s="60"/>
      <x:c r="J119" s="60"/>
      <x:c r="K119" s="82" t="str">
        <x:f t="shared" si="6">IF(OR(B119="",I119="",I119=0),"",E119/I119)</x:f>
      </x:c>
      <x:c r="L119" s="60"/>
      <x:c r="M119" s="82" t="str">
        <x:f t="shared" si="7">IF(L119&gt;0,L119,K119)</x:f>
      </x:c>
      <x:c r="N119" s="53"/>
      <x:c r="O119" s="53"/>
      <x:c r="P119" s="53"/>
      <x:c r="Q119" s="81" t="str">
        <x:f>IFERROR(INDEX('Resource Rate Library'!$C$5:$C$85,MATCH(P119,'Resource Rate Library'!$A$5:$A$85,0)),"")</x:f>
      </x:c>
      <x:c r="R119" s="53"/>
      <x:c r="S119" s="53"/>
      <x:c r="T119" s="81" t="str">
        <x:f>IFERROR(INDEX('Resource Rate Library'!$E$5:$E$85,MATCH(P119,'Resource Rate Library'!$A$5:$A$85,0)),"")</x:f>
      </x:c>
      <x:c r="U119" s="62"/>
      <x:c r="V119" s="62"/>
      <x:c r="W119" s="83" t="n">
        <x:f>IFERROR(INDEX('Resource Rate Library'!$I$5:$I$85,MATCH(P119,'Resource Rate Library'!$A$5:$A$85,0)),0)</x:f>
        <x:v>0</x:v>
      </x:c>
      <x:c r="X119" s="52"/>
      <x:c r="Y119" s="83" t="n">
        <x:f t="shared" si="8">IF(X119&gt;0,X119,W119)</x:f>
        <x:v>0</x:v>
      </x:c>
      <x:c r="Z119" s="83" t="str">
        <x:f t="shared" si="9">IF(B119="","",IF(N119="Time x Count",M119*R119*IF(U119="",1,U119)*Y119,IF(N119="QS Qty x Factor",E119*R119*(1+IF(V119="",0,V119))*Y119,IF(N119="Direct Qty",S119*(1+IF(V119="",0,V119))*Y119,IF(N119="Lump Sum / Quote",S119*Y119,0)))))</x:f>
      </x:c>
      <x:c r="AA119" s="81" t="str">
        <x:f>IFERROR(INDEX('Resource Rate Library'!$N$5:$N$85,MATCH(P119,'Resource Rate Library'!$A$5:$A$85,0)),"")</x:f>
      </x:c>
      <x:c r="AB119" s="53"/>
      <x:c r="AC119" s="59"/>
      <x:c r="AD119" s="81" t="str">
        <x:f>IFERROR(INDEX('Resource Rate Library'!$G$5:$G$85,MATCH(P119,'Resource Rate Library'!$A$5:$A$85,0)),"")</x:f>
      </x:c>
      <x:c r="AE119" s="81" t="str">
        <x:f>IFERROR(INDEX('Resource Rate Library'!$H$5:$H$85,MATCH(P119,'Resource Rate Library'!$A$5:$A$85,0)),"")</x:f>
      </x:c>
      <x:c r="AF119" s="53"/>
      <x:c r="AG119" s="53"/>
      <x:c r="AH119" s="53"/>
      <x:c r="AI119" s="81" t="str">
        <x:f t="shared" si="10">IF(B119="","",IF(AND(P119="",N119&lt;&gt;"Lump Sum / Quote"),"RESOURCE CODE",IF(Y119=0,"RATE MISSING",IF(AND(O119="Plant",AD119="Yes",COUNTIFS($B$7:$B$306,B119,$O$7:$O$306,"Labour",$Q$7:$Q$306,"*Operator*")&gt;0),"OPERATOR DOUBLE-COUNT",IF(AND(O119="Plant",AE119="Yes",COUNTIFS($B$7:$B$306,B119,$Q$7:$Q$306,"*Fuel*")&gt;0),"FUEL DOUBLE-COUNT",IF(AH119&lt;&gt;"Yes","VERIFY","OK"))))))</x:f>
      </x:c>
      <x:c r="AJ119" s="54"/>
      <x:c r="AK119" s="473"/>
      <x:c r="AL119" s="473"/>
      <x:c r="AM119" s="473"/>
      <x:c r="AN119" s="500" t="n">
        <x:f>IF(AND(AK119="Yes",OR(O119="Labour",O119="Plant")),Z119,0)</x:f>
        <x:v>0</x:v>
      </x:c>
    </x:row>
    <x:row r="120" ht="22.049999237060547" customHeight="1">
      <x:c r="A120" s="80" t="str">
        <x:f>IF(B120="","",B120&amp;"-"&amp;TEXT(COUNTIF($B$7:B120,B120),"000"))</x:f>
      </x:c>
      <x:c r="B120" s="53"/>
      <x:c r="C120" s="81" t="str">
        <x:f>IFERROR(INDEX('QS Takeoff'!$A$3:$A$194,MATCH(B120,'QS Takeoff'!$B$3:$B$194,0)),"")</x:f>
      </x:c>
      <x:c r="D120" s="81" t="str">
        <x:f>IFERROR(INDEX('QS Takeoff'!$C$3:$C$194,MATCH(B120,'QS Takeoff'!$B$3:$B$194,0)),"")</x:f>
      </x:c>
      <x:c r="E120" s="81" t="str">
        <x:f>IFERROR(INDEX('QS Takeoff'!$E$3:$E$194,MATCH(B120,'QS Takeoff'!$B$3:$B$194,0)),"")</x:f>
      </x:c>
      <x:c r="F120" s="81" t="str">
        <x:f>IFERROR(INDEX('QS Takeoff'!$D$3:$D$194,MATCH(B120,'QS Takeoff'!$B$3:$B$194,0)),"")</x:f>
      </x:c>
      <x:c r="G120" s="81" t="str">
        <x:f>IFERROR(INDEX('QS Takeoff'!$J$3:$J$194,MATCH(B120,'QS Takeoff'!$B$3:$B$194,0)),"")</x:f>
      </x:c>
      <x:c r="H120" s="53"/>
      <x:c r="I120" s="60"/>
      <x:c r="J120" s="60"/>
      <x:c r="K120" s="82" t="str">
        <x:f t="shared" si="6">IF(OR(B120="",I120="",I120=0),"",E120/I120)</x:f>
      </x:c>
      <x:c r="L120" s="60"/>
      <x:c r="M120" s="82" t="str">
        <x:f t="shared" si="7">IF(L120&gt;0,L120,K120)</x:f>
      </x:c>
      <x:c r="N120" s="53"/>
      <x:c r="O120" s="53"/>
      <x:c r="P120" s="53"/>
      <x:c r="Q120" s="81" t="str">
        <x:f>IFERROR(INDEX('Resource Rate Library'!$C$5:$C$85,MATCH(P120,'Resource Rate Library'!$A$5:$A$85,0)),"")</x:f>
      </x:c>
      <x:c r="R120" s="53"/>
      <x:c r="S120" s="53"/>
      <x:c r="T120" s="81" t="str">
        <x:f>IFERROR(INDEX('Resource Rate Library'!$E$5:$E$85,MATCH(P120,'Resource Rate Library'!$A$5:$A$85,0)),"")</x:f>
      </x:c>
      <x:c r="U120" s="62"/>
      <x:c r="V120" s="62"/>
      <x:c r="W120" s="83" t="n">
        <x:f>IFERROR(INDEX('Resource Rate Library'!$I$5:$I$85,MATCH(P120,'Resource Rate Library'!$A$5:$A$85,0)),0)</x:f>
        <x:v>0</x:v>
      </x:c>
      <x:c r="X120" s="52"/>
      <x:c r="Y120" s="83" t="n">
        <x:f t="shared" si="8">IF(X120&gt;0,X120,W120)</x:f>
        <x:v>0</x:v>
      </x:c>
      <x:c r="Z120" s="83" t="str">
        <x:f t="shared" si="9">IF(B120="","",IF(N120="Time x Count",M120*R120*IF(U120="",1,U120)*Y120,IF(N120="QS Qty x Factor",E120*R120*(1+IF(V120="",0,V120))*Y120,IF(N120="Direct Qty",S120*(1+IF(V120="",0,V120))*Y120,IF(N120="Lump Sum / Quote",S120*Y120,0)))))</x:f>
      </x:c>
      <x:c r="AA120" s="81" t="str">
        <x:f>IFERROR(INDEX('Resource Rate Library'!$N$5:$N$85,MATCH(P120,'Resource Rate Library'!$A$5:$A$85,0)),"")</x:f>
      </x:c>
      <x:c r="AB120" s="53"/>
      <x:c r="AC120" s="59"/>
      <x:c r="AD120" s="81" t="str">
        <x:f>IFERROR(INDEX('Resource Rate Library'!$G$5:$G$85,MATCH(P120,'Resource Rate Library'!$A$5:$A$85,0)),"")</x:f>
      </x:c>
      <x:c r="AE120" s="81" t="str">
        <x:f>IFERROR(INDEX('Resource Rate Library'!$H$5:$H$85,MATCH(P120,'Resource Rate Library'!$A$5:$A$85,0)),"")</x:f>
      </x:c>
      <x:c r="AF120" s="53"/>
      <x:c r="AG120" s="53"/>
      <x:c r="AH120" s="53"/>
      <x:c r="AI120" s="81" t="str">
        <x:f>IF(B120="","",IF(AND(P120="",N120&lt;&gt;"Lump Sum / Quote"),"RESOURCE CODE",IF(Y120=0,"RATE MISSING",IF(AND(O120="Plant",AD120="Yes",COUNTIFS($B$7:$B$306,B120,$O$7:$O$306,"Labour",$Q$7:$Q$306,"*Operator*")&gt;0),"OPERATOR DOUBLE-COUNT",IF(AND(O120="Plant",AE120="Yes",COUNTIFS($B$7:$B$306,B120,$Q$7:$Q$306,"*Fuel*")&gt;0),"FUEL DOUBLE-COUNT",IF(AH120&lt;&gt;"Yes","VERIFY","OK"))))))</x:f>
      </x:c>
      <x:c r="AJ120" s="54"/>
      <x:c r="AK120" s="473"/>
      <x:c r="AL120" s="473"/>
      <x:c r="AM120" s="473"/>
      <x:c r="AN120" s="500" t="n">
        <x:f>IF(AND(AK120="Yes",OR(O120="Labour",O120="Plant")),Z120,0)</x:f>
        <x:v>0</x:v>
      </x:c>
    </x:row>
    <x:row r="121" ht="22.049999237060547" customHeight="1">
      <x:c r="A121" s="80" t="str">
        <x:f>IF(B121="","",B121&amp;"-"&amp;TEXT(COUNTIF($B$7:B121,B121),"000"))</x:f>
      </x:c>
      <x:c r="B121" s="53"/>
      <x:c r="C121" s="81" t="str">
        <x:f>IFERROR(INDEX('QS Takeoff'!$A$3:$A$194,MATCH(B121,'QS Takeoff'!$B$3:$B$194,0)),"")</x:f>
      </x:c>
      <x:c r="D121" s="81" t="str">
        <x:f>IFERROR(INDEX('QS Takeoff'!$C$3:$C$194,MATCH(B121,'QS Takeoff'!$B$3:$B$194,0)),"")</x:f>
      </x:c>
      <x:c r="E121" s="81" t="str">
        <x:f>IFERROR(INDEX('QS Takeoff'!$E$3:$E$194,MATCH(B121,'QS Takeoff'!$B$3:$B$194,0)),"")</x:f>
      </x:c>
      <x:c r="F121" s="81" t="str">
        <x:f>IFERROR(INDEX('QS Takeoff'!$D$3:$D$194,MATCH(B121,'QS Takeoff'!$B$3:$B$194,0)),"")</x:f>
      </x:c>
      <x:c r="G121" s="81" t="str">
        <x:f>IFERROR(INDEX('QS Takeoff'!$J$3:$J$194,MATCH(B121,'QS Takeoff'!$B$3:$B$194,0)),"")</x:f>
      </x:c>
      <x:c r="H121" s="53"/>
      <x:c r="I121" s="60"/>
      <x:c r="J121" s="60"/>
      <x:c r="K121" s="82" t="str">
        <x:f t="shared" si="6">IF(OR(B121="",I121="",I121=0),"",E121/I121)</x:f>
      </x:c>
      <x:c r="L121" s="60"/>
      <x:c r="M121" s="82" t="str">
        <x:f t="shared" si="7">IF(L121&gt;0,L121,K121)</x:f>
      </x:c>
      <x:c r="N121" s="53"/>
      <x:c r="O121" s="53"/>
      <x:c r="P121" s="53"/>
      <x:c r="Q121" s="81" t="str">
        <x:f>IFERROR(INDEX('Resource Rate Library'!$C$5:$C$85,MATCH(P121,'Resource Rate Library'!$A$5:$A$85,0)),"")</x:f>
      </x:c>
      <x:c r="R121" s="53"/>
      <x:c r="S121" s="53"/>
      <x:c r="T121" s="81" t="str">
        <x:f>IFERROR(INDEX('Resource Rate Library'!$E$5:$E$85,MATCH(P121,'Resource Rate Library'!$A$5:$A$85,0)),"")</x:f>
      </x:c>
      <x:c r="U121" s="62"/>
      <x:c r="V121" s="62"/>
      <x:c r="W121" s="83" t="n">
        <x:f>IFERROR(INDEX('Resource Rate Library'!$I$5:$I$85,MATCH(P121,'Resource Rate Library'!$A$5:$A$85,0)),0)</x:f>
        <x:v>0</x:v>
      </x:c>
      <x:c r="X121" s="52"/>
      <x:c r="Y121" s="83" t="n">
        <x:f t="shared" si="8">IF(X121&gt;0,X121,W121)</x:f>
        <x:v>0</x:v>
      </x:c>
      <x:c r="Z121" s="83" t="str">
        <x:f t="shared" si="9">IF(B121="","",IF(N121="Time x Count",M121*R121*IF(U121="",1,U121)*Y121,IF(N121="QS Qty x Factor",E121*R121*(1+IF(V121="",0,V121))*Y121,IF(N121="Direct Qty",S121*(1+IF(V121="",0,V121))*Y121,IF(N121="Lump Sum / Quote",S121*Y121,0)))))</x:f>
      </x:c>
      <x:c r="AA121" s="81" t="str">
        <x:f>IFERROR(INDEX('Resource Rate Library'!$N$5:$N$85,MATCH(P121,'Resource Rate Library'!$A$5:$A$85,0)),"")</x:f>
      </x:c>
      <x:c r="AB121" s="53"/>
      <x:c r="AC121" s="59"/>
      <x:c r="AD121" s="81" t="str">
        <x:f>IFERROR(INDEX('Resource Rate Library'!$G$5:$G$85,MATCH(P121,'Resource Rate Library'!$A$5:$A$85,0)),"")</x:f>
      </x:c>
      <x:c r="AE121" s="81" t="str">
        <x:f>IFERROR(INDEX('Resource Rate Library'!$H$5:$H$85,MATCH(P121,'Resource Rate Library'!$A$5:$A$85,0)),"")</x:f>
      </x:c>
      <x:c r="AF121" s="53"/>
      <x:c r="AG121" s="53"/>
      <x:c r="AH121" s="53"/>
      <x:c r="AI121" s="81" t="str">
        <x:f t="shared" ref="AI121:AI152" si="11">IF(B121="","",IF(AND(P121="",N121&lt;&gt;"Lump Sum / Quote"),"RESOURCE CODE",IF(Y121=0,"RATE MISSING",IF(AND(O121="Plant",AD121="Yes",COUNTIFS($B$7:$B$306,B121,$O$7:$O$306,"Labour",$Q$7:$Q$306,"*Operator*")&gt;0),"OPERATOR DOUBLE-COUNT",IF(AND(O121="Plant",AE121="Yes",COUNTIFS($B$7:$B$306,B121,$Q$7:$Q$306,"*Fuel*")&gt;0),"FUEL DOUBLE-COUNT",IF(AH121&lt;&gt;"Yes","VERIFY","OK"))))))</x:f>
      </x:c>
      <x:c r="AJ121" s="54"/>
      <x:c r="AK121" s="473"/>
      <x:c r="AL121" s="473"/>
      <x:c r="AM121" s="473"/>
      <x:c r="AN121" s="500" t="n">
        <x:f>IF(AND(AK121="Yes",OR(O121="Labour",O121="Plant")),Z121,0)</x:f>
        <x:v>0</x:v>
      </x:c>
    </x:row>
    <x:row r="122" ht="22.049999237060547" customHeight="1">
      <x:c r="A122" s="80" t="str">
        <x:f>IF(B122="","",B122&amp;"-"&amp;TEXT(COUNTIF($B$7:B122,B122),"000"))</x:f>
      </x:c>
      <x:c r="B122" s="53"/>
      <x:c r="C122" s="81" t="str">
        <x:f>IFERROR(INDEX('QS Takeoff'!$A$3:$A$194,MATCH(B122,'QS Takeoff'!$B$3:$B$194,0)),"")</x:f>
      </x:c>
      <x:c r="D122" s="81" t="str">
        <x:f>IFERROR(INDEX('QS Takeoff'!$C$3:$C$194,MATCH(B122,'QS Takeoff'!$B$3:$B$194,0)),"")</x:f>
      </x:c>
      <x:c r="E122" s="81" t="str">
        <x:f>IFERROR(INDEX('QS Takeoff'!$E$3:$E$194,MATCH(B122,'QS Takeoff'!$B$3:$B$194,0)),"")</x:f>
      </x:c>
      <x:c r="F122" s="81" t="str">
        <x:f>IFERROR(INDEX('QS Takeoff'!$D$3:$D$194,MATCH(B122,'QS Takeoff'!$B$3:$B$194,0)),"")</x:f>
      </x:c>
      <x:c r="G122" s="81" t="str">
        <x:f>IFERROR(INDEX('QS Takeoff'!$J$3:$J$194,MATCH(B122,'QS Takeoff'!$B$3:$B$194,0)),"")</x:f>
      </x:c>
      <x:c r="H122" s="53"/>
      <x:c r="I122" s="60"/>
      <x:c r="J122" s="60"/>
      <x:c r="K122" s="82" t="str">
        <x:f t="shared" si="6">IF(OR(B122="",I122="",I122=0),"",E122/I122)</x:f>
      </x:c>
      <x:c r="L122" s="60"/>
      <x:c r="M122" s="82" t="str">
        <x:f t="shared" si="7">IF(L122&gt;0,L122,K122)</x:f>
      </x:c>
      <x:c r="N122" s="53"/>
      <x:c r="O122" s="53"/>
      <x:c r="P122" s="53"/>
      <x:c r="Q122" s="81" t="str">
        <x:f>IFERROR(INDEX('Resource Rate Library'!$C$5:$C$85,MATCH(P122,'Resource Rate Library'!$A$5:$A$85,0)),"")</x:f>
      </x:c>
      <x:c r="R122" s="53"/>
      <x:c r="S122" s="53"/>
      <x:c r="T122" s="81" t="str">
        <x:f>IFERROR(INDEX('Resource Rate Library'!$E$5:$E$85,MATCH(P122,'Resource Rate Library'!$A$5:$A$85,0)),"")</x:f>
      </x:c>
      <x:c r="U122" s="62"/>
      <x:c r="V122" s="62"/>
      <x:c r="W122" s="83" t="n">
        <x:f>IFERROR(INDEX('Resource Rate Library'!$I$5:$I$85,MATCH(P122,'Resource Rate Library'!$A$5:$A$85,0)),0)</x:f>
        <x:v>0</x:v>
      </x:c>
      <x:c r="X122" s="52"/>
      <x:c r="Y122" s="83" t="n">
        <x:f t="shared" si="8">IF(X122&gt;0,X122,W122)</x:f>
        <x:v>0</x:v>
      </x:c>
      <x:c r="Z122" s="83" t="str">
        <x:f t="shared" si="9">IF(B122="","",IF(N122="Time x Count",M122*R122*IF(U122="",1,U122)*Y122,IF(N122="QS Qty x Factor",E122*R122*(1+IF(V122="",0,V122))*Y122,IF(N122="Direct Qty",S122*(1+IF(V122="",0,V122))*Y122,IF(N122="Lump Sum / Quote",S122*Y122,0)))))</x:f>
      </x:c>
      <x:c r="AA122" s="81" t="str">
        <x:f>IFERROR(INDEX('Resource Rate Library'!$N$5:$N$85,MATCH(P122,'Resource Rate Library'!$A$5:$A$85,0)),"")</x:f>
      </x:c>
      <x:c r="AB122" s="53"/>
      <x:c r="AC122" s="59"/>
      <x:c r="AD122" s="81" t="str">
        <x:f>IFERROR(INDEX('Resource Rate Library'!$G$5:$G$85,MATCH(P122,'Resource Rate Library'!$A$5:$A$85,0)),"")</x:f>
      </x:c>
      <x:c r="AE122" s="81" t="str">
        <x:f>IFERROR(INDEX('Resource Rate Library'!$H$5:$H$85,MATCH(P122,'Resource Rate Library'!$A$5:$A$85,0)),"")</x:f>
      </x:c>
      <x:c r="AF122" s="53"/>
      <x:c r="AG122" s="53"/>
      <x:c r="AH122" s="53"/>
      <x:c r="AI122" s="81" t="str">
        <x:f t="shared" si="11">IF(B122="","",IF(AND(P122="",N122&lt;&gt;"Lump Sum / Quote"),"RESOURCE CODE",IF(Y122=0,"RATE MISSING",IF(AND(O122="Plant",AD122="Yes",COUNTIFS($B$7:$B$306,B122,$O$7:$O$306,"Labour",$Q$7:$Q$306,"*Operator*")&gt;0),"OPERATOR DOUBLE-COUNT",IF(AND(O122="Plant",AE122="Yes",COUNTIFS($B$7:$B$306,B122,$Q$7:$Q$306,"*Fuel*")&gt;0),"FUEL DOUBLE-COUNT",IF(AH122&lt;&gt;"Yes","VERIFY","OK"))))))</x:f>
      </x:c>
      <x:c r="AJ122" s="54"/>
      <x:c r="AK122" s="473"/>
      <x:c r="AL122" s="473"/>
      <x:c r="AM122" s="473"/>
      <x:c r="AN122" s="500" t="n">
        <x:f>IF(AND(AK122="Yes",OR(O122="Labour",O122="Plant")),Z122,0)</x:f>
        <x:v>0</x:v>
      </x:c>
    </x:row>
    <x:row r="123" ht="22.049999237060547" customHeight="1">
      <x:c r="A123" s="80" t="str">
        <x:f>IF(B123="","",B123&amp;"-"&amp;TEXT(COUNTIF($B$7:B123,B123),"000"))</x:f>
      </x:c>
      <x:c r="B123" s="53"/>
      <x:c r="C123" s="81" t="str">
        <x:f>IFERROR(INDEX('QS Takeoff'!$A$3:$A$194,MATCH(B123,'QS Takeoff'!$B$3:$B$194,0)),"")</x:f>
      </x:c>
      <x:c r="D123" s="81" t="str">
        <x:f>IFERROR(INDEX('QS Takeoff'!$C$3:$C$194,MATCH(B123,'QS Takeoff'!$B$3:$B$194,0)),"")</x:f>
      </x:c>
      <x:c r="E123" s="81" t="str">
        <x:f>IFERROR(INDEX('QS Takeoff'!$E$3:$E$194,MATCH(B123,'QS Takeoff'!$B$3:$B$194,0)),"")</x:f>
      </x:c>
      <x:c r="F123" s="81" t="str">
        <x:f>IFERROR(INDEX('QS Takeoff'!$D$3:$D$194,MATCH(B123,'QS Takeoff'!$B$3:$B$194,0)),"")</x:f>
      </x:c>
      <x:c r="G123" s="81" t="str">
        <x:f>IFERROR(INDEX('QS Takeoff'!$J$3:$J$194,MATCH(B123,'QS Takeoff'!$B$3:$B$194,0)),"")</x:f>
      </x:c>
      <x:c r="H123" s="53"/>
      <x:c r="I123" s="60"/>
      <x:c r="J123" s="60"/>
      <x:c r="K123" s="82" t="str">
        <x:f t="shared" si="6">IF(OR(B123="",I123="",I123=0),"",E123/I123)</x:f>
      </x:c>
      <x:c r="L123" s="60"/>
      <x:c r="M123" s="82" t="str">
        <x:f t="shared" si="7">IF(L123&gt;0,L123,K123)</x:f>
      </x:c>
      <x:c r="N123" s="53"/>
      <x:c r="O123" s="53"/>
      <x:c r="P123" s="53"/>
      <x:c r="Q123" s="81" t="str">
        <x:f>IFERROR(INDEX('Resource Rate Library'!$C$5:$C$85,MATCH(P123,'Resource Rate Library'!$A$5:$A$85,0)),"")</x:f>
      </x:c>
      <x:c r="R123" s="53"/>
      <x:c r="S123" s="53"/>
      <x:c r="T123" s="81" t="str">
        <x:f>IFERROR(INDEX('Resource Rate Library'!$E$5:$E$85,MATCH(P123,'Resource Rate Library'!$A$5:$A$85,0)),"")</x:f>
      </x:c>
      <x:c r="U123" s="62"/>
      <x:c r="V123" s="62"/>
      <x:c r="W123" s="83" t="n">
        <x:f>IFERROR(INDEX('Resource Rate Library'!$I$5:$I$85,MATCH(P123,'Resource Rate Library'!$A$5:$A$85,0)),0)</x:f>
        <x:v>0</x:v>
      </x:c>
      <x:c r="X123" s="52"/>
      <x:c r="Y123" s="83" t="n">
        <x:f t="shared" si="8">IF(X123&gt;0,X123,W123)</x:f>
        <x:v>0</x:v>
      </x:c>
      <x:c r="Z123" s="83" t="str">
        <x:f t="shared" si="9">IF(B123="","",IF(N123="Time x Count",M123*R123*IF(U123="",1,U123)*Y123,IF(N123="QS Qty x Factor",E123*R123*(1+IF(V123="",0,V123))*Y123,IF(N123="Direct Qty",S123*(1+IF(V123="",0,V123))*Y123,IF(N123="Lump Sum / Quote",S123*Y123,0)))))</x:f>
      </x:c>
      <x:c r="AA123" s="81" t="str">
        <x:f>IFERROR(INDEX('Resource Rate Library'!$N$5:$N$85,MATCH(P123,'Resource Rate Library'!$A$5:$A$85,0)),"")</x:f>
      </x:c>
      <x:c r="AB123" s="53"/>
      <x:c r="AC123" s="59"/>
      <x:c r="AD123" s="81" t="str">
        <x:f>IFERROR(INDEX('Resource Rate Library'!$G$5:$G$85,MATCH(P123,'Resource Rate Library'!$A$5:$A$85,0)),"")</x:f>
      </x:c>
      <x:c r="AE123" s="81" t="str">
        <x:f>IFERROR(INDEX('Resource Rate Library'!$H$5:$H$85,MATCH(P123,'Resource Rate Library'!$A$5:$A$85,0)),"")</x:f>
      </x:c>
      <x:c r="AF123" s="53"/>
      <x:c r="AG123" s="53"/>
      <x:c r="AH123" s="53"/>
      <x:c r="AI123" s="81" t="str">
        <x:f t="shared" si="11">IF(B123="","",IF(AND(P123="",N123&lt;&gt;"Lump Sum / Quote"),"RESOURCE CODE",IF(Y123=0,"RATE MISSING",IF(AND(O123="Plant",AD123="Yes",COUNTIFS($B$7:$B$306,B123,$O$7:$O$306,"Labour",$Q$7:$Q$306,"*Operator*")&gt;0),"OPERATOR DOUBLE-COUNT",IF(AND(O123="Plant",AE123="Yes",COUNTIFS($B$7:$B$306,B123,$Q$7:$Q$306,"*Fuel*")&gt;0),"FUEL DOUBLE-COUNT",IF(AH123&lt;&gt;"Yes","VERIFY","OK"))))))</x:f>
      </x:c>
      <x:c r="AJ123" s="54"/>
      <x:c r="AK123" s="473"/>
      <x:c r="AL123" s="473"/>
      <x:c r="AM123" s="473"/>
      <x:c r="AN123" s="500" t="n">
        <x:f>IF(AND(AK123="Yes",OR(O123="Labour",O123="Plant")),Z123,0)</x:f>
        <x:v>0</x:v>
      </x:c>
    </x:row>
    <x:row r="124" ht="22.049999237060547" customHeight="1">
      <x:c r="A124" s="80" t="str">
        <x:f>IF(B124="","",B124&amp;"-"&amp;TEXT(COUNTIF($B$7:B124,B124),"000"))</x:f>
      </x:c>
      <x:c r="B124" s="53"/>
      <x:c r="C124" s="81" t="str">
        <x:f>IFERROR(INDEX('QS Takeoff'!$A$3:$A$194,MATCH(B124,'QS Takeoff'!$B$3:$B$194,0)),"")</x:f>
      </x:c>
      <x:c r="D124" s="81" t="str">
        <x:f>IFERROR(INDEX('QS Takeoff'!$C$3:$C$194,MATCH(B124,'QS Takeoff'!$B$3:$B$194,0)),"")</x:f>
      </x:c>
      <x:c r="E124" s="81" t="str">
        <x:f>IFERROR(INDEX('QS Takeoff'!$E$3:$E$194,MATCH(B124,'QS Takeoff'!$B$3:$B$194,0)),"")</x:f>
      </x:c>
      <x:c r="F124" s="81" t="str">
        <x:f>IFERROR(INDEX('QS Takeoff'!$D$3:$D$194,MATCH(B124,'QS Takeoff'!$B$3:$B$194,0)),"")</x:f>
      </x:c>
      <x:c r="G124" s="81" t="str">
        <x:f>IFERROR(INDEX('QS Takeoff'!$J$3:$J$194,MATCH(B124,'QS Takeoff'!$B$3:$B$194,0)),"")</x:f>
      </x:c>
      <x:c r="H124" s="53"/>
      <x:c r="I124" s="60"/>
      <x:c r="J124" s="60"/>
      <x:c r="K124" s="82" t="str">
        <x:f t="shared" si="6">IF(OR(B124="",I124="",I124=0),"",E124/I124)</x:f>
      </x:c>
      <x:c r="L124" s="60"/>
      <x:c r="M124" s="82" t="str">
        <x:f t="shared" si="7">IF(L124&gt;0,L124,K124)</x:f>
      </x:c>
      <x:c r="N124" s="53"/>
      <x:c r="O124" s="53"/>
      <x:c r="P124" s="53"/>
      <x:c r="Q124" s="81" t="str">
        <x:f>IFERROR(INDEX('Resource Rate Library'!$C$5:$C$85,MATCH(P124,'Resource Rate Library'!$A$5:$A$85,0)),"")</x:f>
      </x:c>
      <x:c r="R124" s="53"/>
      <x:c r="S124" s="53"/>
      <x:c r="T124" s="81" t="str">
        <x:f>IFERROR(INDEX('Resource Rate Library'!$E$5:$E$85,MATCH(P124,'Resource Rate Library'!$A$5:$A$85,0)),"")</x:f>
      </x:c>
      <x:c r="U124" s="62"/>
      <x:c r="V124" s="62"/>
      <x:c r="W124" s="83" t="n">
        <x:f>IFERROR(INDEX('Resource Rate Library'!$I$5:$I$85,MATCH(P124,'Resource Rate Library'!$A$5:$A$85,0)),0)</x:f>
        <x:v>0</x:v>
      </x:c>
      <x:c r="X124" s="52"/>
      <x:c r="Y124" s="83" t="n">
        <x:f t="shared" si="8">IF(X124&gt;0,X124,W124)</x:f>
        <x:v>0</x:v>
      </x:c>
      <x:c r="Z124" s="83" t="str">
        <x:f t="shared" si="9">IF(B124="","",IF(N124="Time x Count",M124*R124*IF(U124="",1,U124)*Y124,IF(N124="QS Qty x Factor",E124*R124*(1+IF(V124="",0,V124))*Y124,IF(N124="Direct Qty",S124*(1+IF(V124="",0,V124))*Y124,IF(N124="Lump Sum / Quote",S124*Y124,0)))))</x:f>
      </x:c>
      <x:c r="AA124" s="81" t="str">
        <x:f>IFERROR(INDEX('Resource Rate Library'!$N$5:$N$85,MATCH(P124,'Resource Rate Library'!$A$5:$A$85,0)),"")</x:f>
      </x:c>
      <x:c r="AB124" s="53"/>
      <x:c r="AC124" s="59"/>
      <x:c r="AD124" s="81" t="str">
        <x:f>IFERROR(INDEX('Resource Rate Library'!$G$5:$G$85,MATCH(P124,'Resource Rate Library'!$A$5:$A$85,0)),"")</x:f>
      </x:c>
      <x:c r="AE124" s="81" t="str">
        <x:f>IFERROR(INDEX('Resource Rate Library'!$H$5:$H$85,MATCH(P124,'Resource Rate Library'!$A$5:$A$85,0)),"")</x:f>
      </x:c>
      <x:c r="AF124" s="53"/>
      <x:c r="AG124" s="53"/>
      <x:c r="AH124" s="53"/>
      <x:c r="AI124" s="81" t="str">
        <x:f t="shared" si="11">IF(B124="","",IF(AND(P124="",N124&lt;&gt;"Lump Sum / Quote"),"RESOURCE CODE",IF(Y124=0,"RATE MISSING",IF(AND(O124="Plant",AD124="Yes",COUNTIFS($B$7:$B$306,B124,$O$7:$O$306,"Labour",$Q$7:$Q$306,"*Operator*")&gt;0),"OPERATOR DOUBLE-COUNT",IF(AND(O124="Plant",AE124="Yes",COUNTIFS($B$7:$B$306,B124,$Q$7:$Q$306,"*Fuel*")&gt;0),"FUEL DOUBLE-COUNT",IF(AH124&lt;&gt;"Yes","VERIFY","OK"))))))</x:f>
      </x:c>
      <x:c r="AJ124" s="54"/>
      <x:c r="AK124" s="473"/>
      <x:c r="AL124" s="473"/>
      <x:c r="AM124" s="473"/>
      <x:c r="AN124" s="500" t="n">
        <x:f>IF(AND(AK124="Yes",OR(O124="Labour",O124="Plant")),Z124,0)</x:f>
        <x:v>0</x:v>
      </x:c>
    </x:row>
    <x:row r="125" ht="22.049999237060547" customHeight="1">
      <x:c r="A125" s="80" t="str">
        <x:f>IF(B125="","",B125&amp;"-"&amp;TEXT(COUNTIF($B$7:B125,B125),"000"))</x:f>
      </x:c>
      <x:c r="B125" s="53"/>
      <x:c r="C125" s="81" t="str">
        <x:f>IFERROR(INDEX('QS Takeoff'!$A$3:$A$194,MATCH(B125,'QS Takeoff'!$B$3:$B$194,0)),"")</x:f>
      </x:c>
      <x:c r="D125" s="81" t="str">
        <x:f>IFERROR(INDEX('QS Takeoff'!$C$3:$C$194,MATCH(B125,'QS Takeoff'!$B$3:$B$194,0)),"")</x:f>
      </x:c>
      <x:c r="E125" s="81" t="str">
        <x:f>IFERROR(INDEX('QS Takeoff'!$E$3:$E$194,MATCH(B125,'QS Takeoff'!$B$3:$B$194,0)),"")</x:f>
      </x:c>
      <x:c r="F125" s="81" t="str">
        <x:f>IFERROR(INDEX('QS Takeoff'!$D$3:$D$194,MATCH(B125,'QS Takeoff'!$B$3:$B$194,0)),"")</x:f>
      </x:c>
      <x:c r="G125" s="81" t="str">
        <x:f>IFERROR(INDEX('QS Takeoff'!$J$3:$J$194,MATCH(B125,'QS Takeoff'!$B$3:$B$194,0)),"")</x:f>
      </x:c>
      <x:c r="H125" s="53"/>
      <x:c r="I125" s="60"/>
      <x:c r="J125" s="60"/>
      <x:c r="K125" s="82" t="str">
        <x:f t="shared" si="6">IF(OR(B125="",I125="",I125=0),"",E125/I125)</x:f>
      </x:c>
      <x:c r="L125" s="60"/>
      <x:c r="M125" s="82" t="str">
        <x:f t="shared" si="7">IF(L125&gt;0,L125,K125)</x:f>
      </x:c>
      <x:c r="N125" s="53"/>
      <x:c r="O125" s="53"/>
      <x:c r="P125" s="53"/>
      <x:c r="Q125" s="81" t="str">
        <x:f>IFERROR(INDEX('Resource Rate Library'!$C$5:$C$85,MATCH(P125,'Resource Rate Library'!$A$5:$A$85,0)),"")</x:f>
      </x:c>
      <x:c r="R125" s="53"/>
      <x:c r="S125" s="53"/>
      <x:c r="T125" s="81" t="str">
        <x:f>IFERROR(INDEX('Resource Rate Library'!$E$5:$E$85,MATCH(P125,'Resource Rate Library'!$A$5:$A$85,0)),"")</x:f>
      </x:c>
      <x:c r="U125" s="62"/>
      <x:c r="V125" s="62"/>
      <x:c r="W125" s="83" t="n">
        <x:f>IFERROR(INDEX('Resource Rate Library'!$I$5:$I$85,MATCH(P125,'Resource Rate Library'!$A$5:$A$85,0)),0)</x:f>
        <x:v>0</x:v>
      </x:c>
      <x:c r="X125" s="52"/>
      <x:c r="Y125" s="83" t="n">
        <x:f t="shared" si="8">IF(X125&gt;0,X125,W125)</x:f>
        <x:v>0</x:v>
      </x:c>
      <x:c r="Z125" s="83" t="str">
        <x:f t="shared" si="9">IF(B125="","",IF(N125="Time x Count",M125*R125*IF(U125="",1,U125)*Y125,IF(N125="QS Qty x Factor",E125*R125*(1+IF(V125="",0,V125))*Y125,IF(N125="Direct Qty",S125*(1+IF(V125="",0,V125))*Y125,IF(N125="Lump Sum / Quote",S125*Y125,0)))))</x:f>
      </x:c>
      <x:c r="AA125" s="81" t="str">
        <x:f>IFERROR(INDEX('Resource Rate Library'!$N$5:$N$85,MATCH(P125,'Resource Rate Library'!$A$5:$A$85,0)),"")</x:f>
      </x:c>
      <x:c r="AB125" s="53"/>
      <x:c r="AC125" s="59"/>
      <x:c r="AD125" s="81" t="str">
        <x:f>IFERROR(INDEX('Resource Rate Library'!$G$5:$G$85,MATCH(P125,'Resource Rate Library'!$A$5:$A$85,0)),"")</x:f>
      </x:c>
      <x:c r="AE125" s="81" t="str">
        <x:f>IFERROR(INDEX('Resource Rate Library'!$H$5:$H$85,MATCH(P125,'Resource Rate Library'!$A$5:$A$85,0)),"")</x:f>
      </x:c>
      <x:c r="AF125" s="53"/>
      <x:c r="AG125" s="53"/>
      <x:c r="AH125" s="53"/>
      <x:c r="AI125" s="81" t="str">
        <x:f t="shared" si="11">IF(B125="","",IF(AND(P125="",N125&lt;&gt;"Lump Sum / Quote"),"RESOURCE CODE",IF(Y125=0,"RATE MISSING",IF(AND(O125="Plant",AD125="Yes",COUNTIFS($B$7:$B$306,B125,$O$7:$O$306,"Labour",$Q$7:$Q$306,"*Operator*")&gt;0),"OPERATOR DOUBLE-COUNT",IF(AND(O125="Plant",AE125="Yes",COUNTIFS($B$7:$B$306,B125,$Q$7:$Q$306,"*Fuel*")&gt;0),"FUEL DOUBLE-COUNT",IF(AH125&lt;&gt;"Yes","VERIFY","OK"))))))</x:f>
      </x:c>
      <x:c r="AJ125" s="54"/>
      <x:c r="AK125" s="473"/>
      <x:c r="AL125" s="473"/>
      <x:c r="AM125" s="473"/>
      <x:c r="AN125" s="500" t="n">
        <x:f>IF(AND(AK125="Yes",OR(O125="Labour",O125="Plant")),Z125,0)</x:f>
        <x:v>0</x:v>
      </x:c>
    </x:row>
    <x:row r="126" ht="22.049999237060547" customHeight="1">
      <x:c r="A126" s="80" t="str">
        <x:f>IF(B126="","",B126&amp;"-"&amp;TEXT(COUNTIF($B$7:B126,B126),"000"))</x:f>
      </x:c>
      <x:c r="B126" s="53"/>
      <x:c r="C126" s="81" t="str">
        <x:f>IFERROR(INDEX('QS Takeoff'!$A$3:$A$194,MATCH(B126,'QS Takeoff'!$B$3:$B$194,0)),"")</x:f>
      </x:c>
      <x:c r="D126" s="81" t="str">
        <x:f>IFERROR(INDEX('QS Takeoff'!$C$3:$C$194,MATCH(B126,'QS Takeoff'!$B$3:$B$194,0)),"")</x:f>
      </x:c>
      <x:c r="E126" s="81" t="str">
        <x:f>IFERROR(INDEX('QS Takeoff'!$E$3:$E$194,MATCH(B126,'QS Takeoff'!$B$3:$B$194,0)),"")</x:f>
      </x:c>
      <x:c r="F126" s="81" t="str">
        <x:f>IFERROR(INDEX('QS Takeoff'!$D$3:$D$194,MATCH(B126,'QS Takeoff'!$B$3:$B$194,0)),"")</x:f>
      </x:c>
      <x:c r="G126" s="81" t="str">
        <x:f>IFERROR(INDEX('QS Takeoff'!$J$3:$J$194,MATCH(B126,'QS Takeoff'!$B$3:$B$194,0)),"")</x:f>
      </x:c>
      <x:c r="H126" s="53"/>
      <x:c r="I126" s="60"/>
      <x:c r="J126" s="60"/>
      <x:c r="K126" s="82" t="str">
        <x:f t="shared" si="6">IF(OR(B126="",I126="",I126=0),"",E126/I126)</x:f>
      </x:c>
      <x:c r="L126" s="60"/>
      <x:c r="M126" s="82" t="str">
        <x:f t="shared" si="7">IF(L126&gt;0,L126,K126)</x:f>
      </x:c>
      <x:c r="N126" s="53"/>
      <x:c r="O126" s="53"/>
      <x:c r="P126" s="53"/>
      <x:c r="Q126" s="81" t="str">
        <x:f>IFERROR(INDEX('Resource Rate Library'!$C$5:$C$85,MATCH(P126,'Resource Rate Library'!$A$5:$A$85,0)),"")</x:f>
      </x:c>
      <x:c r="R126" s="53"/>
      <x:c r="S126" s="53"/>
      <x:c r="T126" s="81" t="str">
        <x:f>IFERROR(INDEX('Resource Rate Library'!$E$5:$E$85,MATCH(P126,'Resource Rate Library'!$A$5:$A$85,0)),"")</x:f>
      </x:c>
      <x:c r="U126" s="62"/>
      <x:c r="V126" s="62"/>
      <x:c r="W126" s="83" t="n">
        <x:f>IFERROR(INDEX('Resource Rate Library'!$I$5:$I$85,MATCH(P126,'Resource Rate Library'!$A$5:$A$85,0)),0)</x:f>
        <x:v>0</x:v>
      </x:c>
      <x:c r="X126" s="52"/>
      <x:c r="Y126" s="83" t="n">
        <x:f t="shared" si="8">IF(X126&gt;0,X126,W126)</x:f>
        <x:v>0</x:v>
      </x:c>
      <x:c r="Z126" s="83" t="str">
        <x:f t="shared" si="9">IF(B126="","",IF(N126="Time x Count",M126*R126*IF(U126="",1,U126)*Y126,IF(N126="QS Qty x Factor",E126*R126*(1+IF(V126="",0,V126))*Y126,IF(N126="Direct Qty",S126*(1+IF(V126="",0,V126))*Y126,IF(N126="Lump Sum / Quote",S126*Y126,0)))))</x:f>
      </x:c>
      <x:c r="AA126" s="81" t="str">
        <x:f>IFERROR(INDEX('Resource Rate Library'!$N$5:$N$85,MATCH(P126,'Resource Rate Library'!$A$5:$A$85,0)),"")</x:f>
      </x:c>
      <x:c r="AB126" s="53"/>
      <x:c r="AC126" s="59"/>
      <x:c r="AD126" s="81" t="str">
        <x:f>IFERROR(INDEX('Resource Rate Library'!$G$5:$G$85,MATCH(P126,'Resource Rate Library'!$A$5:$A$85,0)),"")</x:f>
      </x:c>
      <x:c r="AE126" s="81" t="str">
        <x:f>IFERROR(INDEX('Resource Rate Library'!$H$5:$H$85,MATCH(P126,'Resource Rate Library'!$A$5:$A$85,0)),"")</x:f>
      </x:c>
      <x:c r="AF126" s="53"/>
      <x:c r="AG126" s="53"/>
      <x:c r="AH126" s="53"/>
      <x:c r="AI126" s="81" t="str">
        <x:f t="shared" si="11">IF(B126="","",IF(AND(P126="",N126&lt;&gt;"Lump Sum / Quote"),"RESOURCE CODE",IF(Y126=0,"RATE MISSING",IF(AND(O126="Plant",AD126="Yes",COUNTIFS($B$7:$B$306,B126,$O$7:$O$306,"Labour",$Q$7:$Q$306,"*Operator*")&gt;0),"OPERATOR DOUBLE-COUNT",IF(AND(O126="Plant",AE126="Yes",COUNTIFS($B$7:$B$306,B126,$Q$7:$Q$306,"*Fuel*")&gt;0),"FUEL DOUBLE-COUNT",IF(AH126&lt;&gt;"Yes","VERIFY","OK"))))))</x:f>
      </x:c>
      <x:c r="AJ126" s="54"/>
      <x:c r="AK126" s="473"/>
      <x:c r="AL126" s="473"/>
      <x:c r="AM126" s="473"/>
      <x:c r="AN126" s="500" t="n">
        <x:f>IF(AND(AK126="Yes",OR(O126="Labour",O126="Plant")),Z126,0)</x:f>
        <x:v>0</x:v>
      </x:c>
    </x:row>
    <x:row r="127" ht="22.049999237060547" customHeight="1">
      <x:c r="A127" s="80" t="str">
        <x:f>IF(B127="","",B127&amp;"-"&amp;TEXT(COUNTIF($B$7:B127,B127),"000"))</x:f>
      </x:c>
      <x:c r="B127" s="53"/>
      <x:c r="C127" s="81" t="str">
        <x:f>IFERROR(INDEX('QS Takeoff'!$A$3:$A$194,MATCH(B127,'QS Takeoff'!$B$3:$B$194,0)),"")</x:f>
      </x:c>
      <x:c r="D127" s="81" t="str">
        <x:f>IFERROR(INDEX('QS Takeoff'!$C$3:$C$194,MATCH(B127,'QS Takeoff'!$B$3:$B$194,0)),"")</x:f>
      </x:c>
      <x:c r="E127" s="81" t="str">
        <x:f>IFERROR(INDEX('QS Takeoff'!$E$3:$E$194,MATCH(B127,'QS Takeoff'!$B$3:$B$194,0)),"")</x:f>
      </x:c>
      <x:c r="F127" s="81" t="str">
        <x:f>IFERROR(INDEX('QS Takeoff'!$D$3:$D$194,MATCH(B127,'QS Takeoff'!$B$3:$B$194,0)),"")</x:f>
      </x:c>
      <x:c r="G127" s="81" t="str">
        <x:f>IFERROR(INDEX('QS Takeoff'!$J$3:$J$194,MATCH(B127,'QS Takeoff'!$B$3:$B$194,0)),"")</x:f>
      </x:c>
      <x:c r="H127" s="53"/>
      <x:c r="I127" s="60"/>
      <x:c r="J127" s="60"/>
      <x:c r="K127" s="82" t="str">
        <x:f t="shared" si="6">IF(OR(B127="",I127="",I127=0),"",E127/I127)</x:f>
      </x:c>
      <x:c r="L127" s="60"/>
      <x:c r="M127" s="82" t="str">
        <x:f t="shared" si="7">IF(L127&gt;0,L127,K127)</x:f>
      </x:c>
      <x:c r="N127" s="53"/>
      <x:c r="O127" s="53"/>
      <x:c r="P127" s="53"/>
      <x:c r="Q127" s="81" t="str">
        <x:f>IFERROR(INDEX('Resource Rate Library'!$C$5:$C$85,MATCH(P127,'Resource Rate Library'!$A$5:$A$85,0)),"")</x:f>
      </x:c>
      <x:c r="R127" s="53"/>
      <x:c r="S127" s="53"/>
      <x:c r="T127" s="81" t="str">
        <x:f>IFERROR(INDEX('Resource Rate Library'!$E$5:$E$85,MATCH(P127,'Resource Rate Library'!$A$5:$A$85,0)),"")</x:f>
      </x:c>
      <x:c r="U127" s="62"/>
      <x:c r="V127" s="62"/>
      <x:c r="W127" s="83" t="n">
        <x:f>IFERROR(INDEX('Resource Rate Library'!$I$5:$I$85,MATCH(P127,'Resource Rate Library'!$A$5:$A$85,0)),0)</x:f>
        <x:v>0</x:v>
      </x:c>
      <x:c r="X127" s="52"/>
      <x:c r="Y127" s="83" t="n">
        <x:f t="shared" si="8">IF(X127&gt;0,X127,W127)</x:f>
        <x:v>0</x:v>
      </x:c>
      <x:c r="Z127" s="83" t="str">
        <x:f t="shared" si="9">IF(B127="","",IF(N127="Time x Count",M127*R127*IF(U127="",1,U127)*Y127,IF(N127="QS Qty x Factor",E127*R127*(1+IF(V127="",0,V127))*Y127,IF(N127="Direct Qty",S127*(1+IF(V127="",0,V127))*Y127,IF(N127="Lump Sum / Quote",S127*Y127,0)))))</x:f>
      </x:c>
      <x:c r="AA127" s="81" t="str">
        <x:f>IFERROR(INDEX('Resource Rate Library'!$N$5:$N$85,MATCH(P127,'Resource Rate Library'!$A$5:$A$85,0)),"")</x:f>
      </x:c>
      <x:c r="AB127" s="53"/>
      <x:c r="AC127" s="59"/>
      <x:c r="AD127" s="81" t="str">
        <x:f>IFERROR(INDEX('Resource Rate Library'!$G$5:$G$85,MATCH(P127,'Resource Rate Library'!$A$5:$A$85,0)),"")</x:f>
      </x:c>
      <x:c r="AE127" s="81" t="str">
        <x:f>IFERROR(INDEX('Resource Rate Library'!$H$5:$H$85,MATCH(P127,'Resource Rate Library'!$A$5:$A$85,0)),"")</x:f>
      </x:c>
      <x:c r="AF127" s="53"/>
      <x:c r="AG127" s="53"/>
      <x:c r="AH127" s="53"/>
      <x:c r="AI127" s="81" t="str">
        <x:f t="shared" si="11">IF(B127="","",IF(AND(P127="",N127&lt;&gt;"Lump Sum / Quote"),"RESOURCE CODE",IF(Y127=0,"RATE MISSING",IF(AND(O127="Plant",AD127="Yes",COUNTIFS($B$7:$B$306,B127,$O$7:$O$306,"Labour",$Q$7:$Q$306,"*Operator*")&gt;0),"OPERATOR DOUBLE-COUNT",IF(AND(O127="Plant",AE127="Yes",COUNTIFS($B$7:$B$306,B127,$Q$7:$Q$306,"*Fuel*")&gt;0),"FUEL DOUBLE-COUNT",IF(AH127&lt;&gt;"Yes","VERIFY","OK"))))))</x:f>
      </x:c>
      <x:c r="AJ127" s="54"/>
      <x:c r="AK127" s="473"/>
      <x:c r="AL127" s="473"/>
      <x:c r="AM127" s="473"/>
      <x:c r="AN127" s="500" t="n">
        <x:f>IF(AND(AK127="Yes",OR(O127="Labour",O127="Plant")),Z127,0)</x:f>
        <x:v>0</x:v>
      </x:c>
    </x:row>
    <x:row r="128" ht="22.049999237060547" customHeight="1">
      <x:c r="A128" s="80" t="str">
        <x:f>IF(B128="","",B128&amp;"-"&amp;TEXT(COUNTIF($B$7:B128,B128),"000"))</x:f>
      </x:c>
      <x:c r="B128" s="53"/>
      <x:c r="C128" s="81" t="str">
        <x:f>IFERROR(INDEX('QS Takeoff'!$A$3:$A$194,MATCH(B128,'QS Takeoff'!$B$3:$B$194,0)),"")</x:f>
      </x:c>
      <x:c r="D128" s="81" t="str">
        <x:f>IFERROR(INDEX('QS Takeoff'!$C$3:$C$194,MATCH(B128,'QS Takeoff'!$B$3:$B$194,0)),"")</x:f>
      </x:c>
      <x:c r="E128" s="81" t="str">
        <x:f>IFERROR(INDEX('QS Takeoff'!$E$3:$E$194,MATCH(B128,'QS Takeoff'!$B$3:$B$194,0)),"")</x:f>
      </x:c>
      <x:c r="F128" s="81" t="str">
        <x:f>IFERROR(INDEX('QS Takeoff'!$D$3:$D$194,MATCH(B128,'QS Takeoff'!$B$3:$B$194,0)),"")</x:f>
      </x:c>
      <x:c r="G128" s="81" t="str">
        <x:f>IFERROR(INDEX('QS Takeoff'!$J$3:$J$194,MATCH(B128,'QS Takeoff'!$B$3:$B$194,0)),"")</x:f>
      </x:c>
      <x:c r="H128" s="53"/>
      <x:c r="I128" s="60"/>
      <x:c r="J128" s="60"/>
      <x:c r="K128" s="82" t="str">
        <x:f t="shared" si="6">IF(OR(B128="",I128="",I128=0),"",E128/I128)</x:f>
      </x:c>
      <x:c r="L128" s="60"/>
      <x:c r="M128" s="82" t="str">
        <x:f t="shared" si="7">IF(L128&gt;0,L128,K128)</x:f>
      </x:c>
      <x:c r="N128" s="53"/>
      <x:c r="O128" s="53"/>
      <x:c r="P128" s="53"/>
      <x:c r="Q128" s="81" t="str">
        <x:f>IFERROR(INDEX('Resource Rate Library'!$C$5:$C$85,MATCH(P128,'Resource Rate Library'!$A$5:$A$85,0)),"")</x:f>
      </x:c>
      <x:c r="R128" s="53"/>
      <x:c r="S128" s="53"/>
      <x:c r="T128" s="81" t="str">
        <x:f>IFERROR(INDEX('Resource Rate Library'!$E$5:$E$85,MATCH(P128,'Resource Rate Library'!$A$5:$A$85,0)),"")</x:f>
      </x:c>
      <x:c r="U128" s="62"/>
      <x:c r="V128" s="62"/>
      <x:c r="W128" s="83" t="n">
        <x:f>IFERROR(INDEX('Resource Rate Library'!$I$5:$I$85,MATCH(P128,'Resource Rate Library'!$A$5:$A$85,0)),0)</x:f>
        <x:v>0</x:v>
      </x:c>
      <x:c r="X128" s="52"/>
      <x:c r="Y128" s="83" t="n">
        <x:f t="shared" si="8">IF(X128&gt;0,X128,W128)</x:f>
        <x:v>0</x:v>
      </x:c>
      <x:c r="Z128" s="83" t="str">
        <x:f t="shared" si="9">IF(B128="","",IF(N128="Time x Count",M128*R128*IF(U128="",1,U128)*Y128,IF(N128="QS Qty x Factor",E128*R128*(1+IF(V128="",0,V128))*Y128,IF(N128="Direct Qty",S128*(1+IF(V128="",0,V128))*Y128,IF(N128="Lump Sum / Quote",S128*Y128,0)))))</x:f>
      </x:c>
      <x:c r="AA128" s="81" t="str">
        <x:f>IFERROR(INDEX('Resource Rate Library'!$N$5:$N$85,MATCH(P128,'Resource Rate Library'!$A$5:$A$85,0)),"")</x:f>
      </x:c>
      <x:c r="AB128" s="53"/>
      <x:c r="AC128" s="59"/>
      <x:c r="AD128" s="81" t="str">
        <x:f>IFERROR(INDEX('Resource Rate Library'!$G$5:$G$85,MATCH(P128,'Resource Rate Library'!$A$5:$A$85,0)),"")</x:f>
      </x:c>
      <x:c r="AE128" s="81" t="str">
        <x:f>IFERROR(INDEX('Resource Rate Library'!$H$5:$H$85,MATCH(P128,'Resource Rate Library'!$A$5:$A$85,0)),"")</x:f>
      </x:c>
      <x:c r="AF128" s="53"/>
      <x:c r="AG128" s="53"/>
      <x:c r="AH128" s="53"/>
      <x:c r="AI128" s="81" t="str">
        <x:f t="shared" si="11">IF(B128="","",IF(AND(P128="",N128&lt;&gt;"Lump Sum / Quote"),"RESOURCE CODE",IF(Y128=0,"RATE MISSING",IF(AND(O128="Plant",AD128="Yes",COUNTIFS($B$7:$B$306,B128,$O$7:$O$306,"Labour",$Q$7:$Q$306,"*Operator*")&gt;0),"OPERATOR DOUBLE-COUNT",IF(AND(O128="Plant",AE128="Yes",COUNTIFS($B$7:$B$306,B128,$Q$7:$Q$306,"*Fuel*")&gt;0),"FUEL DOUBLE-COUNT",IF(AH128&lt;&gt;"Yes","VERIFY","OK"))))))</x:f>
      </x:c>
      <x:c r="AJ128" s="54"/>
      <x:c r="AK128" s="473"/>
      <x:c r="AL128" s="473"/>
      <x:c r="AM128" s="473"/>
      <x:c r="AN128" s="500" t="n">
        <x:f>IF(AND(AK128="Yes",OR(O128="Labour",O128="Plant")),Z128,0)</x:f>
        <x:v>0</x:v>
      </x:c>
    </x:row>
    <x:row r="129" ht="22.049999237060547" customHeight="1">
      <x:c r="A129" s="80" t="str">
        <x:f>IF(B129="","",B129&amp;"-"&amp;TEXT(COUNTIF($B$7:B129,B129),"000"))</x:f>
      </x:c>
      <x:c r="B129" s="53"/>
      <x:c r="C129" s="81" t="str">
        <x:f>IFERROR(INDEX('QS Takeoff'!$A$3:$A$194,MATCH(B129,'QS Takeoff'!$B$3:$B$194,0)),"")</x:f>
      </x:c>
      <x:c r="D129" s="81" t="str">
        <x:f>IFERROR(INDEX('QS Takeoff'!$C$3:$C$194,MATCH(B129,'QS Takeoff'!$B$3:$B$194,0)),"")</x:f>
      </x:c>
      <x:c r="E129" s="81" t="str">
        <x:f>IFERROR(INDEX('QS Takeoff'!$E$3:$E$194,MATCH(B129,'QS Takeoff'!$B$3:$B$194,0)),"")</x:f>
      </x:c>
      <x:c r="F129" s="81" t="str">
        <x:f>IFERROR(INDEX('QS Takeoff'!$D$3:$D$194,MATCH(B129,'QS Takeoff'!$B$3:$B$194,0)),"")</x:f>
      </x:c>
      <x:c r="G129" s="81" t="str">
        <x:f>IFERROR(INDEX('QS Takeoff'!$J$3:$J$194,MATCH(B129,'QS Takeoff'!$B$3:$B$194,0)),"")</x:f>
      </x:c>
      <x:c r="H129" s="53"/>
      <x:c r="I129" s="60"/>
      <x:c r="J129" s="60"/>
      <x:c r="K129" s="82" t="str">
        <x:f t="shared" si="6">IF(OR(B129="",I129="",I129=0),"",E129/I129)</x:f>
      </x:c>
      <x:c r="L129" s="60"/>
      <x:c r="M129" s="82" t="str">
        <x:f t="shared" si="7">IF(L129&gt;0,L129,K129)</x:f>
      </x:c>
      <x:c r="N129" s="53"/>
      <x:c r="O129" s="53"/>
      <x:c r="P129" s="53"/>
      <x:c r="Q129" s="81" t="str">
        <x:f>IFERROR(INDEX('Resource Rate Library'!$C$5:$C$85,MATCH(P129,'Resource Rate Library'!$A$5:$A$85,0)),"")</x:f>
      </x:c>
      <x:c r="R129" s="53"/>
      <x:c r="S129" s="53"/>
      <x:c r="T129" s="81" t="str">
        <x:f>IFERROR(INDEX('Resource Rate Library'!$E$5:$E$85,MATCH(P129,'Resource Rate Library'!$A$5:$A$85,0)),"")</x:f>
      </x:c>
      <x:c r="U129" s="62"/>
      <x:c r="V129" s="62"/>
      <x:c r="W129" s="83" t="n">
        <x:f>IFERROR(INDEX('Resource Rate Library'!$I$5:$I$85,MATCH(P129,'Resource Rate Library'!$A$5:$A$85,0)),0)</x:f>
        <x:v>0</x:v>
      </x:c>
      <x:c r="X129" s="52"/>
      <x:c r="Y129" s="83" t="n">
        <x:f t="shared" si="8">IF(X129&gt;0,X129,W129)</x:f>
        <x:v>0</x:v>
      </x:c>
      <x:c r="Z129" s="83" t="str">
        <x:f t="shared" si="9">IF(B129="","",IF(N129="Time x Count",M129*R129*IF(U129="",1,U129)*Y129,IF(N129="QS Qty x Factor",E129*R129*(1+IF(V129="",0,V129))*Y129,IF(N129="Direct Qty",S129*(1+IF(V129="",0,V129))*Y129,IF(N129="Lump Sum / Quote",S129*Y129,0)))))</x:f>
      </x:c>
      <x:c r="AA129" s="81" t="str">
        <x:f>IFERROR(INDEX('Resource Rate Library'!$N$5:$N$85,MATCH(P129,'Resource Rate Library'!$A$5:$A$85,0)),"")</x:f>
      </x:c>
      <x:c r="AB129" s="53"/>
      <x:c r="AC129" s="59"/>
      <x:c r="AD129" s="81" t="str">
        <x:f>IFERROR(INDEX('Resource Rate Library'!$G$5:$G$85,MATCH(P129,'Resource Rate Library'!$A$5:$A$85,0)),"")</x:f>
      </x:c>
      <x:c r="AE129" s="81" t="str">
        <x:f>IFERROR(INDEX('Resource Rate Library'!$H$5:$H$85,MATCH(P129,'Resource Rate Library'!$A$5:$A$85,0)),"")</x:f>
      </x:c>
      <x:c r="AF129" s="53"/>
      <x:c r="AG129" s="53"/>
      <x:c r="AH129" s="53"/>
      <x:c r="AI129" s="81" t="str">
        <x:f t="shared" si="11">IF(B129="","",IF(AND(P129="",N129&lt;&gt;"Lump Sum / Quote"),"RESOURCE CODE",IF(Y129=0,"RATE MISSING",IF(AND(O129="Plant",AD129="Yes",COUNTIFS($B$7:$B$306,B129,$O$7:$O$306,"Labour",$Q$7:$Q$306,"*Operator*")&gt;0),"OPERATOR DOUBLE-COUNT",IF(AND(O129="Plant",AE129="Yes",COUNTIFS($B$7:$B$306,B129,$Q$7:$Q$306,"*Fuel*")&gt;0),"FUEL DOUBLE-COUNT",IF(AH129&lt;&gt;"Yes","VERIFY","OK"))))))</x:f>
      </x:c>
      <x:c r="AJ129" s="54"/>
      <x:c r="AK129" s="473"/>
      <x:c r="AL129" s="473"/>
      <x:c r="AM129" s="473"/>
      <x:c r="AN129" s="500" t="n">
        <x:f>IF(AND(AK129="Yes",OR(O129="Labour",O129="Plant")),Z129,0)</x:f>
        <x:v>0</x:v>
      </x:c>
    </x:row>
    <x:row r="130" ht="22.049999237060547" customHeight="1">
      <x:c r="A130" s="80" t="str">
        <x:f>IF(B130="","",B130&amp;"-"&amp;TEXT(COUNTIF($B$7:B130,B130),"000"))</x:f>
      </x:c>
      <x:c r="B130" s="53"/>
      <x:c r="C130" s="81" t="str">
        <x:f>IFERROR(INDEX('QS Takeoff'!$A$3:$A$194,MATCH(B130,'QS Takeoff'!$B$3:$B$194,0)),"")</x:f>
      </x:c>
      <x:c r="D130" s="81" t="str">
        <x:f>IFERROR(INDEX('QS Takeoff'!$C$3:$C$194,MATCH(B130,'QS Takeoff'!$B$3:$B$194,0)),"")</x:f>
      </x:c>
      <x:c r="E130" s="81" t="str">
        <x:f>IFERROR(INDEX('QS Takeoff'!$E$3:$E$194,MATCH(B130,'QS Takeoff'!$B$3:$B$194,0)),"")</x:f>
      </x:c>
      <x:c r="F130" s="81" t="str">
        <x:f>IFERROR(INDEX('QS Takeoff'!$D$3:$D$194,MATCH(B130,'QS Takeoff'!$B$3:$B$194,0)),"")</x:f>
      </x:c>
      <x:c r="G130" s="81" t="str">
        <x:f>IFERROR(INDEX('QS Takeoff'!$J$3:$J$194,MATCH(B130,'QS Takeoff'!$B$3:$B$194,0)),"")</x:f>
      </x:c>
      <x:c r="H130" s="53"/>
      <x:c r="I130" s="60"/>
      <x:c r="J130" s="60"/>
      <x:c r="K130" s="82" t="str">
        <x:f t="shared" si="6">IF(OR(B130="",I130="",I130=0),"",E130/I130)</x:f>
      </x:c>
      <x:c r="L130" s="60"/>
      <x:c r="M130" s="82" t="str">
        <x:f t="shared" si="7">IF(L130&gt;0,L130,K130)</x:f>
      </x:c>
      <x:c r="N130" s="53"/>
      <x:c r="O130" s="53"/>
      <x:c r="P130" s="53"/>
      <x:c r="Q130" s="81" t="str">
        <x:f>IFERROR(INDEX('Resource Rate Library'!$C$5:$C$85,MATCH(P130,'Resource Rate Library'!$A$5:$A$85,0)),"")</x:f>
      </x:c>
      <x:c r="R130" s="53"/>
      <x:c r="S130" s="53"/>
      <x:c r="T130" s="81" t="str">
        <x:f>IFERROR(INDEX('Resource Rate Library'!$E$5:$E$85,MATCH(P130,'Resource Rate Library'!$A$5:$A$85,0)),"")</x:f>
      </x:c>
      <x:c r="U130" s="62"/>
      <x:c r="V130" s="62"/>
      <x:c r="W130" s="83" t="n">
        <x:f>IFERROR(INDEX('Resource Rate Library'!$I$5:$I$85,MATCH(P130,'Resource Rate Library'!$A$5:$A$85,0)),0)</x:f>
        <x:v>0</x:v>
      </x:c>
      <x:c r="X130" s="52"/>
      <x:c r="Y130" s="83" t="n">
        <x:f t="shared" si="8">IF(X130&gt;0,X130,W130)</x:f>
        <x:v>0</x:v>
      </x:c>
      <x:c r="Z130" s="83" t="str">
        <x:f t="shared" si="9">IF(B130="","",IF(N130="Time x Count",M130*R130*IF(U130="",1,U130)*Y130,IF(N130="QS Qty x Factor",E130*R130*(1+IF(V130="",0,V130))*Y130,IF(N130="Direct Qty",S130*(1+IF(V130="",0,V130))*Y130,IF(N130="Lump Sum / Quote",S130*Y130,0)))))</x:f>
      </x:c>
      <x:c r="AA130" s="81" t="str">
        <x:f>IFERROR(INDEX('Resource Rate Library'!$N$5:$N$85,MATCH(P130,'Resource Rate Library'!$A$5:$A$85,0)),"")</x:f>
      </x:c>
      <x:c r="AB130" s="53"/>
      <x:c r="AC130" s="59"/>
      <x:c r="AD130" s="81" t="str">
        <x:f>IFERROR(INDEX('Resource Rate Library'!$G$5:$G$85,MATCH(P130,'Resource Rate Library'!$A$5:$A$85,0)),"")</x:f>
      </x:c>
      <x:c r="AE130" s="81" t="str">
        <x:f>IFERROR(INDEX('Resource Rate Library'!$H$5:$H$85,MATCH(P130,'Resource Rate Library'!$A$5:$A$85,0)),"")</x:f>
      </x:c>
      <x:c r="AF130" s="53"/>
      <x:c r="AG130" s="53"/>
      <x:c r="AH130" s="53"/>
      <x:c r="AI130" s="81" t="str">
        <x:f t="shared" si="11">IF(B130="","",IF(AND(P130="",N130&lt;&gt;"Lump Sum / Quote"),"RESOURCE CODE",IF(Y130=0,"RATE MISSING",IF(AND(O130="Plant",AD130="Yes",COUNTIFS($B$7:$B$306,B130,$O$7:$O$306,"Labour",$Q$7:$Q$306,"*Operator*")&gt;0),"OPERATOR DOUBLE-COUNT",IF(AND(O130="Plant",AE130="Yes",COUNTIFS($B$7:$B$306,B130,$Q$7:$Q$306,"*Fuel*")&gt;0),"FUEL DOUBLE-COUNT",IF(AH130&lt;&gt;"Yes","VERIFY","OK"))))))</x:f>
      </x:c>
      <x:c r="AJ130" s="54"/>
      <x:c r="AK130" s="473"/>
      <x:c r="AL130" s="473"/>
      <x:c r="AM130" s="473"/>
      <x:c r="AN130" s="500" t="n">
        <x:f>IF(AND(AK130="Yes",OR(O130="Labour",O130="Plant")),Z130,0)</x:f>
        <x:v>0</x:v>
      </x:c>
    </x:row>
    <x:row r="131" ht="22.049999237060547" customHeight="1">
      <x:c r="A131" s="80" t="str">
        <x:f>IF(B131="","",B131&amp;"-"&amp;TEXT(COUNTIF($B$7:B131,B131),"000"))</x:f>
      </x:c>
      <x:c r="B131" s="53"/>
      <x:c r="C131" s="81" t="str">
        <x:f>IFERROR(INDEX('QS Takeoff'!$A$3:$A$194,MATCH(B131,'QS Takeoff'!$B$3:$B$194,0)),"")</x:f>
      </x:c>
      <x:c r="D131" s="81" t="str">
        <x:f>IFERROR(INDEX('QS Takeoff'!$C$3:$C$194,MATCH(B131,'QS Takeoff'!$B$3:$B$194,0)),"")</x:f>
      </x:c>
      <x:c r="E131" s="81" t="str">
        <x:f>IFERROR(INDEX('QS Takeoff'!$E$3:$E$194,MATCH(B131,'QS Takeoff'!$B$3:$B$194,0)),"")</x:f>
      </x:c>
      <x:c r="F131" s="81" t="str">
        <x:f>IFERROR(INDEX('QS Takeoff'!$D$3:$D$194,MATCH(B131,'QS Takeoff'!$B$3:$B$194,0)),"")</x:f>
      </x:c>
      <x:c r="G131" s="81" t="str">
        <x:f>IFERROR(INDEX('QS Takeoff'!$J$3:$J$194,MATCH(B131,'QS Takeoff'!$B$3:$B$194,0)),"")</x:f>
      </x:c>
      <x:c r="H131" s="53"/>
      <x:c r="I131" s="60"/>
      <x:c r="J131" s="60"/>
      <x:c r="K131" s="82" t="str">
        <x:f t="shared" si="6">IF(OR(B131="",I131="",I131=0),"",E131/I131)</x:f>
      </x:c>
      <x:c r="L131" s="60"/>
      <x:c r="M131" s="82" t="str">
        <x:f t="shared" si="7">IF(L131&gt;0,L131,K131)</x:f>
      </x:c>
      <x:c r="N131" s="53"/>
      <x:c r="O131" s="53"/>
      <x:c r="P131" s="53"/>
      <x:c r="Q131" s="81" t="str">
        <x:f>IFERROR(INDEX('Resource Rate Library'!$C$5:$C$85,MATCH(P131,'Resource Rate Library'!$A$5:$A$85,0)),"")</x:f>
      </x:c>
      <x:c r="R131" s="53"/>
      <x:c r="S131" s="53"/>
      <x:c r="T131" s="81" t="str">
        <x:f>IFERROR(INDEX('Resource Rate Library'!$E$5:$E$85,MATCH(P131,'Resource Rate Library'!$A$5:$A$85,0)),"")</x:f>
      </x:c>
      <x:c r="U131" s="62"/>
      <x:c r="V131" s="62"/>
      <x:c r="W131" s="83" t="n">
        <x:f>IFERROR(INDEX('Resource Rate Library'!$I$5:$I$85,MATCH(P131,'Resource Rate Library'!$A$5:$A$85,0)),0)</x:f>
        <x:v>0</x:v>
      </x:c>
      <x:c r="X131" s="52"/>
      <x:c r="Y131" s="83" t="n">
        <x:f t="shared" si="8">IF(X131&gt;0,X131,W131)</x:f>
        <x:v>0</x:v>
      </x:c>
      <x:c r="Z131" s="83" t="str">
        <x:f t="shared" si="9">IF(B131="","",IF(N131="Time x Count",M131*R131*IF(U131="",1,U131)*Y131,IF(N131="QS Qty x Factor",E131*R131*(1+IF(V131="",0,V131))*Y131,IF(N131="Direct Qty",S131*(1+IF(V131="",0,V131))*Y131,IF(N131="Lump Sum / Quote",S131*Y131,0)))))</x:f>
      </x:c>
      <x:c r="AA131" s="81" t="str">
        <x:f>IFERROR(INDEX('Resource Rate Library'!$N$5:$N$85,MATCH(P131,'Resource Rate Library'!$A$5:$A$85,0)),"")</x:f>
      </x:c>
      <x:c r="AB131" s="53"/>
      <x:c r="AC131" s="59"/>
      <x:c r="AD131" s="81" t="str">
        <x:f>IFERROR(INDEX('Resource Rate Library'!$G$5:$G$85,MATCH(P131,'Resource Rate Library'!$A$5:$A$85,0)),"")</x:f>
      </x:c>
      <x:c r="AE131" s="81" t="str">
        <x:f>IFERROR(INDEX('Resource Rate Library'!$H$5:$H$85,MATCH(P131,'Resource Rate Library'!$A$5:$A$85,0)),"")</x:f>
      </x:c>
      <x:c r="AF131" s="53"/>
      <x:c r="AG131" s="53"/>
      <x:c r="AH131" s="53"/>
      <x:c r="AI131" s="81" t="str">
        <x:f t="shared" si="11">IF(B131="","",IF(AND(P131="",N131&lt;&gt;"Lump Sum / Quote"),"RESOURCE CODE",IF(Y131=0,"RATE MISSING",IF(AND(O131="Plant",AD131="Yes",COUNTIFS($B$7:$B$306,B131,$O$7:$O$306,"Labour",$Q$7:$Q$306,"*Operator*")&gt;0),"OPERATOR DOUBLE-COUNT",IF(AND(O131="Plant",AE131="Yes",COUNTIFS($B$7:$B$306,B131,$Q$7:$Q$306,"*Fuel*")&gt;0),"FUEL DOUBLE-COUNT",IF(AH131&lt;&gt;"Yes","VERIFY","OK"))))))</x:f>
      </x:c>
      <x:c r="AJ131" s="54"/>
      <x:c r="AK131" s="473"/>
      <x:c r="AL131" s="473"/>
      <x:c r="AM131" s="473"/>
      <x:c r="AN131" s="500" t="n">
        <x:f>IF(AND(AK131="Yes",OR(O131="Labour",O131="Plant")),Z131,0)</x:f>
        <x:v>0</x:v>
      </x:c>
    </x:row>
    <x:row r="132" ht="22.049999237060547" customHeight="1">
      <x:c r="A132" s="80" t="str">
        <x:f>IF(B132="","",B132&amp;"-"&amp;TEXT(COUNTIF($B$7:B132,B132),"000"))</x:f>
      </x:c>
      <x:c r="B132" s="53"/>
      <x:c r="C132" s="81" t="str">
        <x:f>IFERROR(INDEX('QS Takeoff'!$A$3:$A$194,MATCH(B132,'QS Takeoff'!$B$3:$B$194,0)),"")</x:f>
      </x:c>
      <x:c r="D132" s="81" t="str">
        <x:f>IFERROR(INDEX('QS Takeoff'!$C$3:$C$194,MATCH(B132,'QS Takeoff'!$B$3:$B$194,0)),"")</x:f>
      </x:c>
      <x:c r="E132" s="81" t="str">
        <x:f>IFERROR(INDEX('QS Takeoff'!$E$3:$E$194,MATCH(B132,'QS Takeoff'!$B$3:$B$194,0)),"")</x:f>
      </x:c>
      <x:c r="F132" s="81" t="str">
        <x:f>IFERROR(INDEX('QS Takeoff'!$D$3:$D$194,MATCH(B132,'QS Takeoff'!$B$3:$B$194,0)),"")</x:f>
      </x:c>
      <x:c r="G132" s="81" t="str">
        <x:f>IFERROR(INDEX('QS Takeoff'!$J$3:$J$194,MATCH(B132,'QS Takeoff'!$B$3:$B$194,0)),"")</x:f>
      </x:c>
      <x:c r="H132" s="53"/>
      <x:c r="I132" s="60"/>
      <x:c r="J132" s="60"/>
      <x:c r="K132" s="82" t="str">
        <x:f t="shared" si="6">IF(OR(B132="",I132="",I132=0),"",E132/I132)</x:f>
      </x:c>
      <x:c r="L132" s="60"/>
      <x:c r="M132" s="82" t="str">
        <x:f t="shared" si="7">IF(L132&gt;0,L132,K132)</x:f>
      </x:c>
      <x:c r="N132" s="53"/>
      <x:c r="O132" s="53"/>
      <x:c r="P132" s="53"/>
      <x:c r="Q132" s="81" t="str">
        <x:f>IFERROR(INDEX('Resource Rate Library'!$C$5:$C$85,MATCH(P132,'Resource Rate Library'!$A$5:$A$85,0)),"")</x:f>
      </x:c>
      <x:c r="R132" s="53"/>
      <x:c r="S132" s="53"/>
      <x:c r="T132" s="81" t="str">
        <x:f>IFERROR(INDEX('Resource Rate Library'!$E$5:$E$85,MATCH(P132,'Resource Rate Library'!$A$5:$A$85,0)),"")</x:f>
      </x:c>
      <x:c r="U132" s="62"/>
      <x:c r="V132" s="62"/>
      <x:c r="W132" s="83" t="n">
        <x:f>IFERROR(INDEX('Resource Rate Library'!$I$5:$I$85,MATCH(P132,'Resource Rate Library'!$A$5:$A$85,0)),0)</x:f>
        <x:v>0</x:v>
      </x:c>
      <x:c r="X132" s="52"/>
      <x:c r="Y132" s="83" t="n">
        <x:f t="shared" si="8">IF(X132&gt;0,X132,W132)</x:f>
        <x:v>0</x:v>
      </x:c>
      <x:c r="Z132" s="83" t="str">
        <x:f t="shared" si="9">IF(B132="","",IF(N132="Time x Count",M132*R132*IF(U132="",1,U132)*Y132,IF(N132="QS Qty x Factor",E132*R132*(1+IF(V132="",0,V132))*Y132,IF(N132="Direct Qty",S132*(1+IF(V132="",0,V132))*Y132,IF(N132="Lump Sum / Quote",S132*Y132,0)))))</x:f>
      </x:c>
      <x:c r="AA132" s="81" t="str">
        <x:f>IFERROR(INDEX('Resource Rate Library'!$N$5:$N$85,MATCH(P132,'Resource Rate Library'!$A$5:$A$85,0)),"")</x:f>
      </x:c>
      <x:c r="AB132" s="53"/>
      <x:c r="AC132" s="59"/>
      <x:c r="AD132" s="81" t="str">
        <x:f>IFERROR(INDEX('Resource Rate Library'!$G$5:$G$85,MATCH(P132,'Resource Rate Library'!$A$5:$A$85,0)),"")</x:f>
      </x:c>
      <x:c r="AE132" s="81" t="str">
        <x:f>IFERROR(INDEX('Resource Rate Library'!$H$5:$H$85,MATCH(P132,'Resource Rate Library'!$A$5:$A$85,0)),"")</x:f>
      </x:c>
      <x:c r="AF132" s="53"/>
      <x:c r="AG132" s="53"/>
      <x:c r="AH132" s="53"/>
      <x:c r="AI132" s="81" t="str">
        <x:f t="shared" si="11">IF(B132="","",IF(AND(P132="",N132&lt;&gt;"Lump Sum / Quote"),"RESOURCE CODE",IF(Y132=0,"RATE MISSING",IF(AND(O132="Plant",AD132="Yes",COUNTIFS($B$7:$B$306,B132,$O$7:$O$306,"Labour",$Q$7:$Q$306,"*Operator*")&gt;0),"OPERATOR DOUBLE-COUNT",IF(AND(O132="Plant",AE132="Yes",COUNTIFS($B$7:$B$306,B132,$Q$7:$Q$306,"*Fuel*")&gt;0),"FUEL DOUBLE-COUNT",IF(AH132&lt;&gt;"Yes","VERIFY","OK"))))))</x:f>
      </x:c>
      <x:c r="AJ132" s="54"/>
      <x:c r="AK132" s="473"/>
      <x:c r="AL132" s="473"/>
      <x:c r="AM132" s="473"/>
      <x:c r="AN132" s="500" t="n">
        <x:f>IF(AND(AK132="Yes",OR(O132="Labour",O132="Plant")),Z132,0)</x:f>
        <x:v>0</x:v>
      </x:c>
    </x:row>
    <x:row r="133" ht="22.049999237060547" customHeight="1">
      <x:c r="A133" s="80" t="str">
        <x:f>IF(B133="","",B133&amp;"-"&amp;TEXT(COUNTIF($B$7:B133,B133),"000"))</x:f>
      </x:c>
      <x:c r="B133" s="53"/>
      <x:c r="C133" s="81" t="str">
        <x:f>IFERROR(INDEX('QS Takeoff'!$A$3:$A$194,MATCH(B133,'QS Takeoff'!$B$3:$B$194,0)),"")</x:f>
      </x:c>
      <x:c r="D133" s="81" t="str">
        <x:f>IFERROR(INDEX('QS Takeoff'!$C$3:$C$194,MATCH(B133,'QS Takeoff'!$B$3:$B$194,0)),"")</x:f>
      </x:c>
      <x:c r="E133" s="81" t="str">
        <x:f>IFERROR(INDEX('QS Takeoff'!$E$3:$E$194,MATCH(B133,'QS Takeoff'!$B$3:$B$194,0)),"")</x:f>
      </x:c>
      <x:c r="F133" s="81" t="str">
        <x:f>IFERROR(INDEX('QS Takeoff'!$D$3:$D$194,MATCH(B133,'QS Takeoff'!$B$3:$B$194,0)),"")</x:f>
      </x:c>
      <x:c r="G133" s="81" t="str">
        <x:f>IFERROR(INDEX('QS Takeoff'!$J$3:$J$194,MATCH(B133,'QS Takeoff'!$B$3:$B$194,0)),"")</x:f>
      </x:c>
      <x:c r="H133" s="53"/>
      <x:c r="I133" s="60"/>
      <x:c r="J133" s="60"/>
      <x:c r="K133" s="82" t="str">
        <x:f t="shared" si="6">IF(OR(B133="",I133="",I133=0),"",E133/I133)</x:f>
      </x:c>
      <x:c r="L133" s="60"/>
      <x:c r="M133" s="82" t="str">
        <x:f t="shared" si="7">IF(L133&gt;0,L133,K133)</x:f>
      </x:c>
      <x:c r="N133" s="53"/>
      <x:c r="O133" s="53"/>
      <x:c r="P133" s="53"/>
      <x:c r="Q133" s="81" t="str">
        <x:f>IFERROR(INDEX('Resource Rate Library'!$C$5:$C$85,MATCH(P133,'Resource Rate Library'!$A$5:$A$85,0)),"")</x:f>
      </x:c>
      <x:c r="R133" s="53"/>
      <x:c r="S133" s="53"/>
      <x:c r="T133" s="81" t="str">
        <x:f>IFERROR(INDEX('Resource Rate Library'!$E$5:$E$85,MATCH(P133,'Resource Rate Library'!$A$5:$A$85,0)),"")</x:f>
      </x:c>
      <x:c r="U133" s="62"/>
      <x:c r="V133" s="62"/>
      <x:c r="W133" s="83" t="n">
        <x:f>IFERROR(INDEX('Resource Rate Library'!$I$5:$I$85,MATCH(P133,'Resource Rate Library'!$A$5:$A$85,0)),0)</x:f>
        <x:v>0</x:v>
      </x:c>
      <x:c r="X133" s="52"/>
      <x:c r="Y133" s="83" t="n">
        <x:f t="shared" si="8">IF(X133&gt;0,X133,W133)</x:f>
        <x:v>0</x:v>
      </x:c>
      <x:c r="Z133" s="83" t="str">
        <x:f t="shared" si="9">IF(B133="","",IF(N133="Time x Count",M133*R133*IF(U133="",1,U133)*Y133,IF(N133="QS Qty x Factor",E133*R133*(1+IF(V133="",0,V133))*Y133,IF(N133="Direct Qty",S133*(1+IF(V133="",0,V133))*Y133,IF(N133="Lump Sum / Quote",S133*Y133,0)))))</x:f>
      </x:c>
      <x:c r="AA133" s="81" t="str">
        <x:f>IFERROR(INDEX('Resource Rate Library'!$N$5:$N$85,MATCH(P133,'Resource Rate Library'!$A$5:$A$85,0)),"")</x:f>
      </x:c>
      <x:c r="AB133" s="53"/>
      <x:c r="AC133" s="59"/>
      <x:c r="AD133" s="81" t="str">
        <x:f>IFERROR(INDEX('Resource Rate Library'!$G$5:$G$85,MATCH(P133,'Resource Rate Library'!$A$5:$A$85,0)),"")</x:f>
      </x:c>
      <x:c r="AE133" s="81" t="str">
        <x:f>IFERROR(INDEX('Resource Rate Library'!$H$5:$H$85,MATCH(P133,'Resource Rate Library'!$A$5:$A$85,0)),"")</x:f>
      </x:c>
      <x:c r="AF133" s="53"/>
      <x:c r="AG133" s="53"/>
      <x:c r="AH133" s="53"/>
      <x:c r="AI133" s="81" t="str">
        <x:f t="shared" si="11">IF(B133="","",IF(AND(P133="",N133&lt;&gt;"Lump Sum / Quote"),"RESOURCE CODE",IF(Y133=0,"RATE MISSING",IF(AND(O133="Plant",AD133="Yes",COUNTIFS($B$7:$B$306,B133,$O$7:$O$306,"Labour",$Q$7:$Q$306,"*Operator*")&gt;0),"OPERATOR DOUBLE-COUNT",IF(AND(O133="Plant",AE133="Yes",COUNTIFS($B$7:$B$306,B133,$Q$7:$Q$306,"*Fuel*")&gt;0),"FUEL DOUBLE-COUNT",IF(AH133&lt;&gt;"Yes","VERIFY","OK"))))))</x:f>
      </x:c>
      <x:c r="AJ133" s="54"/>
      <x:c r="AK133" s="473"/>
      <x:c r="AL133" s="473"/>
      <x:c r="AM133" s="473"/>
      <x:c r="AN133" s="500" t="n">
        <x:f>IF(AND(AK133="Yes",OR(O133="Labour",O133="Plant")),Z133,0)</x:f>
        <x:v>0</x:v>
      </x:c>
    </x:row>
    <x:row r="134" ht="22.049999237060547" customHeight="1">
      <x:c r="A134" s="80" t="str">
        <x:f>IF(B134="","",B134&amp;"-"&amp;TEXT(COUNTIF($B$7:B134,B134),"000"))</x:f>
      </x:c>
      <x:c r="B134" s="53"/>
      <x:c r="C134" s="81" t="str">
        <x:f>IFERROR(INDEX('QS Takeoff'!$A$3:$A$194,MATCH(B134,'QS Takeoff'!$B$3:$B$194,0)),"")</x:f>
      </x:c>
      <x:c r="D134" s="81" t="str">
        <x:f>IFERROR(INDEX('QS Takeoff'!$C$3:$C$194,MATCH(B134,'QS Takeoff'!$B$3:$B$194,0)),"")</x:f>
      </x:c>
      <x:c r="E134" s="81" t="str">
        <x:f>IFERROR(INDEX('QS Takeoff'!$E$3:$E$194,MATCH(B134,'QS Takeoff'!$B$3:$B$194,0)),"")</x:f>
      </x:c>
      <x:c r="F134" s="81" t="str">
        <x:f>IFERROR(INDEX('QS Takeoff'!$D$3:$D$194,MATCH(B134,'QS Takeoff'!$B$3:$B$194,0)),"")</x:f>
      </x:c>
      <x:c r="G134" s="81" t="str">
        <x:f>IFERROR(INDEX('QS Takeoff'!$J$3:$J$194,MATCH(B134,'QS Takeoff'!$B$3:$B$194,0)),"")</x:f>
      </x:c>
      <x:c r="H134" s="53"/>
      <x:c r="I134" s="60"/>
      <x:c r="J134" s="60"/>
      <x:c r="K134" s="82" t="str">
        <x:f t="shared" si="6">IF(OR(B134="",I134="",I134=0),"",E134/I134)</x:f>
      </x:c>
      <x:c r="L134" s="60"/>
      <x:c r="M134" s="82" t="str">
        <x:f t="shared" si="7">IF(L134&gt;0,L134,K134)</x:f>
      </x:c>
      <x:c r="N134" s="53"/>
      <x:c r="O134" s="53"/>
      <x:c r="P134" s="53"/>
      <x:c r="Q134" s="81" t="str">
        <x:f>IFERROR(INDEX('Resource Rate Library'!$C$5:$C$85,MATCH(P134,'Resource Rate Library'!$A$5:$A$85,0)),"")</x:f>
      </x:c>
      <x:c r="R134" s="53"/>
      <x:c r="S134" s="53"/>
      <x:c r="T134" s="81" t="str">
        <x:f>IFERROR(INDEX('Resource Rate Library'!$E$5:$E$85,MATCH(P134,'Resource Rate Library'!$A$5:$A$85,0)),"")</x:f>
      </x:c>
      <x:c r="U134" s="62"/>
      <x:c r="V134" s="62"/>
      <x:c r="W134" s="83" t="n">
        <x:f>IFERROR(INDEX('Resource Rate Library'!$I$5:$I$85,MATCH(P134,'Resource Rate Library'!$A$5:$A$85,0)),0)</x:f>
        <x:v>0</x:v>
      </x:c>
      <x:c r="X134" s="52"/>
      <x:c r="Y134" s="83" t="n">
        <x:f t="shared" si="8">IF(X134&gt;0,X134,W134)</x:f>
        <x:v>0</x:v>
      </x:c>
      <x:c r="Z134" s="83" t="str">
        <x:f t="shared" si="9">IF(B134="","",IF(N134="Time x Count",M134*R134*IF(U134="",1,U134)*Y134,IF(N134="QS Qty x Factor",E134*R134*(1+IF(V134="",0,V134))*Y134,IF(N134="Direct Qty",S134*(1+IF(V134="",0,V134))*Y134,IF(N134="Lump Sum / Quote",S134*Y134,0)))))</x:f>
      </x:c>
      <x:c r="AA134" s="81" t="str">
        <x:f>IFERROR(INDEX('Resource Rate Library'!$N$5:$N$85,MATCH(P134,'Resource Rate Library'!$A$5:$A$85,0)),"")</x:f>
      </x:c>
      <x:c r="AB134" s="53"/>
      <x:c r="AC134" s="59"/>
      <x:c r="AD134" s="81" t="str">
        <x:f>IFERROR(INDEX('Resource Rate Library'!$G$5:$G$85,MATCH(P134,'Resource Rate Library'!$A$5:$A$85,0)),"")</x:f>
      </x:c>
      <x:c r="AE134" s="81" t="str">
        <x:f>IFERROR(INDEX('Resource Rate Library'!$H$5:$H$85,MATCH(P134,'Resource Rate Library'!$A$5:$A$85,0)),"")</x:f>
      </x:c>
      <x:c r="AF134" s="53"/>
      <x:c r="AG134" s="53"/>
      <x:c r="AH134" s="53"/>
      <x:c r="AI134" s="81" t="str">
        <x:f t="shared" si="11">IF(B134="","",IF(AND(P134="",N134&lt;&gt;"Lump Sum / Quote"),"RESOURCE CODE",IF(Y134=0,"RATE MISSING",IF(AND(O134="Plant",AD134="Yes",COUNTIFS($B$7:$B$306,B134,$O$7:$O$306,"Labour",$Q$7:$Q$306,"*Operator*")&gt;0),"OPERATOR DOUBLE-COUNT",IF(AND(O134="Plant",AE134="Yes",COUNTIFS($B$7:$B$306,B134,$Q$7:$Q$306,"*Fuel*")&gt;0),"FUEL DOUBLE-COUNT",IF(AH134&lt;&gt;"Yes","VERIFY","OK"))))))</x:f>
      </x:c>
      <x:c r="AJ134" s="54"/>
      <x:c r="AK134" s="473"/>
      <x:c r="AL134" s="473"/>
      <x:c r="AM134" s="473"/>
      <x:c r="AN134" s="500" t="n">
        <x:f>IF(AND(AK134="Yes",OR(O134="Labour",O134="Plant")),Z134,0)</x:f>
        <x:v>0</x:v>
      </x:c>
    </x:row>
    <x:row r="135" ht="22.049999237060547" customHeight="1">
      <x:c r="A135" s="80" t="str">
        <x:f>IF(B135="","",B135&amp;"-"&amp;TEXT(COUNTIF($B$7:B135,B135),"000"))</x:f>
      </x:c>
      <x:c r="B135" s="53"/>
      <x:c r="C135" s="81" t="str">
        <x:f>IFERROR(INDEX('QS Takeoff'!$A$3:$A$194,MATCH(B135,'QS Takeoff'!$B$3:$B$194,0)),"")</x:f>
      </x:c>
      <x:c r="D135" s="81" t="str">
        <x:f>IFERROR(INDEX('QS Takeoff'!$C$3:$C$194,MATCH(B135,'QS Takeoff'!$B$3:$B$194,0)),"")</x:f>
      </x:c>
      <x:c r="E135" s="81" t="str">
        <x:f>IFERROR(INDEX('QS Takeoff'!$E$3:$E$194,MATCH(B135,'QS Takeoff'!$B$3:$B$194,0)),"")</x:f>
      </x:c>
      <x:c r="F135" s="81" t="str">
        <x:f>IFERROR(INDEX('QS Takeoff'!$D$3:$D$194,MATCH(B135,'QS Takeoff'!$B$3:$B$194,0)),"")</x:f>
      </x:c>
      <x:c r="G135" s="81" t="str">
        <x:f>IFERROR(INDEX('QS Takeoff'!$J$3:$J$194,MATCH(B135,'QS Takeoff'!$B$3:$B$194,0)),"")</x:f>
      </x:c>
      <x:c r="H135" s="53"/>
      <x:c r="I135" s="60"/>
      <x:c r="J135" s="60"/>
      <x:c r="K135" s="82" t="str">
        <x:f t="shared" ref="K135:K198" si="12">IF(OR(B135="",I135="",I135=0),"",E135/I135)</x:f>
      </x:c>
      <x:c r="L135" s="60"/>
      <x:c r="M135" s="82" t="str">
        <x:f t="shared" ref="M135:M198" si="13">IF(L135&gt;0,L135,K135)</x:f>
      </x:c>
      <x:c r="N135" s="53"/>
      <x:c r="O135" s="53"/>
      <x:c r="P135" s="53"/>
      <x:c r="Q135" s="81" t="str">
        <x:f>IFERROR(INDEX('Resource Rate Library'!$C$5:$C$85,MATCH(P135,'Resource Rate Library'!$A$5:$A$85,0)),"")</x:f>
      </x:c>
      <x:c r="R135" s="53"/>
      <x:c r="S135" s="53"/>
      <x:c r="T135" s="81" t="str">
        <x:f>IFERROR(INDEX('Resource Rate Library'!$E$5:$E$85,MATCH(P135,'Resource Rate Library'!$A$5:$A$85,0)),"")</x:f>
      </x:c>
      <x:c r="U135" s="62"/>
      <x:c r="V135" s="62"/>
      <x:c r="W135" s="83" t="n">
        <x:f>IFERROR(INDEX('Resource Rate Library'!$I$5:$I$85,MATCH(P135,'Resource Rate Library'!$A$5:$A$85,0)),0)</x:f>
        <x:v>0</x:v>
      </x:c>
      <x:c r="X135" s="52"/>
      <x:c r="Y135" s="83" t="n">
        <x:f t="shared" ref="Y135:Y198" si="14">IF(X135&gt;0,X135,W135)</x:f>
        <x:v>0</x:v>
      </x:c>
      <x:c r="Z135" s="83" t="str">
        <x:f t="shared" ref="Z135:Z198" si="15">IF(B135="","",IF(N135="Time x Count",M135*R135*IF(U135="",1,U135)*Y135,IF(N135="QS Qty x Factor",E135*R135*(1+IF(V135="",0,V135))*Y135,IF(N135="Direct Qty",S135*(1+IF(V135="",0,V135))*Y135,IF(N135="Lump Sum / Quote",S135*Y135,0)))))</x:f>
      </x:c>
      <x:c r="AA135" s="81" t="str">
        <x:f>IFERROR(INDEX('Resource Rate Library'!$N$5:$N$85,MATCH(P135,'Resource Rate Library'!$A$5:$A$85,0)),"")</x:f>
      </x:c>
      <x:c r="AB135" s="53"/>
      <x:c r="AC135" s="59"/>
      <x:c r="AD135" s="81" t="str">
        <x:f>IFERROR(INDEX('Resource Rate Library'!$G$5:$G$85,MATCH(P135,'Resource Rate Library'!$A$5:$A$85,0)),"")</x:f>
      </x:c>
      <x:c r="AE135" s="81" t="str">
        <x:f>IFERROR(INDEX('Resource Rate Library'!$H$5:$H$85,MATCH(P135,'Resource Rate Library'!$A$5:$A$85,0)),"")</x:f>
      </x:c>
      <x:c r="AF135" s="53"/>
      <x:c r="AG135" s="53"/>
      <x:c r="AH135" s="53"/>
      <x:c r="AI135" s="81" t="str">
        <x:f t="shared" si="11">IF(B135="","",IF(AND(P135="",N135&lt;&gt;"Lump Sum / Quote"),"RESOURCE CODE",IF(Y135=0,"RATE MISSING",IF(AND(O135="Plant",AD135="Yes",COUNTIFS($B$7:$B$306,B135,$O$7:$O$306,"Labour",$Q$7:$Q$306,"*Operator*")&gt;0),"OPERATOR DOUBLE-COUNT",IF(AND(O135="Plant",AE135="Yes",COUNTIFS($B$7:$B$306,B135,$Q$7:$Q$306,"*Fuel*")&gt;0),"FUEL DOUBLE-COUNT",IF(AH135&lt;&gt;"Yes","VERIFY","OK"))))))</x:f>
      </x:c>
      <x:c r="AJ135" s="54"/>
      <x:c r="AK135" s="473"/>
      <x:c r="AL135" s="473"/>
      <x:c r="AM135" s="473"/>
      <x:c r="AN135" s="500" t="n">
        <x:f>IF(AND(AK135="Yes",OR(O135="Labour",O135="Plant")),Z135,0)</x:f>
        <x:v>0</x:v>
      </x:c>
    </x:row>
    <x:row r="136">
      <x:c r="A136" s="80" t="str">
        <x:f>IF(B136="","",B136&amp;"-"&amp;TEXT(COUNTIF($B$7:B136,B136),"000"))</x:f>
      </x:c>
      <x:c r="B136" s="53"/>
      <x:c r="C136" s="81" t="str">
        <x:f>IFERROR(INDEX('QS Takeoff'!$A$3:$A$194,MATCH(B136,'QS Takeoff'!$B$3:$B$194,0)),"")</x:f>
      </x:c>
      <x:c r="D136" s="81" t="str">
        <x:f>IFERROR(INDEX('QS Takeoff'!$C$3:$C$194,MATCH(B136,'QS Takeoff'!$B$3:$B$194,0)),"")</x:f>
      </x:c>
      <x:c r="E136" s="81" t="str">
        <x:f>IFERROR(INDEX('QS Takeoff'!$E$3:$E$194,MATCH(B136,'QS Takeoff'!$B$3:$B$194,0)),"")</x:f>
      </x:c>
      <x:c r="F136" s="81" t="str">
        <x:f>IFERROR(INDEX('QS Takeoff'!$D$3:$D$194,MATCH(B136,'QS Takeoff'!$B$3:$B$194,0)),"")</x:f>
      </x:c>
      <x:c r="G136" s="81" t="str">
        <x:f>IFERROR(INDEX('QS Takeoff'!$J$3:$J$194,MATCH(B136,'QS Takeoff'!$B$3:$B$194,0)),"")</x:f>
      </x:c>
      <x:c r="H136" s="53"/>
      <x:c r="I136" s="60"/>
      <x:c r="J136" s="60"/>
      <x:c r="K136" s="82" t="str">
        <x:f t="shared" si="12">IF(OR(B136="",I136="",I136=0),"",E136/I136)</x:f>
      </x:c>
      <x:c r="L136" s="60"/>
      <x:c r="M136" s="82" t="str">
        <x:f t="shared" si="13">IF(L136&gt;0,L136,K136)</x:f>
      </x:c>
      <x:c r="N136" s="53"/>
      <x:c r="O136" s="53"/>
      <x:c r="P136" s="53"/>
      <x:c r="Q136" s="81" t="str">
        <x:f>IFERROR(INDEX('Resource Rate Library'!$C$5:$C$85,MATCH(P136,'Resource Rate Library'!$A$5:$A$85,0)),"")</x:f>
      </x:c>
      <x:c r="R136" s="53"/>
      <x:c r="S136" s="53"/>
      <x:c r="T136" s="81" t="str">
        <x:f>IFERROR(INDEX('Resource Rate Library'!$E$5:$E$85,MATCH(P136,'Resource Rate Library'!$A$5:$A$85,0)),"")</x:f>
      </x:c>
      <x:c r="U136" s="62"/>
      <x:c r="V136" s="62"/>
      <x:c r="W136" s="83" t="n">
        <x:f>IFERROR(INDEX('Resource Rate Library'!$I$5:$I$85,MATCH(P136,'Resource Rate Library'!$A$5:$A$85,0)),0)</x:f>
        <x:v>0</x:v>
      </x:c>
      <x:c r="X136" s="52"/>
      <x:c r="Y136" s="83" t="n">
        <x:f t="shared" si="14">IF(X136&gt;0,X136,W136)</x:f>
        <x:v>0</x:v>
      </x:c>
      <x:c r="Z136" s="83" t="str">
        <x:f t="shared" si="15">IF(B136="","",IF(N136="Time x Count",M136*R136*IF(U136="",1,U136)*Y136,IF(N136="QS Qty x Factor",E136*R136*(1+IF(V136="",0,V136))*Y136,IF(N136="Direct Qty",S136*(1+IF(V136="",0,V136))*Y136,IF(N136="Lump Sum / Quote",S136*Y136,0)))))</x:f>
      </x:c>
      <x:c r="AA136" s="81" t="str">
        <x:f>IFERROR(INDEX('Resource Rate Library'!$N$5:$N$85,MATCH(P136,'Resource Rate Library'!$A$5:$A$85,0)),"")</x:f>
      </x:c>
      <x:c r="AB136" s="53"/>
      <x:c r="AC136" s="59"/>
      <x:c r="AD136" s="81" t="str">
        <x:f>IFERROR(INDEX('Resource Rate Library'!$G$5:$G$85,MATCH(P136,'Resource Rate Library'!$A$5:$A$85,0)),"")</x:f>
      </x:c>
      <x:c r="AE136" s="81" t="str">
        <x:f>IFERROR(INDEX('Resource Rate Library'!$H$5:$H$85,MATCH(P136,'Resource Rate Library'!$A$5:$A$85,0)),"")</x:f>
      </x:c>
      <x:c r="AF136" s="53"/>
      <x:c r="AG136" s="53"/>
      <x:c r="AH136" s="53"/>
      <x:c r="AI136" s="81" t="str">
        <x:f t="shared" si="11">IF(B136="","",IF(AND(P136="",N136&lt;&gt;"Lump Sum / Quote"),"RESOURCE CODE",IF(Y136=0,"RATE MISSING",IF(AND(O136="Plant",AD136="Yes",COUNTIFS($B$7:$B$306,B136,$O$7:$O$306,"Labour",$Q$7:$Q$306,"*Operator*")&gt;0),"OPERATOR DOUBLE-COUNT",IF(AND(O136="Plant",AE136="Yes",COUNTIFS($B$7:$B$306,B136,$Q$7:$Q$306,"*Fuel*")&gt;0),"FUEL DOUBLE-COUNT",IF(AH136&lt;&gt;"Yes","VERIFY","OK"))))))</x:f>
      </x:c>
      <x:c r="AJ136" s="54"/>
      <x:c r="AK136" s="473"/>
      <x:c r="AL136" s="473"/>
      <x:c r="AM136" s="473"/>
      <x:c r="AN136" s="500" t="n">
        <x:f>IF(AND(AK136="Yes",OR(O136="Labour",O136="Plant")),Z136,0)</x:f>
        <x:v>0</x:v>
      </x:c>
    </x:row>
    <x:row r="137">
      <x:c r="A137" s="80" t="str">
        <x:f>IF(B137="","",B137&amp;"-"&amp;TEXT(COUNTIF($B$7:B137,B137),"000"))</x:f>
      </x:c>
      <x:c r="B137" s="53"/>
      <x:c r="C137" s="81" t="str">
        <x:f>IFERROR(INDEX('QS Takeoff'!$A$3:$A$194,MATCH(B137,'QS Takeoff'!$B$3:$B$194,0)),"")</x:f>
      </x:c>
      <x:c r="D137" s="81" t="str">
        <x:f>IFERROR(INDEX('QS Takeoff'!$C$3:$C$194,MATCH(B137,'QS Takeoff'!$B$3:$B$194,0)),"")</x:f>
      </x:c>
      <x:c r="E137" s="81" t="str">
        <x:f>IFERROR(INDEX('QS Takeoff'!$E$3:$E$194,MATCH(B137,'QS Takeoff'!$B$3:$B$194,0)),"")</x:f>
      </x:c>
      <x:c r="F137" s="81" t="str">
        <x:f>IFERROR(INDEX('QS Takeoff'!$D$3:$D$194,MATCH(B137,'QS Takeoff'!$B$3:$B$194,0)),"")</x:f>
      </x:c>
      <x:c r="G137" s="81" t="str">
        <x:f>IFERROR(INDEX('QS Takeoff'!$J$3:$J$194,MATCH(B137,'QS Takeoff'!$B$3:$B$194,0)),"")</x:f>
      </x:c>
      <x:c r="H137" s="53"/>
      <x:c r="I137" s="60"/>
      <x:c r="J137" s="60"/>
      <x:c r="K137" s="82" t="str">
        <x:f t="shared" si="12">IF(OR(B137="",I137="",I137=0),"",E137/I137)</x:f>
      </x:c>
      <x:c r="L137" s="60"/>
      <x:c r="M137" s="82" t="str">
        <x:f t="shared" si="13">IF(L137&gt;0,L137,K137)</x:f>
      </x:c>
      <x:c r="N137" s="53"/>
      <x:c r="O137" s="53"/>
      <x:c r="P137" s="53"/>
      <x:c r="Q137" s="81" t="str">
        <x:f>IFERROR(INDEX('Resource Rate Library'!$C$5:$C$85,MATCH(P137,'Resource Rate Library'!$A$5:$A$85,0)),"")</x:f>
      </x:c>
      <x:c r="R137" s="53"/>
      <x:c r="S137" s="53"/>
      <x:c r="T137" s="81" t="str">
        <x:f>IFERROR(INDEX('Resource Rate Library'!$E$5:$E$85,MATCH(P137,'Resource Rate Library'!$A$5:$A$85,0)),"")</x:f>
      </x:c>
      <x:c r="U137" s="62"/>
      <x:c r="V137" s="62"/>
      <x:c r="W137" s="83" t="n">
        <x:f>IFERROR(INDEX('Resource Rate Library'!$I$5:$I$85,MATCH(P137,'Resource Rate Library'!$A$5:$A$85,0)),0)</x:f>
        <x:v>0</x:v>
      </x:c>
      <x:c r="X137" s="52"/>
      <x:c r="Y137" s="83" t="n">
        <x:f t="shared" si="14">IF(X137&gt;0,X137,W137)</x:f>
        <x:v>0</x:v>
      </x:c>
      <x:c r="Z137" s="83" t="str">
        <x:f t="shared" si="15">IF(B137="","",IF(N137="Time x Count",M137*R137*IF(U137="",1,U137)*Y137,IF(N137="QS Qty x Factor",E137*R137*(1+IF(V137="",0,V137))*Y137,IF(N137="Direct Qty",S137*(1+IF(V137="",0,V137))*Y137,IF(N137="Lump Sum / Quote",S137*Y137,0)))))</x:f>
      </x:c>
      <x:c r="AA137" s="81" t="str">
        <x:f>IFERROR(INDEX('Resource Rate Library'!$N$5:$N$85,MATCH(P137,'Resource Rate Library'!$A$5:$A$85,0)),"")</x:f>
      </x:c>
      <x:c r="AB137" s="53"/>
      <x:c r="AC137" s="59"/>
      <x:c r="AD137" s="81" t="str">
        <x:f>IFERROR(INDEX('Resource Rate Library'!$G$5:$G$85,MATCH(P137,'Resource Rate Library'!$A$5:$A$85,0)),"")</x:f>
      </x:c>
      <x:c r="AE137" s="81" t="str">
        <x:f>IFERROR(INDEX('Resource Rate Library'!$H$5:$H$85,MATCH(P137,'Resource Rate Library'!$A$5:$A$85,0)),"")</x:f>
      </x:c>
      <x:c r="AF137" s="53"/>
      <x:c r="AG137" s="53"/>
      <x:c r="AH137" s="53"/>
      <x:c r="AI137" s="81" t="str">
        <x:f t="shared" si="11">IF(B137="","",IF(AND(P137="",N137&lt;&gt;"Lump Sum / Quote"),"RESOURCE CODE",IF(Y137=0,"RATE MISSING",IF(AND(O137="Plant",AD137="Yes",COUNTIFS($B$7:$B$306,B137,$O$7:$O$306,"Labour",$Q$7:$Q$306,"*Operator*")&gt;0),"OPERATOR DOUBLE-COUNT",IF(AND(O137="Plant",AE137="Yes",COUNTIFS($B$7:$B$306,B137,$Q$7:$Q$306,"*Fuel*")&gt;0),"FUEL DOUBLE-COUNT",IF(AH137&lt;&gt;"Yes","VERIFY","OK"))))))</x:f>
      </x:c>
      <x:c r="AJ137" s="54"/>
      <x:c r="AK137" s="473"/>
      <x:c r="AL137" s="473"/>
      <x:c r="AM137" s="473"/>
      <x:c r="AN137" s="500" t="n">
        <x:f>IF(AND(AK137="Yes",OR(O137="Labour",O137="Plant")),Z137,0)</x:f>
        <x:v>0</x:v>
      </x:c>
    </x:row>
    <x:row r="138">
      <x:c r="A138" s="80" t="str">
        <x:f>IF(B138="","",B138&amp;"-"&amp;TEXT(COUNTIF($B$7:B138,B138),"000"))</x:f>
      </x:c>
      <x:c r="B138" s="53"/>
      <x:c r="C138" s="81" t="str">
        <x:f>IFERROR(INDEX('QS Takeoff'!$A$3:$A$194,MATCH(B138,'QS Takeoff'!$B$3:$B$194,0)),"")</x:f>
      </x:c>
      <x:c r="D138" s="81" t="str">
        <x:f>IFERROR(INDEX('QS Takeoff'!$C$3:$C$194,MATCH(B138,'QS Takeoff'!$B$3:$B$194,0)),"")</x:f>
      </x:c>
      <x:c r="E138" s="81" t="str">
        <x:f>IFERROR(INDEX('QS Takeoff'!$E$3:$E$194,MATCH(B138,'QS Takeoff'!$B$3:$B$194,0)),"")</x:f>
      </x:c>
      <x:c r="F138" s="81" t="str">
        <x:f>IFERROR(INDEX('QS Takeoff'!$D$3:$D$194,MATCH(B138,'QS Takeoff'!$B$3:$B$194,0)),"")</x:f>
      </x:c>
      <x:c r="G138" s="81" t="str">
        <x:f>IFERROR(INDEX('QS Takeoff'!$J$3:$J$194,MATCH(B138,'QS Takeoff'!$B$3:$B$194,0)),"")</x:f>
      </x:c>
      <x:c r="H138" s="53"/>
      <x:c r="I138" s="60"/>
      <x:c r="J138" s="60"/>
      <x:c r="K138" s="82" t="str">
        <x:f t="shared" si="12">IF(OR(B138="",I138="",I138=0),"",E138/I138)</x:f>
      </x:c>
      <x:c r="L138" s="60"/>
      <x:c r="M138" s="82" t="str">
        <x:f t="shared" si="13">IF(L138&gt;0,L138,K138)</x:f>
      </x:c>
      <x:c r="N138" s="53"/>
      <x:c r="O138" s="53"/>
      <x:c r="P138" s="53"/>
      <x:c r="Q138" s="81" t="str">
        <x:f>IFERROR(INDEX('Resource Rate Library'!$C$5:$C$85,MATCH(P138,'Resource Rate Library'!$A$5:$A$85,0)),"")</x:f>
      </x:c>
      <x:c r="R138" s="53"/>
      <x:c r="S138" s="53"/>
      <x:c r="T138" s="81" t="str">
        <x:f>IFERROR(INDEX('Resource Rate Library'!$E$5:$E$85,MATCH(P138,'Resource Rate Library'!$A$5:$A$85,0)),"")</x:f>
      </x:c>
      <x:c r="U138" s="62"/>
      <x:c r="V138" s="62"/>
      <x:c r="W138" s="83" t="n">
        <x:f>IFERROR(INDEX('Resource Rate Library'!$I$5:$I$85,MATCH(P138,'Resource Rate Library'!$A$5:$A$85,0)),0)</x:f>
        <x:v>0</x:v>
      </x:c>
      <x:c r="X138" s="52"/>
      <x:c r="Y138" s="83" t="n">
        <x:f t="shared" si="14">IF(X138&gt;0,X138,W138)</x:f>
        <x:v>0</x:v>
      </x:c>
      <x:c r="Z138" s="83" t="str">
        <x:f t="shared" si="15">IF(B138="","",IF(N138="Time x Count",M138*R138*IF(U138="",1,U138)*Y138,IF(N138="QS Qty x Factor",E138*R138*(1+IF(V138="",0,V138))*Y138,IF(N138="Direct Qty",S138*(1+IF(V138="",0,V138))*Y138,IF(N138="Lump Sum / Quote",S138*Y138,0)))))</x:f>
      </x:c>
      <x:c r="AA138" s="81" t="str">
        <x:f>IFERROR(INDEX('Resource Rate Library'!$N$5:$N$85,MATCH(P138,'Resource Rate Library'!$A$5:$A$85,0)),"")</x:f>
      </x:c>
      <x:c r="AB138" s="53"/>
      <x:c r="AC138" s="59"/>
      <x:c r="AD138" s="81" t="str">
        <x:f>IFERROR(INDEX('Resource Rate Library'!$G$5:$G$85,MATCH(P138,'Resource Rate Library'!$A$5:$A$85,0)),"")</x:f>
      </x:c>
      <x:c r="AE138" s="81" t="str">
        <x:f>IFERROR(INDEX('Resource Rate Library'!$H$5:$H$85,MATCH(P138,'Resource Rate Library'!$A$5:$A$85,0)),"")</x:f>
      </x:c>
      <x:c r="AF138" s="53"/>
      <x:c r="AG138" s="53"/>
      <x:c r="AH138" s="53"/>
      <x:c r="AI138" s="81" t="str">
        <x:f t="shared" si="11">IF(B138="","",IF(AND(P138="",N138&lt;&gt;"Lump Sum / Quote"),"RESOURCE CODE",IF(Y138=0,"RATE MISSING",IF(AND(O138="Plant",AD138="Yes",COUNTIFS($B$7:$B$306,B138,$O$7:$O$306,"Labour",$Q$7:$Q$306,"*Operator*")&gt;0),"OPERATOR DOUBLE-COUNT",IF(AND(O138="Plant",AE138="Yes",COUNTIFS($B$7:$B$306,B138,$Q$7:$Q$306,"*Fuel*")&gt;0),"FUEL DOUBLE-COUNT",IF(AH138&lt;&gt;"Yes","VERIFY","OK"))))))</x:f>
      </x:c>
      <x:c r="AJ138" s="54"/>
      <x:c r="AK138" s="473"/>
      <x:c r="AL138" s="473"/>
      <x:c r="AM138" s="473"/>
      <x:c r="AN138" s="500" t="n">
        <x:f>IF(AND(AK138="Yes",OR(O138="Labour",O138="Plant")),Z138,0)</x:f>
        <x:v>0</x:v>
      </x:c>
    </x:row>
    <x:row r="139">
      <x:c r="A139" s="80" t="str">
        <x:f>IF(B139="","",B139&amp;"-"&amp;TEXT(COUNTIF($B$7:B139,B139),"000"))</x:f>
      </x:c>
      <x:c r="B139" s="53"/>
      <x:c r="C139" s="81" t="str">
        <x:f>IFERROR(INDEX('QS Takeoff'!$A$3:$A$194,MATCH(B139,'QS Takeoff'!$B$3:$B$194,0)),"")</x:f>
      </x:c>
      <x:c r="D139" s="81" t="str">
        <x:f>IFERROR(INDEX('QS Takeoff'!$C$3:$C$194,MATCH(B139,'QS Takeoff'!$B$3:$B$194,0)),"")</x:f>
      </x:c>
      <x:c r="E139" s="81" t="str">
        <x:f>IFERROR(INDEX('QS Takeoff'!$E$3:$E$194,MATCH(B139,'QS Takeoff'!$B$3:$B$194,0)),"")</x:f>
      </x:c>
      <x:c r="F139" s="81" t="str">
        <x:f>IFERROR(INDEX('QS Takeoff'!$D$3:$D$194,MATCH(B139,'QS Takeoff'!$B$3:$B$194,0)),"")</x:f>
      </x:c>
      <x:c r="G139" s="81" t="str">
        <x:f>IFERROR(INDEX('QS Takeoff'!$J$3:$J$194,MATCH(B139,'QS Takeoff'!$B$3:$B$194,0)),"")</x:f>
      </x:c>
      <x:c r="H139" s="53"/>
      <x:c r="I139" s="60"/>
      <x:c r="J139" s="60"/>
      <x:c r="K139" s="82" t="str">
        <x:f t="shared" si="12">IF(OR(B139="",I139="",I139=0),"",E139/I139)</x:f>
      </x:c>
      <x:c r="L139" s="60"/>
      <x:c r="M139" s="82" t="str">
        <x:f t="shared" si="13">IF(L139&gt;0,L139,K139)</x:f>
      </x:c>
      <x:c r="N139" s="53"/>
      <x:c r="O139" s="53"/>
      <x:c r="P139" s="53"/>
      <x:c r="Q139" s="81" t="str">
        <x:f>IFERROR(INDEX('Resource Rate Library'!$C$5:$C$85,MATCH(P139,'Resource Rate Library'!$A$5:$A$85,0)),"")</x:f>
      </x:c>
      <x:c r="R139" s="53"/>
      <x:c r="S139" s="53"/>
      <x:c r="T139" s="81" t="str">
        <x:f>IFERROR(INDEX('Resource Rate Library'!$E$5:$E$85,MATCH(P139,'Resource Rate Library'!$A$5:$A$85,0)),"")</x:f>
      </x:c>
      <x:c r="U139" s="62"/>
      <x:c r="V139" s="62"/>
      <x:c r="W139" s="83" t="n">
        <x:f>IFERROR(INDEX('Resource Rate Library'!$I$5:$I$85,MATCH(P139,'Resource Rate Library'!$A$5:$A$85,0)),0)</x:f>
        <x:v>0</x:v>
      </x:c>
      <x:c r="X139" s="52"/>
      <x:c r="Y139" s="83" t="n">
        <x:f t="shared" si="14">IF(X139&gt;0,X139,W139)</x:f>
        <x:v>0</x:v>
      </x:c>
      <x:c r="Z139" s="83" t="str">
        <x:f t="shared" si="15">IF(B139="","",IF(N139="Time x Count",M139*R139*IF(U139="",1,U139)*Y139,IF(N139="QS Qty x Factor",E139*R139*(1+IF(V139="",0,V139))*Y139,IF(N139="Direct Qty",S139*(1+IF(V139="",0,V139))*Y139,IF(N139="Lump Sum / Quote",S139*Y139,0)))))</x:f>
      </x:c>
      <x:c r="AA139" s="81" t="str">
        <x:f>IFERROR(INDEX('Resource Rate Library'!$N$5:$N$85,MATCH(P139,'Resource Rate Library'!$A$5:$A$85,0)),"")</x:f>
      </x:c>
      <x:c r="AB139" s="53"/>
      <x:c r="AC139" s="59"/>
      <x:c r="AD139" s="81" t="str">
        <x:f>IFERROR(INDEX('Resource Rate Library'!$G$5:$G$85,MATCH(P139,'Resource Rate Library'!$A$5:$A$85,0)),"")</x:f>
      </x:c>
      <x:c r="AE139" s="81" t="str">
        <x:f>IFERROR(INDEX('Resource Rate Library'!$H$5:$H$85,MATCH(P139,'Resource Rate Library'!$A$5:$A$85,0)),"")</x:f>
      </x:c>
      <x:c r="AF139" s="53"/>
      <x:c r="AG139" s="53"/>
      <x:c r="AH139" s="53"/>
      <x:c r="AI139" s="81" t="str">
        <x:f t="shared" si="11">IF(B139="","",IF(AND(P139="",N139&lt;&gt;"Lump Sum / Quote"),"RESOURCE CODE",IF(Y139=0,"RATE MISSING",IF(AND(O139="Plant",AD139="Yes",COUNTIFS($B$7:$B$306,B139,$O$7:$O$306,"Labour",$Q$7:$Q$306,"*Operator*")&gt;0),"OPERATOR DOUBLE-COUNT",IF(AND(O139="Plant",AE139="Yes",COUNTIFS($B$7:$B$306,B139,$Q$7:$Q$306,"*Fuel*")&gt;0),"FUEL DOUBLE-COUNT",IF(AH139&lt;&gt;"Yes","VERIFY","OK"))))))</x:f>
      </x:c>
      <x:c r="AJ139" s="54"/>
      <x:c r="AK139" s="473"/>
      <x:c r="AL139" s="473"/>
      <x:c r="AM139" s="473"/>
      <x:c r="AN139" s="500" t="n">
        <x:f>IF(AND(AK139="Yes",OR(O139="Labour",O139="Plant")),Z139,0)</x:f>
        <x:v>0</x:v>
      </x:c>
    </x:row>
    <x:row r="140">
      <x:c r="A140" s="80" t="str">
        <x:f>IF(B140="","",B140&amp;"-"&amp;TEXT(COUNTIF($B$7:B140,B140),"000"))</x:f>
      </x:c>
      <x:c r="B140" s="53"/>
      <x:c r="C140" s="81" t="str">
        <x:f>IFERROR(INDEX('QS Takeoff'!$A$3:$A$194,MATCH(B140,'QS Takeoff'!$B$3:$B$194,0)),"")</x:f>
      </x:c>
      <x:c r="D140" s="81" t="str">
        <x:f>IFERROR(INDEX('QS Takeoff'!$C$3:$C$194,MATCH(B140,'QS Takeoff'!$B$3:$B$194,0)),"")</x:f>
      </x:c>
      <x:c r="E140" s="81" t="str">
        <x:f>IFERROR(INDEX('QS Takeoff'!$E$3:$E$194,MATCH(B140,'QS Takeoff'!$B$3:$B$194,0)),"")</x:f>
      </x:c>
      <x:c r="F140" s="81" t="str">
        <x:f>IFERROR(INDEX('QS Takeoff'!$D$3:$D$194,MATCH(B140,'QS Takeoff'!$B$3:$B$194,0)),"")</x:f>
      </x:c>
      <x:c r="G140" s="81" t="str">
        <x:f>IFERROR(INDEX('QS Takeoff'!$J$3:$J$194,MATCH(B140,'QS Takeoff'!$B$3:$B$194,0)),"")</x:f>
      </x:c>
      <x:c r="H140" s="53"/>
      <x:c r="I140" s="60"/>
      <x:c r="J140" s="60"/>
      <x:c r="K140" s="82" t="str">
        <x:f t="shared" si="12">IF(OR(B140="",I140="",I140=0),"",E140/I140)</x:f>
      </x:c>
      <x:c r="L140" s="60"/>
      <x:c r="M140" s="82" t="str">
        <x:f t="shared" si="13">IF(L140&gt;0,L140,K140)</x:f>
      </x:c>
      <x:c r="N140" s="53"/>
      <x:c r="O140" s="53"/>
      <x:c r="P140" s="53"/>
      <x:c r="Q140" s="81" t="str">
        <x:f>IFERROR(INDEX('Resource Rate Library'!$C$5:$C$85,MATCH(P140,'Resource Rate Library'!$A$5:$A$85,0)),"")</x:f>
      </x:c>
      <x:c r="R140" s="53"/>
      <x:c r="S140" s="53"/>
      <x:c r="T140" s="81" t="str">
        <x:f>IFERROR(INDEX('Resource Rate Library'!$E$5:$E$85,MATCH(P140,'Resource Rate Library'!$A$5:$A$85,0)),"")</x:f>
      </x:c>
      <x:c r="U140" s="62"/>
      <x:c r="V140" s="62"/>
      <x:c r="W140" s="83" t="n">
        <x:f>IFERROR(INDEX('Resource Rate Library'!$I$5:$I$85,MATCH(P140,'Resource Rate Library'!$A$5:$A$85,0)),0)</x:f>
        <x:v>0</x:v>
      </x:c>
      <x:c r="X140" s="52"/>
      <x:c r="Y140" s="83" t="n">
        <x:f t="shared" si="14">IF(X140&gt;0,X140,W140)</x:f>
        <x:v>0</x:v>
      </x:c>
      <x:c r="Z140" s="83" t="str">
        <x:f t="shared" si="15">IF(B140="","",IF(N140="Time x Count",M140*R140*IF(U140="",1,U140)*Y140,IF(N140="QS Qty x Factor",E140*R140*(1+IF(V140="",0,V140))*Y140,IF(N140="Direct Qty",S140*(1+IF(V140="",0,V140))*Y140,IF(N140="Lump Sum / Quote",S140*Y140,0)))))</x:f>
      </x:c>
      <x:c r="AA140" s="81" t="str">
        <x:f>IFERROR(INDEX('Resource Rate Library'!$N$5:$N$85,MATCH(P140,'Resource Rate Library'!$A$5:$A$85,0)),"")</x:f>
      </x:c>
      <x:c r="AB140" s="53"/>
      <x:c r="AC140" s="59"/>
      <x:c r="AD140" s="81" t="str">
        <x:f>IFERROR(INDEX('Resource Rate Library'!$G$5:$G$85,MATCH(P140,'Resource Rate Library'!$A$5:$A$85,0)),"")</x:f>
      </x:c>
      <x:c r="AE140" s="81" t="str">
        <x:f>IFERROR(INDEX('Resource Rate Library'!$H$5:$H$85,MATCH(P140,'Resource Rate Library'!$A$5:$A$85,0)),"")</x:f>
      </x:c>
      <x:c r="AF140" s="53"/>
      <x:c r="AG140" s="53"/>
      <x:c r="AH140" s="53"/>
      <x:c r="AI140" s="81" t="str">
        <x:f t="shared" si="11">IF(B140="","",IF(AND(P140="",N140&lt;&gt;"Lump Sum / Quote"),"RESOURCE CODE",IF(Y140=0,"RATE MISSING",IF(AND(O140="Plant",AD140="Yes",COUNTIFS($B$7:$B$306,B140,$O$7:$O$306,"Labour",$Q$7:$Q$306,"*Operator*")&gt;0),"OPERATOR DOUBLE-COUNT",IF(AND(O140="Plant",AE140="Yes",COUNTIFS($B$7:$B$306,B140,$Q$7:$Q$306,"*Fuel*")&gt;0),"FUEL DOUBLE-COUNT",IF(AH140&lt;&gt;"Yes","VERIFY","OK"))))))</x:f>
      </x:c>
      <x:c r="AJ140" s="54"/>
      <x:c r="AK140" s="473"/>
      <x:c r="AL140" s="473"/>
      <x:c r="AM140" s="473"/>
      <x:c r="AN140" s="500" t="n">
        <x:f>IF(AND(AK140="Yes",OR(O140="Labour",O140="Plant")),Z140,0)</x:f>
        <x:v>0</x:v>
      </x:c>
    </x:row>
    <x:row r="141">
      <x:c r="A141" s="80" t="str">
        <x:f>IF(B141="","",B141&amp;"-"&amp;TEXT(COUNTIF($B$7:B141,B141),"000"))</x:f>
      </x:c>
      <x:c r="B141" s="53"/>
      <x:c r="C141" s="81" t="str">
        <x:f>IFERROR(INDEX('QS Takeoff'!$A$3:$A$194,MATCH(B141,'QS Takeoff'!$B$3:$B$194,0)),"")</x:f>
      </x:c>
      <x:c r="D141" s="81" t="str">
        <x:f>IFERROR(INDEX('QS Takeoff'!$C$3:$C$194,MATCH(B141,'QS Takeoff'!$B$3:$B$194,0)),"")</x:f>
      </x:c>
      <x:c r="E141" s="81" t="str">
        <x:f>IFERROR(INDEX('QS Takeoff'!$E$3:$E$194,MATCH(B141,'QS Takeoff'!$B$3:$B$194,0)),"")</x:f>
      </x:c>
      <x:c r="F141" s="81" t="str">
        <x:f>IFERROR(INDEX('QS Takeoff'!$D$3:$D$194,MATCH(B141,'QS Takeoff'!$B$3:$B$194,0)),"")</x:f>
      </x:c>
      <x:c r="G141" s="81" t="str">
        <x:f>IFERROR(INDEX('QS Takeoff'!$J$3:$J$194,MATCH(B141,'QS Takeoff'!$B$3:$B$194,0)),"")</x:f>
      </x:c>
      <x:c r="H141" s="53"/>
      <x:c r="I141" s="60"/>
      <x:c r="J141" s="60"/>
      <x:c r="K141" s="82" t="str">
        <x:f t="shared" si="12">IF(OR(B141="",I141="",I141=0),"",E141/I141)</x:f>
      </x:c>
      <x:c r="L141" s="60"/>
      <x:c r="M141" s="82" t="str">
        <x:f t="shared" si="13">IF(L141&gt;0,L141,K141)</x:f>
      </x:c>
      <x:c r="N141" s="53"/>
      <x:c r="O141" s="53"/>
      <x:c r="P141" s="53"/>
      <x:c r="Q141" s="81" t="str">
        <x:f>IFERROR(INDEX('Resource Rate Library'!$C$5:$C$85,MATCH(P141,'Resource Rate Library'!$A$5:$A$85,0)),"")</x:f>
      </x:c>
      <x:c r="R141" s="53"/>
      <x:c r="S141" s="53"/>
      <x:c r="T141" s="81" t="str">
        <x:f>IFERROR(INDEX('Resource Rate Library'!$E$5:$E$85,MATCH(P141,'Resource Rate Library'!$A$5:$A$85,0)),"")</x:f>
      </x:c>
      <x:c r="U141" s="62"/>
      <x:c r="V141" s="62"/>
      <x:c r="W141" s="83" t="n">
        <x:f>IFERROR(INDEX('Resource Rate Library'!$I$5:$I$85,MATCH(P141,'Resource Rate Library'!$A$5:$A$85,0)),0)</x:f>
        <x:v>0</x:v>
      </x:c>
      <x:c r="X141" s="52"/>
      <x:c r="Y141" s="83" t="n">
        <x:f t="shared" si="14">IF(X141&gt;0,X141,W141)</x:f>
        <x:v>0</x:v>
      </x:c>
      <x:c r="Z141" s="83" t="str">
        <x:f t="shared" si="15">IF(B141="","",IF(N141="Time x Count",M141*R141*IF(U141="",1,U141)*Y141,IF(N141="QS Qty x Factor",E141*R141*(1+IF(V141="",0,V141))*Y141,IF(N141="Direct Qty",S141*(1+IF(V141="",0,V141))*Y141,IF(N141="Lump Sum / Quote",S141*Y141,0)))))</x:f>
      </x:c>
      <x:c r="AA141" s="81" t="str">
        <x:f>IFERROR(INDEX('Resource Rate Library'!$N$5:$N$85,MATCH(P141,'Resource Rate Library'!$A$5:$A$85,0)),"")</x:f>
      </x:c>
      <x:c r="AB141" s="53"/>
      <x:c r="AC141" s="59"/>
      <x:c r="AD141" s="81" t="str">
        <x:f>IFERROR(INDEX('Resource Rate Library'!$G$5:$G$85,MATCH(P141,'Resource Rate Library'!$A$5:$A$85,0)),"")</x:f>
      </x:c>
      <x:c r="AE141" s="81" t="str">
        <x:f>IFERROR(INDEX('Resource Rate Library'!$H$5:$H$85,MATCH(P141,'Resource Rate Library'!$A$5:$A$85,0)),"")</x:f>
      </x:c>
      <x:c r="AF141" s="53"/>
      <x:c r="AG141" s="53"/>
      <x:c r="AH141" s="53"/>
      <x:c r="AI141" s="81" t="str">
        <x:f t="shared" si="11">IF(B141="","",IF(AND(P141="",N141&lt;&gt;"Lump Sum / Quote"),"RESOURCE CODE",IF(Y141=0,"RATE MISSING",IF(AND(O141="Plant",AD141="Yes",COUNTIFS($B$7:$B$306,B141,$O$7:$O$306,"Labour",$Q$7:$Q$306,"*Operator*")&gt;0),"OPERATOR DOUBLE-COUNT",IF(AND(O141="Plant",AE141="Yes",COUNTIFS($B$7:$B$306,B141,$Q$7:$Q$306,"*Fuel*")&gt;0),"FUEL DOUBLE-COUNT",IF(AH141&lt;&gt;"Yes","VERIFY","OK"))))))</x:f>
      </x:c>
      <x:c r="AJ141" s="54"/>
      <x:c r="AK141" s="473"/>
      <x:c r="AL141" s="473"/>
      <x:c r="AM141" s="473"/>
      <x:c r="AN141" s="500" t="n">
        <x:f>IF(AND(AK141="Yes",OR(O141="Labour",O141="Plant")),Z141,0)</x:f>
        <x:v>0</x:v>
      </x:c>
    </x:row>
    <x:row r="142">
      <x:c r="A142" s="80" t="str">
        <x:f>IF(B142="","",B142&amp;"-"&amp;TEXT(COUNTIF($B$7:B142,B142),"000"))</x:f>
      </x:c>
      <x:c r="B142" s="53"/>
      <x:c r="C142" s="81" t="str">
        <x:f>IFERROR(INDEX('QS Takeoff'!$A$3:$A$194,MATCH(B142,'QS Takeoff'!$B$3:$B$194,0)),"")</x:f>
      </x:c>
      <x:c r="D142" s="81" t="str">
        <x:f>IFERROR(INDEX('QS Takeoff'!$C$3:$C$194,MATCH(B142,'QS Takeoff'!$B$3:$B$194,0)),"")</x:f>
      </x:c>
      <x:c r="E142" s="81" t="str">
        <x:f>IFERROR(INDEX('QS Takeoff'!$E$3:$E$194,MATCH(B142,'QS Takeoff'!$B$3:$B$194,0)),"")</x:f>
      </x:c>
      <x:c r="F142" s="81" t="str">
        <x:f>IFERROR(INDEX('QS Takeoff'!$D$3:$D$194,MATCH(B142,'QS Takeoff'!$B$3:$B$194,0)),"")</x:f>
      </x:c>
      <x:c r="G142" s="81" t="str">
        <x:f>IFERROR(INDEX('QS Takeoff'!$J$3:$J$194,MATCH(B142,'QS Takeoff'!$B$3:$B$194,0)),"")</x:f>
      </x:c>
      <x:c r="H142" s="53"/>
      <x:c r="I142" s="60"/>
      <x:c r="J142" s="60"/>
      <x:c r="K142" s="82" t="str">
        <x:f t="shared" si="12">IF(OR(B142="",I142="",I142=0),"",E142/I142)</x:f>
      </x:c>
      <x:c r="L142" s="60"/>
      <x:c r="M142" s="82" t="str">
        <x:f t="shared" si="13">IF(L142&gt;0,L142,K142)</x:f>
      </x:c>
      <x:c r="N142" s="53"/>
      <x:c r="O142" s="53"/>
      <x:c r="P142" s="53"/>
      <x:c r="Q142" s="81" t="str">
        <x:f>IFERROR(INDEX('Resource Rate Library'!$C$5:$C$85,MATCH(P142,'Resource Rate Library'!$A$5:$A$85,0)),"")</x:f>
      </x:c>
      <x:c r="R142" s="53"/>
      <x:c r="S142" s="53"/>
      <x:c r="T142" s="81" t="str">
        <x:f>IFERROR(INDEX('Resource Rate Library'!$E$5:$E$85,MATCH(P142,'Resource Rate Library'!$A$5:$A$85,0)),"")</x:f>
      </x:c>
      <x:c r="U142" s="62"/>
      <x:c r="V142" s="62"/>
      <x:c r="W142" s="83" t="n">
        <x:f>IFERROR(INDEX('Resource Rate Library'!$I$5:$I$85,MATCH(P142,'Resource Rate Library'!$A$5:$A$85,0)),0)</x:f>
        <x:v>0</x:v>
      </x:c>
      <x:c r="X142" s="52"/>
      <x:c r="Y142" s="83" t="n">
        <x:f t="shared" si="14">IF(X142&gt;0,X142,W142)</x:f>
        <x:v>0</x:v>
      </x:c>
      <x:c r="Z142" s="83" t="str">
        <x:f t="shared" si="15">IF(B142="","",IF(N142="Time x Count",M142*R142*IF(U142="",1,U142)*Y142,IF(N142="QS Qty x Factor",E142*R142*(1+IF(V142="",0,V142))*Y142,IF(N142="Direct Qty",S142*(1+IF(V142="",0,V142))*Y142,IF(N142="Lump Sum / Quote",S142*Y142,0)))))</x:f>
      </x:c>
      <x:c r="AA142" s="81" t="str">
        <x:f>IFERROR(INDEX('Resource Rate Library'!$N$5:$N$85,MATCH(P142,'Resource Rate Library'!$A$5:$A$85,0)),"")</x:f>
      </x:c>
      <x:c r="AB142" s="53"/>
      <x:c r="AC142" s="59"/>
      <x:c r="AD142" s="81" t="str">
        <x:f>IFERROR(INDEX('Resource Rate Library'!$G$5:$G$85,MATCH(P142,'Resource Rate Library'!$A$5:$A$85,0)),"")</x:f>
      </x:c>
      <x:c r="AE142" s="81" t="str">
        <x:f>IFERROR(INDEX('Resource Rate Library'!$H$5:$H$85,MATCH(P142,'Resource Rate Library'!$A$5:$A$85,0)),"")</x:f>
      </x:c>
      <x:c r="AF142" s="53"/>
      <x:c r="AG142" s="53"/>
      <x:c r="AH142" s="53"/>
      <x:c r="AI142" s="81" t="str">
        <x:f t="shared" si="11">IF(B142="","",IF(AND(P142="",N142&lt;&gt;"Lump Sum / Quote"),"RESOURCE CODE",IF(Y142=0,"RATE MISSING",IF(AND(O142="Plant",AD142="Yes",COUNTIFS($B$7:$B$306,B142,$O$7:$O$306,"Labour",$Q$7:$Q$306,"*Operator*")&gt;0),"OPERATOR DOUBLE-COUNT",IF(AND(O142="Plant",AE142="Yes",COUNTIFS($B$7:$B$306,B142,$Q$7:$Q$306,"*Fuel*")&gt;0),"FUEL DOUBLE-COUNT",IF(AH142&lt;&gt;"Yes","VERIFY","OK"))))))</x:f>
      </x:c>
      <x:c r="AJ142" s="54"/>
      <x:c r="AK142" s="473"/>
      <x:c r="AL142" s="473"/>
      <x:c r="AM142" s="473"/>
      <x:c r="AN142" s="500" t="n">
        <x:f>IF(AND(AK142="Yes",OR(O142="Labour",O142="Plant")),Z142,0)</x:f>
        <x:v>0</x:v>
      </x:c>
    </x:row>
    <x:row r="143">
      <x:c r="A143" s="80" t="str">
        <x:f>IF(B143="","",B143&amp;"-"&amp;TEXT(COUNTIF($B$7:B143,B143),"000"))</x:f>
      </x:c>
      <x:c r="B143" s="53"/>
      <x:c r="C143" s="81" t="str">
        <x:f>IFERROR(INDEX('QS Takeoff'!$A$3:$A$194,MATCH(B143,'QS Takeoff'!$B$3:$B$194,0)),"")</x:f>
      </x:c>
      <x:c r="D143" s="81" t="str">
        <x:f>IFERROR(INDEX('QS Takeoff'!$C$3:$C$194,MATCH(B143,'QS Takeoff'!$B$3:$B$194,0)),"")</x:f>
      </x:c>
      <x:c r="E143" s="81" t="str">
        <x:f>IFERROR(INDEX('QS Takeoff'!$E$3:$E$194,MATCH(B143,'QS Takeoff'!$B$3:$B$194,0)),"")</x:f>
      </x:c>
      <x:c r="F143" s="81" t="str">
        <x:f>IFERROR(INDEX('QS Takeoff'!$D$3:$D$194,MATCH(B143,'QS Takeoff'!$B$3:$B$194,0)),"")</x:f>
      </x:c>
      <x:c r="G143" s="81" t="str">
        <x:f>IFERROR(INDEX('QS Takeoff'!$J$3:$J$194,MATCH(B143,'QS Takeoff'!$B$3:$B$194,0)),"")</x:f>
      </x:c>
      <x:c r="H143" s="53"/>
      <x:c r="I143" s="60"/>
      <x:c r="J143" s="60"/>
      <x:c r="K143" s="82" t="str">
        <x:f t="shared" si="12">IF(OR(B143="",I143="",I143=0),"",E143/I143)</x:f>
      </x:c>
      <x:c r="L143" s="60"/>
      <x:c r="M143" s="82" t="str">
        <x:f t="shared" si="13">IF(L143&gt;0,L143,K143)</x:f>
      </x:c>
      <x:c r="N143" s="53"/>
      <x:c r="O143" s="53"/>
      <x:c r="P143" s="53"/>
      <x:c r="Q143" s="81" t="str">
        <x:f>IFERROR(INDEX('Resource Rate Library'!$C$5:$C$85,MATCH(P143,'Resource Rate Library'!$A$5:$A$85,0)),"")</x:f>
      </x:c>
      <x:c r="R143" s="53"/>
      <x:c r="S143" s="53"/>
      <x:c r="T143" s="81" t="str">
        <x:f>IFERROR(INDEX('Resource Rate Library'!$E$5:$E$85,MATCH(P143,'Resource Rate Library'!$A$5:$A$85,0)),"")</x:f>
      </x:c>
      <x:c r="U143" s="62"/>
      <x:c r="V143" s="62"/>
      <x:c r="W143" s="83" t="n">
        <x:f>IFERROR(INDEX('Resource Rate Library'!$I$5:$I$85,MATCH(P143,'Resource Rate Library'!$A$5:$A$85,0)),0)</x:f>
        <x:v>0</x:v>
      </x:c>
      <x:c r="X143" s="52"/>
      <x:c r="Y143" s="83" t="n">
        <x:f t="shared" si="14">IF(X143&gt;0,X143,W143)</x:f>
        <x:v>0</x:v>
      </x:c>
      <x:c r="Z143" s="83" t="str">
        <x:f t="shared" si="15">IF(B143="","",IF(N143="Time x Count",M143*R143*IF(U143="",1,U143)*Y143,IF(N143="QS Qty x Factor",E143*R143*(1+IF(V143="",0,V143))*Y143,IF(N143="Direct Qty",S143*(1+IF(V143="",0,V143))*Y143,IF(N143="Lump Sum / Quote",S143*Y143,0)))))</x:f>
      </x:c>
      <x:c r="AA143" s="81" t="str">
        <x:f>IFERROR(INDEX('Resource Rate Library'!$N$5:$N$85,MATCH(P143,'Resource Rate Library'!$A$5:$A$85,0)),"")</x:f>
      </x:c>
      <x:c r="AB143" s="53"/>
      <x:c r="AC143" s="59"/>
      <x:c r="AD143" s="81" t="str">
        <x:f>IFERROR(INDEX('Resource Rate Library'!$G$5:$G$85,MATCH(P143,'Resource Rate Library'!$A$5:$A$85,0)),"")</x:f>
      </x:c>
      <x:c r="AE143" s="81" t="str">
        <x:f>IFERROR(INDEX('Resource Rate Library'!$H$5:$H$85,MATCH(P143,'Resource Rate Library'!$A$5:$A$85,0)),"")</x:f>
      </x:c>
      <x:c r="AF143" s="53"/>
      <x:c r="AG143" s="53"/>
      <x:c r="AH143" s="53"/>
      <x:c r="AI143" s="81" t="str">
        <x:f t="shared" si="11">IF(B143="","",IF(AND(P143="",N143&lt;&gt;"Lump Sum / Quote"),"RESOURCE CODE",IF(Y143=0,"RATE MISSING",IF(AND(O143="Plant",AD143="Yes",COUNTIFS($B$7:$B$306,B143,$O$7:$O$306,"Labour",$Q$7:$Q$306,"*Operator*")&gt;0),"OPERATOR DOUBLE-COUNT",IF(AND(O143="Plant",AE143="Yes",COUNTIFS($B$7:$B$306,B143,$Q$7:$Q$306,"*Fuel*")&gt;0),"FUEL DOUBLE-COUNT",IF(AH143&lt;&gt;"Yes","VERIFY","OK"))))))</x:f>
      </x:c>
      <x:c r="AJ143" s="54"/>
      <x:c r="AK143" s="473"/>
      <x:c r="AL143" s="473"/>
      <x:c r="AM143" s="473"/>
      <x:c r="AN143" s="500" t="n">
        <x:f>IF(AND(AK143="Yes",OR(O143="Labour",O143="Plant")),Z143,0)</x:f>
        <x:v>0</x:v>
      </x:c>
    </x:row>
    <x:row r="144">
      <x:c r="A144" s="80" t="str">
        <x:f>IF(B144="","",B144&amp;"-"&amp;TEXT(COUNTIF($B$7:B144,B144),"000"))</x:f>
      </x:c>
      <x:c r="B144" s="53"/>
      <x:c r="C144" s="81" t="str">
        <x:f>IFERROR(INDEX('QS Takeoff'!$A$3:$A$194,MATCH(B144,'QS Takeoff'!$B$3:$B$194,0)),"")</x:f>
      </x:c>
      <x:c r="D144" s="81" t="str">
        <x:f>IFERROR(INDEX('QS Takeoff'!$C$3:$C$194,MATCH(B144,'QS Takeoff'!$B$3:$B$194,0)),"")</x:f>
      </x:c>
      <x:c r="E144" s="81" t="str">
        <x:f>IFERROR(INDEX('QS Takeoff'!$E$3:$E$194,MATCH(B144,'QS Takeoff'!$B$3:$B$194,0)),"")</x:f>
      </x:c>
      <x:c r="F144" s="81" t="str">
        <x:f>IFERROR(INDEX('QS Takeoff'!$D$3:$D$194,MATCH(B144,'QS Takeoff'!$B$3:$B$194,0)),"")</x:f>
      </x:c>
      <x:c r="G144" s="81" t="str">
        <x:f>IFERROR(INDEX('QS Takeoff'!$J$3:$J$194,MATCH(B144,'QS Takeoff'!$B$3:$B$194,0)),"")</x:f>
      </x:c>
      <x:c r="H144" s="53"/>
      <x:c r="I144" s="60"/>
      <x:c r="J144" s="60"/>
      <x:c r="K144" s="82" t="str">
        <x:f t="shared" si="12">IF(OR(B144="",I144="",I144=0),"",E144/I144)</x:f>
      </x:c>
      <x:c r="L144" s="60"/>
      <x:c r="M144" s="82" t="str">
        <x:f t="shared" si="13">IF(L144&gt;0,L144,K144)</x:f>
      </x:c>
      <x:c r="N144" s="53"/>
      <x:c r="O144" s="53"/>
      <x:c r="P144" s="53"/>
      <x:c r="Q144" s="81" t="str">
        <x:f>IFERROR(INDEX('Resource Rate Library'!$C$5:$C$85,MATCH(P144,'Resource Rate Library'!$A$5:$A$85,0)),"")</x:f>
      </x:c>
      <x:c r="R144" s="53"/>
      <x:c r="S144" s="53"/>
      <x:c r="T144" s="81" t="str">
        <x:f>IFERROR(INDEX('Resource Rate Library'!$E$5:$E$85,MATCH(P144,'Resource Rate Library'!$A$5:$A$85,0)),"")</x:f>
      </x:c>
      <x:c r="U144" s="62"/>
      <x:c r="V144" s="62"/>
      <x:c r="W144" s="83" t="n">
        <x:f>IFERROR(INDEX('Resource Rate Library'!$I$5:$I$85,MATCH(P144,'Resource Rate Library'!$A$5:$A$85,0)),0)</x:f>
        <x:v>0</x:v>
      </x:c>
      <x:c r="X144" s="52"/>
      <x:c r="Y144" s="83" t="n">
        <x:f t="shared" si="14">IF(X144&gt;0,X144,W144)</x:f>
        <x:v>0</x:v>
      </x:c>
      <x:c r="Z144" s="83" t="str">
        <x:f t="shared" si="15">IF(B144="","",IF(N144="Time x Count",M144*R144*IF(U144="",1,U144)*Y144,IF(N144="QS Qty x Factor",E144*R144*(1+IF(V144="",0,V144))*Y144,IF(N144="Direct Qty",S144*(1+IF(V144="",0,V144))*Y144,IF(N144="Lump Sum / Quote",S144*Y144,0)))))</x:f>
      </x:c>
      <x:c r="AA144" s="81" t="str">
        <x:f>IFERROR(INDEX('Resource Rate Library'!$N$5:$N$85,MATCH(P144,'Resource Rate Library'!$A$5:$A$85,0)),"")</x:f>
      </x:c>
      <x:c r="AB144" s="53"/>
      <x:c r="AC144" s="59"/>
      <x:c r="AD144" s="81" t="str">
        <x:f>IFERROR(INDEX('Resource Rate Library'!$G$5:$G$85,MATCH(P144,'Resource Rate Library'!$A$5:$A$85,0)),"")</x:f>
      </x:c>
      <x:c r="AE144" s="81" t="str">
        <x:f>IFERROR(INDEX('Resource Rate Library'!$H$5:$H$85,MATCH(P144,'Resource Rate Library'!$A$5:$A$85,0)),"")</x:f>
      </x:c>
      <x:c r="AF144" s="53"/>
      <x:c r="AG144" s="53"/>
      <x:c r="AH144" s="53"/>
      <x:c r="AI144" s="81" t="str">
        <x:f t="shared" si="11">IF(B144="","",IF(AND(P144="",N144&lt;&gt;"Lump Sum / Quote"),"RESOURCE CODE",IF(Y144=0,"RATE MISSING",IF(AND(O144="Plant",AD144="Yes",COUNTIFS($B$7:$B$306,B144,$O$7:$O$306,"Labour",$Q$7:$Q$306,"*Operator*")&gt;0),"OPERATOR DOUBLE-COUNT",IF(AND(O144="Plant",AE144="Yes",COUNTIFS($B$7:$B$306,B144,$Q$7:$Q$306,"*Fuel*")&gt;0),"FUEL DOUBLE-COUNT",IF(AH144&lt;&gt;"Yes","VERIFY","OK"))))))</x:f>
      </x:c>
      <x:c r="AJ144" s="54"/>
      <x:c r="AK144" s="473"/>
      <x:c r="AL144" s="473"/>
      <x:c r="AM144" s="473"/>
      <x:c r="AN144" s="500" t="n">
        <x:f>IF(AND(AK144="Yes",OR(O144="Labour",O144="Plant")),Z144,0)</x:f>
        <x:v>0</x:v>
      </x:c>
    </x:row>
    <x:row r="145">
      <x:c r="A145" s="80" t="str">
        <x:f>IF(B145="","",B145&amp;"-"&amp;TEXT(COUNTIF($B$7:B145,B145),"000"))</x:f>
      </x:c>
      <x:c r="B145" s="53"/>
      <x:c r="C145" s="81" t="str">
        <x:f>IFERROR(INDEX('QS Takeoff'!$A$3:$A$194,MATCH(B145,'QS Takeoff'!$B$3:$B$194,0)),"")</x:f>
      </x:c>
      <x:c r="D145" s="81" t="str">
        <x:f>IFERROR(INDEX('QS Takeoff'!$C$3:$C$194,MATCH(B145,'QS Takeoff'!$B$3:$B$194,0)),"")</x:f>
      </x:c>
      <x:c r="E145" s="81" t="str">
        <x:f>IFERROR(INDEX('QS Takeoff'!$E$3:$E$194,MATCH(B145,'QS Takeoff'!$B$3:$B$194,0)),"")</x:f>
      </x:c>
      <x:c r="F145" s="81" t="str">
        <x:f>IFERROR(INDEX('QS Takeoff'!$D$3:$D$194,MATCH(B145,'QS Takeoff'!$B$3:$B$194,0)),"")</x:f>
      </x:c>
      <x:c r="G145" s="81" t="str">
        <x:f>IFERROR(INDEX('QS Takeoff'!$J$3:$J$194,MATCH(B145,'QS Takeoff'!$B$3:$B$194,0)),"")</x:f>
      </x:c>
      <x:c r="H145" s="53"/>
      <x:c r="I145" s="60"/>
      <x:c r="J145" s="60"/>
      <x:c r="K145" s="82" t="str">
        <x:f t="shared" si="12">IF(OR(B145="",I145="",I145=0),"",E145/I145)</x:f>
      </x:c>
      <x:c r="L145" s="60"/>
      <x:c r="M145" s="82" t="str">
        <x:f t="shared" si="13">IF(L145&gt;0,L145,K145)</x:f>
      </x:c>
      <x:c r="N145" s="53"/>
      <x:c r="O145" s="53"/>
      <x:c r="P145" s="53"/>
      <x:c r="Q145" s="81" t="str">
        <x:f>IFERROR(INDEX('Resource Rate Library'!$C$5:$C$85,MATCH(P145,'Resource Rate Library'!$A$5:$A$85,0)),"")</x:f>
      </x:c>
      <x:c r="R145" s="53"/>
      <x:c r="S145" s="53"/>
      <x:c r="T145" s="81" t="str">
        <x:f>IFERROR(INDEX('Resource Rate Library'!$E$5:$E$85,MATCH(P145,'Resource Rate Library'!$A$5:$A$85,0)),"")</x:f>
      </x:c>
      <x:c r="U145" s="62"/>
      <x:c r="V145" s="62"/>
      <x:c r="W145" s="83" t="n">
        <x:f>IFERROR(INDEX('Resource Rate Library'!$I$5:$I$85,MATCH(P145,'Resource Rate Library'!$A$5:$A$85,0)),0)</x:f>
        <x:v>0</x:v>
      </x:c>
      <x:c r="X145" s="52"/>
      <x:c r="Y145" s="83" t="n">
        <x:f t="shared" si="14">IF(X145&gt;0,X145,W145)</x:f>
        <x:v>0</x:v>
      </x:c>
      <x:c r="Z145" s="83" t="str">
        <x:f t="shared" si="15">IF(B145="","",IF(N145="Time x Count",M145*R145*IF(U145="",1,U145)*Y145,IF(N145="QS Qty x Factor",E145*R145*(1+IF(V145="",0,V145))*Y145,IF(N145="Direct Qty",S145*(1+IF(V145="",0,V145))*Y145,IF(N145="Lump Sum / Quote",S145*Y145,0)))))</x:f>
      </x:c>
      <x:c r="AA145" s="81" t="str">
        <x:f>IFERROR(INDEX('Resource Rate Library'!$N$5:$N$85,MATCH(P145,'Resource Rate Library'!$A$5:$A$85,0)),"")</x:f>
      </x:c>
      <x:c r="AB145" s="53"/>
      <x:c r="AC145" s="59"/>
      <x:c r="AD145" s="81" t="str">
        <x:f>IFERROR(INDEX('Resource Rate Library'!$G$5:$G$85,MATCH(P145,'Resource Rate Library'!$A$5:$A$85,0)),"")</x:f>
      </x:c>
      <x:c r="AE145" s="81" t="str">
        <x:f>IFERROR(INDEX('Resource Rate Library'!$H$5:$H$85,MATCH(P145,'Resource Rate Library'!$A$5:$A$85,0)),"")</x:f>
      </x:c>
      <x:c r="AF145" s="53"/>
      <x:c r="AG145" s="53"/>
      <x:c r="AH145" s="53"/>
      <x:c r="AI145" s="81" t="str">
        <x:f t="shared" si="11">IF(B145="","",IF(AND(P145="",N145&lt;&gt;"Lump Sum / Quote"),"RESOURCE CODE",IF(Y145=0,"RATE MISSING",IF(AND(O145="Plant",AD145="Yes",COUNTIFS($B$7:$B$306,B145,$O$7:$O$306,"Labour",$Q$7:$Q$306,"*Operator*")&gt;0),"OPERATOR DOUBLE-COUNT",IF(AND(O145="Plant",AE145="Yes",COUNTIFS($B$7:$B$306,B145,$Q$7:$Q$306,"*Fuel*")&gt;0),"FUEL DOUBLE-COUNT",IF(AH145&lt;&gt;"Yes","VERIFY","OK"))))))</x:f>
      </x:c>
      <x:c r="AJ145" s="54"/>
      <x:c r="AK145" s="473"/>
      <x:c r="AL145" s="473"/>
      <x:c r="AM145" s="473"/>
      <x:c r="AN145" s="500" t="n">
        <x:f>IF(AND(AK145="Yes",OR(O145="Labour",O145="Plant")),Z145,0)</x:f>
        <x:v>0</x:v>
      </x:c>
    </x:row>
    <x:row r="146">
      <x:c r="A146" s="80" t="str">
        <x:f>IF(B146="","",B146&amp;"-"&amp;TEXT(COUNTIF($B$7:B146,B146),"000"))</x:f>
      </x:c>
      <x:c r="B146" s="53"/>
      <x:c r="C146" s="81" t="str">
        <x:f>IFERROR(INDEX('QS Takeoff'!$A$3:$A$194,MATCH(B146,'QS Takeoff'!$B$3:$B$194,0)),"")</x:f>
      </x:c>
      <x:c r="D146" s="81" t="str">
        <x:f>IFERROR(INDEX('QS Takeoff'!$C$3:$C$194,MATCH(B146,'QS Takeoff'!$B$3:$B$194,0)),"")</x:f>
      </x:c>
      <x:c r="E146" s="81" t="str">
        <x:f>IFERROR(INDEX('QS Takeoff'!$E$3:$E$194,MATCH(B146,'QS Takeoff'!$B$3:$B$194,0)),"")</x:f>
      </x:c>
      <x:c r="F146" s="81" t="str">
        <x:f>IFERROR(INDEX('QS Takeoff'!$D$3:$D$194,MATCH(B146,'QS Takeoff'!$B$3:$B$194,0)),"")</x:f>
      </x:c>
      <x:c r="G146" s="81" t="str">
        <x:f>IFERROR(INDEX('QS Takeoff'!$J$3:$J$194,MATCH(B146,'QS Takeoff'!$B$3:$B$194,0)),"")</x:f>
      </x:c>
      <x:c r="H146" s="53"/>
      <x:c r="I146" s="60"/>
      <x:c r="J146" s="60"/>
      <x:c r="K146" s="82" t="str">
        <x:f t="shared" si="12">IF(OR(B146="",I146="",I146=0),"",E146/I146)</x:f>
      </x:c>
      <x:c r="L146" s="60"/>
      <x:c r="M146" s="82" t="str">
        <x:f t="shared" si="13">IF(L146&gt;0,L146,K146)</x:f>
      </x:c>
      <x:c r="N146" s="53"/>
      <x:c r="O146" s="53"/>
      <x:c r="P146" s="53"/>
      <x:c r="Q146" s="81" t="str">
        <x:f>IFERROR(INDEX('Resource Rate Library'!$C$5:$C$85,MATCH(P146,'Resource Rate Library'!$A$5:$A$85,0)),"")</x:f>
      </x:c>
      <x:c r="R146" s="53"/>
      <x:c r="S146" s="53"/>
      <x:c r="T146" s="81" t="str">
        <x:f>IFERROR(INDEX('Resource Rate Library'!$E$5:$E$85,MATCH(P146,'Resource Rate Library'!$A$5:$A$85,0)),"")</x:f>
      </x:c>
      <x:c r="U146" s="62"/>
      <x:c r="V146" s="62"/>
      <x:c r="W146" s="83" t="n">
        <x:f>IFERROR(INDEX('Resource Rate Library'!$I$5:$I$85,MATCH(P146,'Resource Rate Library'!$A$5:$A$85,0)),0)</x:f>
        <x:v>0</x:v>
      </x:c>
      <x:c r="X146" s="52"/>
      <x:c r="Y146" s="83" t="n">
        <x:f t="shared" si="14">IF(X146&gt;0,X146,W146)</x:f>
        <x:v>0</x:v>
      </x:c>
      <x:c r="Z146" s="83" t="str">
        <x:f t="shared" si="15">IF(B146="","",IF(N146="Time x Count",M146*R146*IF(U146="",1,U146)*Y146,IF(N146="QS Qty x Factor",E146*R146*(1+IF(V146="",0,V146))*Y146,IF(N146="Direct Qty",S146*(1+IF(V146="",0,V146))*Y146,IF(N146="Lump Sum / Quote",S146*Y146,0)))))</x:f>
      </x:c>
      <x:c r="AA146" s="81" t="str">
        <x:f>IFERROR(INDEX('Resource Rate Library'!$N$5:$N$85,MATCH(P146,'Resource Rate Library'!$A$5:$A$85,0)),"")</x:f>
      </x:c>
      <x:c r="AB146" s="53"/>
      <x:c r="AC146" s="59"/>
      <x:c r="AD146" s="81" t="str">
        <x:f>IFERROR(INDEX('Resource Rate Library'!$G$5:$G$85,MATCH(P146,'Resource Rate Library'!$A$5:$A$85,0)),"")</x:f>
      </x:c>
      <x:c r="AE146" s="81" t="str">
        <x:f>IFERROR(INDEX('Resource Rate Library'!$H$5:$H$85,MATCH(P146,'Resource Rate Library'!$A$5:$A$85,0)),"")</x:f>
      </x:c>
      <x:c r="AF146" s="53"/>
      <x:c r="AG146" s="53"/>
      <x:c r="AH146" s="53"/>
      <x:c r="AI146" s="81" t="str">
        <x:f t="shared" si="11">IF(B146="","",IF(AND(P146="",N146&lt;&gt;"Lump Sum / Quote"),"RESOURCE CODE",IF(Y146=0,"RATE MISSING",IF(AND(O146="Plant",AD146="Yes",COUNTIFS($B$7:$B$306,B146,$O$7:$O$306,"Labour",$Q$7:$Q$306,"*Operator*")&gt;0),"OPERATOR DOUBLE-COUNT",IF(AND(O146="Plant",AE146="Yes",COUNTIFS($B$7:$B$306,B146,$Q$7:$Q$306,"*Fuel*")&gt;0),"FUEL DOUBLE-COUNT",IF(AH146&lt;&gt;"Yes","VERIFY","OK"))))))</x:f>
      </x:c>
      <x:c r="AJ146" s="54"/>
      <x:c r="AK146" s="473"/>
      <x:c r="AL146" s="473"/>
      <x:c r="AM146" s="473"/>
      <x:c r="AN146" s="500" t="n">
        <x:f>IF(AND(AK146="Yes",OR(O146="Labour",O146="Plant")),Z146,0)</x:f>
        <x:v>0</x:v>
      </x:c>
    </x:row>
    <x:row r="147">
      <x:c r="A147" s="80" t="str">
        <x:f>IF(B147="","",B147&amp;"-"&amp;TEXT(COUNTIF($B$7:B147,B147),"000"))</x:f>
      </x:c>
      <x:c r="B147" s="53"/>
      <x:c r="C147" s="81" t="str">
        <x:f>IFERROR(INDEX('QS Takeoff'!$A$3:$A$194,MATCH(B147,'QS Takeoff'!$B$3:$B$194,0)),"")</x:f>
      </x:c>
      <x:c r="D147" s="81" t="str">
        <x:f>IFERROR(INDEX('QS Takeoff'!$C$3:$C$194,MATCH(B147,'QS Takeoff'!$B$3:$B$194,0)),"")</x:f>
      </x:c>
      <x:c r="E147" s="81" t="str">
        <x:f>IFERROR(INDEX('QS Takeoff'!$E$3:$E$194,MATCH(B147,'QS Takeoff'!$B$3:$B$194,0)),"")</x:f>
      </x:c>
      <x:c r="F147" s="81" t="str">
        <x:f>IFERROR(INDEX('QS Takeoff'!$D$3:$D$194,MATCH(B147,'QS Takeoff'!$B$3:$B$194,0)),"")</x:f>
      </x:c>
      <x:c r="G147" s="81" t="str">
        <x:f>IFERROR(INDEX('QS Takeoff'!$J$3:$J$194,MATCH(B147,'QS Takeoff'!$B$3:$B$194,0)),"")</x:f>
      </x:c>
      <x:c r="H147" s="53"/>
      <x:c r="I147" s="60"/>
      <x:c r="J147" s="60"/>
      <x:c r="K147" s="82" t="str">
        <x:f t="shared" si="12">IF(OR(B147="",I147="",I147=0),"",E147/I147)</x:f>
      </x:c>
      <x:c r="L147" s="60"/>
      <x:c r="M147" s="82" t="str">
        <x:f t="shared" si="13">IF(L147&gt;0,L147,K147)</x:f>
      </x:c>
      <x:c r="N147" s="53"/>
      <x:c r="O147" s="53"/>
      <x:c r="P147" s="53"/>
      <x:c r="Q147" s="81" t="str">
        <x:f>IFERROR(INDEX('Resource Rate Library'!$C$5:$C$85,MATCH(P147,'Resource Rate Library'!$A$5:$A$85,0)),"")</x:f>
      </x:c>
      <x:c r="R147" s="53"/>
      <x:c r="S147" s="53"/>
      <x:c r="T147" s="81" t="str">
        <x:f>IFERROR(INDEX('Resource Rate Library'!$E$5:$E$85,MATCH(P147,'Resource Rate Library'!$A$5:$A$85,0)),"")</x:f>
      </x:c>
      <x:c r="U147" s="62"/>
      <x:c r="V147" s="62"/>
      <x:c r="W147" s="83" t="n">
        <x:f>IFERROR(INDEX('Resource Rate Library'!$I$5:$I$85,MATCH(P147,'Resource Rate Library'!$A$5:$A$85,0)),0)</x:f>
        <x:v>0</x:v>
      </x:c>
      <x:c r="X147" s="52"/>
      <x:c r="Y147" s="83" t="n">
        <x:f t="shared" si="14">IF(X147&gt;0,X147,W147)</x:f>
        <x:v>0</x:v>
      </x:c>
      <x:c r="Z147" s="83" t="str">
        <x:f t="shared" si="15">IF(B147="","",IF(N147="Time x Count",M147*R147*IF(U147="",1,U147)*Y147,IF(N147="QS Qty x Factor",E147*R147*(1+IF(V147="",0,V147))*Y147,IF(N147="Direct Qty",S147*(1+IF(V147="",0,V147))*Y147,IF(N147="Lump Sum / Quote",S147*Y147,0)))))</x:f>
      </x:c>
      <x:c r="AA147" s="81" t="str">
        <x:f>IFERROR(INDEX('Resource Rate Library'!$N$5:$N$85,MATCH(P147,'Resource Rate Library'!$A$5:$A$85,0)),"")</x:f>
      </x:c>
      <x:c r="AB147" s="53"/>
      <x:c r="AC147" s="59"/>
      <x:c r="AD147" s="81" t="str">
        <x:f>IFERROR(INDEX('Resource Rate Library'!$G$5:$G$85,MATCH(P147,'Resource Rate Library'!$A$5:$A$85,0)),"")</x:f>
      </x:c>
      <x:c r="AE147" s="81" t="str">
        <x:f>IFERROR(INDEX('Resource Rate Library'!$H$5:$H$85,MATCH(P147,'Resource Rate Library'!$A$5:$A$85,0)),"")</x:f>
      </x:c>
      <x:c r="AF147" s="53"/>
      <x:c r="AG147" s="53"/>
      <x:c r="AH147" s="53"/>
      <x:c r="AI147" s="81" t="str">
        <x:f t="shared" si="11">IF(B147="","",IF(AND(P147="",N147&lt;&gt;"Lump Sum / Quote"),"RESOURCE CODE",IF(Y147=0,"RATE MISSING",IF(AND(O147="Plant",AD147="Yes",COUNTIFS($B$7:$B$306,B147,$O$7:$O$306,"Labour",$Q$7:$Q$306,"*Operator*")&gt;0),"OPERATOR DOUBLE-COUNT",IF(AND(O147="Plant",AE147="Yes",COUNTIFS($B$7:$B$306,B147,$Q$7:$Q$306,"*Fuel*")&gt;0),"FUEL DOUBLE-COUNT",IF(AH147&lt;&gt;"Yes","VERIFY","OK"))))))</x:f>
      </x:c>
      <x:c r="AJ147" s="54"/>
      <x:c r="AK147" s="473"/>
      <x:c r="AL147" s="473"/>
      <x:c r="AM147" s="473"/>
      <x:c r="AN147" s="500" t="n">
        <x:f>IF(AND(AK147="Yes",OR(O147="Labour",O147="Plant")),Z147,0)</x:f>
        <x:v>0</x:v>
      </x:c>
    </x:row>
    <x:row r="148">
      <x:c r="A148" s="80" t="str">
        <x:f>IF(B148="","",B148&amp;"-"&amp;TEXT(COUNTIF($B$7:B148,B148),"000"))</x:f>
      </x:c>
      <x:c r="B148" s="53"/>
      <x:c r="C148" s="81" t="str">
        <x:f>IFERROR(INDEX('QS Takeoff'!$A$3:$A$194,MATCH(B148,'QS Takeoff'!$B$3:$B$194,0)),"")</x:f>
      </x:c>
      <x:c r="D148" s="81" t="str">
        <x:f>IFERROR(INDEX('QS Takeoff'!$C$3:$C$194,MATCH(B148,'QS Takeoff'!$B$3:$B$194,0)),"")</x:f>
      </x:c>
      <x:c r="E148" s="81" t="str">
        <x:f>IFERROR(INDEX('QS Takeoff'!$E$3:$E$194,MATCH(B148,'QS Takeoff'!$B$3:$B$194,0)),"")</x:f>
      </x:c>
      <x:c r="F148" s="81" t="str">
        <x:f>IFERROR(INDEX('QS Takeoff'!$D$3:$D$194,MATCH(B148,'QS Takeoff'!$B$3:$B$194,0)),"")</x:f>
      </x:c>
      <x:c r="G148" s="81" t="str">
        <x:f>IFERROR(INDEX('QS Takeoff'!$J$3:$J$194,MATCH(B148,'QS Takeoff'!$B$3:$B$194,0)),"")</x:f>
      </x:c>
      <x:c r="H148" s="53"/>
      <x:c r="I148" s="60"/>
      <x:c r="J148" s="60"/>
      <x:c r="K148" s="82" t="str">
        <x:f t="shared" si="12">IF(OR(B148="",I148="",I148=0),"",E148/I148)</x:f>
      </x:c>
      <x:c r="L148" s="60"/>
      <x:c r="M148" s="82" t="str">
        <x:f t="shared" si="13">IF(L148&gt;0,L148,K148)</x:f>
      </x:c>
      <x:c r="N148" s="53"/>
      <x:c r="O148" s="53"/>
      <x:c r="P148" s="53"/>
      <x:c r="Q148" s="81" t="str">
        <x:f>IFERROR(INDEX('Resource Rate Library'!$C$5:$C$85,MATCH(P148,'Resource Rate Library'!$A$5:$A$85,0)),"")</x:f>
      </x:c>
      <x:c r="R148" s="53"/>
      <x:c r="S148" s="53"/>
      <x:c r="T148" s="81" t="str">
        <x:f>IFERROR(INDEX('Resource Rate Library'!$E$5:$E$85,MATCH(P148,'Resource Rate Library'!$A$5:$A$85,0)),"")</x:f>
      </x:c>
      <x:c r="U148" s="62"/>
      <x:c r="V148" s="62"/>
      <x:c r="W148" s="83" t="n">
        <x:f>IFERROR(INDEX('Resource Rate Library'!$I$5:$I$85,MATCH(P148,'Resource Rate Library'!$A$5:$A$85,0)),0)</x:f>
        <x:v>0</x:v>
      </x:c>
      <x:c r="X148" s="52"/>
      <x:c r="Y148" s="83" t="n">
        <x:f t="shared" si="14">IF(X148&gt;0,X148,W148)</x:f>
        <x:v>0</x:v>
      </x:c>
      <x:c r="Z148" s="83" t="str">
        <x:f t="shared" si="15">IF(B148="","",IF(N148="Time x Count",M148*R148*IF(U148="",1,U148)*Y148,IF(N148="QS Qty x Factor",E148*R148*(1+IF(V148="",0,V148))*Y148,IF(N148="Direct Qty",S148*(1+IF(V148="",0,V148))*Y148,IF(N148="Lump Sum / Quote",S148*Y148,0)))))</x:f>
      </x:c>
      <x:c r="AA148" s="81" t="str">
        <x:f>IFERROR(INDEX('Resource Rate Library'!$N$5:$N$85,MATCH(P148,'Resource Rate Library'!$A$5:$A$85,0)),"")</x:f>
      </x:c>
      <x:c r="AB148" s="53"/>
      <x:c r="AC148" s="59"/>
      <x:c r="AD148" s="81" t="str">
        <x:f>IFERROR(INDEX('Resource Rate Library'!$G$5:$G$85,MATCH(P148,'Resource Rate Library'!$A$5:$A$85,0)),"")</x:f>
      </x:c>
      <x:c r="AE148" s="81" t="str">
        <x:f>IFERROR(INDEX('Resource Rate Library'!$H$5:$H$85,MATCH(P148,'Resource Rate Library'!$A$5:$A$85,0)),"")</x:f>
      </x:c>
      <x:c r="AF148" s="53"/>
      <x:c r="AG148" s="53"/>
      <x:c r="AH148" s="53"/>
      <x:c r="AI148" s="81" t="str">
        <x:f t="shared" si="11">IF(B148="","",IF(AND(P148="",N148&lt;&gt;"Lump Sum / Quote"),"RESOURCE CODE",IF(Y148=0,"RATE MISSING",IF(AND(O148="Plant",AD148="Yes",COUNTIFS($B$7:$B$306,B148,$O$7:$O$306,"Labour",$Q$7:$Q$306,"*Operator*")&gt;0),"OPERATOR DOUBLE-COUNT",IF(AND(O148="Plant",AE148="Yes",COUNTIFS($B$7:$B$306,B148,$Q$7:$Q$306,"*Fuel*")&gt;0),"FUEL DOUBLE-COUNT",IF(AH148&lt;&gt;"Yes","VERIFY","OK"))))))</x:f>
      </x:c>
      <x:c r="AJ148" s="54"/>
      <x:c r="AK148" s="473"/>
      <x:c r="AL148" s="473"/>
      <x:c r="AM148" s="473"/>
      <x:c r="AN148" s="500" t="n">
        <x:f>IF(AND(AK148="Yes",OR(O148="Labour",O148="Plant")),Z148,0)</x:f>
        <x:v>0</x:v>
      </x:c>
    </x:row>
    <x:row r="149">
      <x:c r="A149" s="80" t="str">
        <x:f>IF(B149="","",B149&amp;"-"&amp;TEXT(COUNTIF($B$7:B149,B149),"000"))</x:f>
      </x:c>
      <x:c r="B149" s="53"/>
      <x:c r="C149" s="81" t="str">
        <x:f>IFERROR(INDEX('QS Takeoff'!$A$3:$A$194,MATCH(B149,'QS Takeoff'!$B$3:$B$194,0)),"")</x:f>
      </x:c>
      <x:c r="D149" s="81" t="str">
        <x:f>IFERROR(INDEX('QS Takeoff'!$C$3:$C$194,MATCH(B149,'QS Takeoff'!$B$3:$B$194,0)),"")</x:f>
      </x:c>
      <x:c r="E149" s="81" t="str">
        <x:f>IFERROR(INDEX('QS Takeoff'!$E$3:$E$194,MATCH(B149,'QS Takeoff'!$B$3:$B$194,0)),"")</x:f>
      </x:c>
      <x:c r="F149" s="81" t="str">
        <x:f>IFERROR(INDEX('QS Takeoff'!$D$3:$D$194,MATCH(B149,'QS Takeoff'!$B$3:$B$194,0)),"")</x:f>
      </x:c>
      <x:c r="G149" s="81" t="str">
        <x:f>IFERROR(INDEX('QS Takeoff'!$J$3:$J$194,MATCH(B149,'QS Takeoff'!$B$3:$B$194,0)),"")</x:f>
      </x:c>
      <x:c r="H149" s="53"/>
      <x:c r="I149" s="60"/>
      <x:c r="J149" s="60"/>
      <x:c r="K149" s="82" t="str">
        <x:f t="shared" si="12">IF(OR(B149="",I149="",I149=0),"",E149/I149)</x:f>
      </x:c>
      <x:c r="L149" s="60"/>
      <x:c r="M149" s="82" t="str">
        <x:f t="shared" si="13">IF(L149&gt;0,L149,K149)</x:f>
      </x:c>
      <x:c r="N149" s="53"/>
      <x:c r="O149" s="53"/>
      <x:c r="P149" s="53"/>
      <x:c r="Q149" s="81" t="str">
        <x:f>IFERROR(INDEX('Resource Rate Library'!$C$5:$C$85,MATCH(P149,'Resource Rate Library'!$A$5:$A$85,0)),"")</x:f>
      </x:c>
      <x:c r="R149" s="53"/>
      <x:c r="S149" s="53"/>
      <x:c r="T149" s="81" t="str">
        <x:f>IFERROR(INDEX('Resource Rate Library'!$E$5:$E$85,MATCH(P149,'Resource Rate Library'!$A$5:$A$85,0)),"")</x:f>
      </x:c>
      <x:c r="U149" s="62"/>
      <x:c r="V149" s="62"/>
      <x:c r="W149" s="83" t="n">
        <x:f>IFERROR(INDEX('Resource Rate Library'!$I$5:$I$85,MATCH(P149,'Resource Rate Library'!$A$5:$A$85,0)),0)</x:f>
        <x:v>0</x:v>
      </x:c>
      <x:c r="X149" s="52"/>
      <x:c r="Y149" s="83" t="n">
        <x:f t="shared" si="14">IF(X149&gt;0,X149,W149)</x:f>
        <x:v>0</x:v>
      </x:c>
      <x:c r="Z149" s="83" t="str">
        <x:f t="shared" si="15">IF(B149="","",IF(N149="Time x Count",M149*R149*IF(U149="",1,U149)*Y149,IF(N149="QS Qty x Factor",E149*R149*(1+IF(V149="",0,V149))*Y149,IF(N149="Direct Qty",S149*(1+IF(V149="",0,V149))*Y149,IF(N149="Lump Sum / Quote",S149*Y149,0)))))</x:f>
      </x:c>
      <x:c r="AA149" s="81" t="str">
        <x:f>IFERROR(INDEX('Resource Rate Library'!$N$5:$N$85,MATCH(P149,'Resource Rate Library'!$A$5:$A$85,0)),"")</x:f>
      </x:c>
      <x:c r="AB149" s="53"/>
      <x:c r="AC149" s="59"/>
      <x:c r="AD149" s="81" t="str">
        <x:f>IFERROR(INDEX('Resource Rate Library'!$G$5:$G$85,MATCH(P149,'Resource Rate Library'!$A$5:$A$85,0)),"")</x:f>
      </x:c>
      <x:c r="AE149" s="81" t="str">
        <x:f>IFERROR(INDEX('Resource Rate Library'!$H$5:$H$85,MATCH(P149,'Resource Rate Library'!$A$5:$A$85,0)),"")</x:f>
      </x:c>
      <x:c r="AF149" s="53"/>
      <x:c r="AG149" s="53"/>
      <x:c r="AH149" s="53"/>
      <x:c r="AI149" s="81" t="str">
        <x:f t="shared" si="11">IF(B149="","",IF(AND(P149="",N149&lt;&gt;"Lump Sum / Quote"),"RESOURCE CODE",IF(Y149=0,"RATE MISSING",IF(AND(O149="Plant",AD149="Yes",COUNTIFS($B$7:$B$306,B149,$O$7:$O$306,"Labour",$Q$7:$Q$306,"*Operator*")&gt;0),"OPERATOR DOUBLE-COUNT",IF(AND(O149="Plant",AE149="Yes",COUNTIFS($B$7:$B$306,B149,$Q$7:$Q$306,"*Fuel*")&gt;0),"FUEL DOUBLE-COUNT",IF(AH149&lt;&gt;"Yes","VERIFY","OK"))))))</x:f>
      </x:c>
      <x:c r="AJ149" s="54"/>
      <x:c r="AK149" s="473"/>
      <x:c r="AL149" s="473"/>
      <x:c r="AM149" s="473"/>
      <x:c r="AN149" s="500" t="n">
        <x:f>IF(AND(AK149="Yes",OR(O149="Labour",O149="Plant")),Z149,0)</x:f>
        <x:v>0</x:v>
      </x:c>
    </x:row>
    <x:row r="150">
      <x:c r="A150" s="80" t="str">
        <x:f>IF(B150="","",B150&amp;"-"&amp;TEXT(COUNTIF($B$7:B150,B150),"000"))</x:f>
      </x:c>
      <x:c r="B150" s="53"/>
      <x:c r="C150" s="81" t="str">
        <x:f>IFERROR(INDEX('QS Takeoff'!$A$3:$A$194,MATCH(B150,'QS Takeoff'!$B$3:$B$194,0)),"")</x:f>
      </x:c>
      <x:c r="D150" s="81" t="str">
        <x:f>IFERROR(INDEX('QS Takeoff'!$C$3:$C$194,MATCH(B150,'QS Takeoff'!$B$3:$B$194,0)),"")</x:f>
      </x:c>
      <x:c r="E150" s="81" t="str">
        <x:f>IFERROR(INDEX('QS Takeoff'!$E$3:$E$194,MATCH(B150,'QS Takeoff'!$B$3:$B$194,0)),"")</x:f>
      </x:c>
      <x:c r="F150" s="81" t="str">
        <x:f>IFERROR(INDEX('QS Takeoff'!$D$3:$D$194,MATCH(B150,'QS Takeoff'!$B$3:$B$194,0)),"")</x:f>
      </x:c>
      <x:c r="G150" s="81" t="str">
        <x:f>IFERROR(INDEX('QS Takeoff'!$J$3:$J$194,MATCH(B150,'QS Takeoff'!$B$3:$B$194,0)),"")</x:f>
      </x:c>
      <x:c r="H150" s="53"/>
      <x:c r="I150" s="60"/>
      <x:c r="J150" s="60"/>
      <x:c r="K150" s="82" t="str">
        <x:f t="shared" si="12">IF(OR(B150="",I150="",I150=0),"",E150/I150)</x:f>
      </x:c>
      <x:c r="L150" s="60"/>
      <x:c r="M150" s="82" t="str">
        <x:f t="shared" si="13">IF(L150&gt;0,L150,K150)</x:f>
      </x:c>
      <x:c r="N150" s="53"/>
      <x:c r="O150" s="53"/>
      <x:c r="P150" s="53"/>
      <x:c r="Q150" s="81" t="str">
        <x:f>IFERROR(INDEX('Resource Rate Library'!$C$5:$C$85,MATCH(P150,'Resource Rate Library'!$A$5:$A$85,0)),"")</x:f>
      </x:c>
      <x:c r="R150" s="53"/>
      <x:c r="S150" s="53"/>
      <x:c r="T150" s="81" t="str">
        <x:f>IFERROR(INDEX('Resource Rate Library'!$E$5:$E$85,MATCH(P150,'Resource Rate Library'!$A$5:$A$85,0)),"")</x:f>
      </x:c>
      <x:c r="U150" s="62"/>
      <x:c r="V150" s="62"/>
      <x:c r="W150" s="83" t="n">
        <x:f>IFERROR(INDEX('Resource Rate Library'!$I$5:$I$85,MATCH(P150,'Resource Rate Library'!$A$5:$A$85,0)),0)</x:f>
        <x:v>0</x:v>
      </x:c>
      <x:c r="X150" s="52"/>
      <x:c r="Y150" s="83" t="n">
        <x:f t="shared" si="14">IF(X150&gt;0,X150,W150)</x:f>
        <x:v>0</x:v>
      </x:c>
      <x:c r="Z150" s="83" t="str">
        <x:f t="shared" si="15">IF(B150="","",IF(N150="Time x Count",M150*R150*IF(U150="",1,U150)*Y150,IF(N150="QS Qty x Factor",E150*R150*(1+IF(V150="",0,V150))*Y150,IF(N150="Direct Qty",S150*(1+IF(V150="",0,V150))*Y150,IF(N150="Lump Sum / Quote",S150*Y150,0)))))</x:f>
      </x:c>
      <x:c r="AA150" s="81" t="str">
        <x:f>IFERROR(INDEX('Resource Rate Library'!$N$5:$N$85,MATCH(P150,'Resource Rate Library'!$A$5:$A$85,0)),"")</x:f>
      </x:c>
      <x:c r="AB150" s="53"/>
      <x:c r="AC150" s="59"/>
      <x:c r="AD150" s="81" t="str">
        <x:f>IFERROR(INDEX('Resource Rate Library'!$G$5:$G$85,MATCH(P150,'Resource Rate Library'!$A$5:$A$85,0)),"")</x:f>
      </x:c>
      <x:c r="AE150" s="81" t="str">
        <x:f>IFERROR(INDEX('Resource Rate Library'!$H$5:$H$85,MATCH(P150,'Resource Rate Library'!$A$5:$A$85,0)),"")</x:f>
      </x:c>
      <x:c r="AF150" s="53"/>
      <x:c r="AG150" s="53"/>
      <x:c r="AH150" s="53"/>
      <x:c r="AI150" s="81" t="str">
        <x:f t="shared" si="11">IF(B150="","",IF(AND(P150="",N150&lt;&gt;"Lump Sum / Quote"),"RESOURCE CODE",IF(Y150=0,"RATE MISSING",IF(AND(O150="Plant",AD150="Yes",COUNTIFS($B$7:$B$306,B150,$O$7:$O$306,"Labour",$Q$7:$Q$306,"*Operator*")&gt;0),"OPERATOR DOUBLE-COUNT",IF(AND(O150="Plant",AE150="Yes",COUNTIFS($B$7:$B$306,B150,$Q$7:$Q$306,"*Fuel*")&gt;0),"FUEL DOUBLE-COUNT",IF(AH150&lt;&gt;"Yes","VERIFY","OK"))))))</x:f>
      </x:c>
      <x:c r="AJ150" s="54"/>
      <x:c r="AK150" s="473"/>
      <x:c r="AL150" s="473"/>
      <x:c r="AM150" s="473"/>
      <x:c r="AN150" s="500" t="n">
        <x:f>IF(AND(AK150="Yes",OR(O150="Labour",O150="Plant")),Z150,0)</x:f>
        <x:v>0</x:v>
      </x:c>
    </x:row>
    <x:row r="151">
      <x:c r="A151" s="80" t="str">
        <x:f>IF(B151="","",B151&amp;"-"&amp;TEXT(COUNTIF($B$7:B151,B151),"000"))</x:f>
      </x:c>
      <x:c r="B151" s="53"/>
      <x:c r="C151" s="81" t="str">
        <x:f>IFERROR(INDEX('QS Takeoff'!$A$3:$A$194,MATCH(B151,'QS Takeoff'!$B$3:$B$194,0)),"")</x:f>
      </x:c>
      <x:c r="D151" s="81" t="str">
        <x:f>IFERROR(INDEX('QS Takeoff'!$C$3:$C$194,MATCH(B151,'QS Takeoff'!$B$3:$B$194,0)),"")</x:f>
      </x:c>
      <x:c r="E151" s="81" t="str">
        <x:f>IFERROR(INDEX('QS Takeoff'!$E$3:$E$194,MATCH(B151,'QS Takeoff'!$B$3:$B$194,0)),"")</x:f>
      </x:c>
      <x:c r="F151" s="81" t="str">
        <x:f>IFERROR(INDEX('QS Takeoff'!$D$3:$D$194,MATCH(B151,'QS Takeoff'!$B$3:$B$194,0)),"")</x:f>
      </x:c>
      <x:c r="G151" s="81" t="str">
        <x:f>IFERROR(INDEX('QS Takeoff'!$J$3:$J$194,MATCH(B151,'QS Takeoff'!$B$3:$B$194,0)),"")</x:f>
      </x:c>
      <x:c r="H151" s="53"/>
      <x:c r="I151" s="60"/>
      <x:c r="J151" s="60"/>
      <x:c r="K151" s="82" t="str">
        <x:f t="shared" si="12">IF(OR(B151="",I151="",I151=0),"",E151/I151)</x:f>
      </x:c>
      <x:c r="L151" s="60"/>
      <x:c r="M151" s="82" t="str">
        <x:f t="shared" si="13">IF(L151&gt;0,L151,K151)</x:f>
      </x:c>
      <x:c r="N151" s="53"/>
      <x:c r="O151" s="53"/>
      <x:c r="P151" s="53"/>
      <x:c r="Q151" s="81" t="str">
        <x:f>IFERROR(INDEX('Resource Rate Library'!$C$5:$C$85,MATCH(P151,'Resource Rate Library'!$A$5:$A$85,0)),"")</x:f>
      </x:c>
      <x:c r="R151" s="53"/>
      <x:c r="S151" s="53"/>
      <x:c r="T151" s="81" t="str">
        <x:f>IFERROR(INDEX('Resource Rate Library'!$E$5:$E$85,MATCH(P151,'Resource Rate Library'!$A$5:$A$85,0)),"")</x:f>
      </x:c>
      <x:c r="U151" s="62"/>
      <x:c r="V151" s="62"/>
      <x:c r="W151" s="83" t="n">
        <x:f>IFERROR(INDEX('Resource Rate Library'!$I$5:$I$85,MATCH(P151,'Resource Rate Library'!$A$5:$A$85,0)),0)</x:f>
        <x:v>0</x:v>
      </x:c>
      <x:c r="X151" s="52"/>
      <x:c r="Y151" s="83" t="n">
        <x:f t="shared" si="14">IF(X151&gt;0,X151,W151)</x:f>
        <x:v>0</x:v>
      </x:c>
      <x:c r="Z151" s="83" t="str">
        <x:f t="shared" si="15">IF(B151="","",IF(N151="Time x Count",M151*R151*IF(U151="",1,U151)*Y151,IF(N151="QS Qty x Factor",E151*R151*(1+IF(V151="",0,V151))*Y151,IF(N151="Direct Qty",S151*(1+IF(V151="",0,V151))*Y151,IF(N151="Lump Sum / Quote",S151*Y151,0)))))</x:f>
      </x:c>
      <x:c r="AA151" s="81" t="str">
        <x:f>IFERROR(INDEX('Resource Rate Library'!$N$5:$N$85,MATCH(P151,'Resource Rate Library'!$A$5:$A$85,0)),"")</x:f>
      </x:c>
      <x:c r="AB151" s="53"/>
      <x:c r="AC151" s="59"/>
      <x:c r="AD151" s="81" t="str">
        <x:f>IFERROR(INDEX('Resource Rate Library'!$G$5:$G$85,MATCH(P151,'Resource Rate Library'!$A$5:$A$85,0)),"")</x:f>
      </x:c>
      <x:c r="AE151" s="81" t="str">
        <x:f>IFERROR(INDEX('Resource Rate Library'!$H$5:$H$85,MATCH(P151,'Resource Rate Library'!$A$5:$A$85,0)),"")</x:f>
      </x:c>
      <x:c r="AF151" s="53"/>
      <x:c r="AG151" s="53"/>
      <x:c r="AH151" s="53"/>
      <x:c r="AI151" s="81" t="str">
        <x:f t="shared" si="11">IF(B151="","",IF(AND(P151="",N151&lt;&gt;"Lump Sum / Quote"),"RESOURCE CODE",IF(Y151=0,"RATE MISSING",IF(AND(O151="Plant",AD151="Yes",COUNTIFS($B$7:$B$306,B151,$O$7:$O$306,"Labour",$Q$7:$Q$306,"*Operator*")&gt;0),"OPERATOR DOUBLE-COUNT",IF(AND(O151="Plant",AE151="Yes",COUNTIFS($B$7:$B$306,B151,$Q$7:$Q$306,"*Fuel*")&gt;0),"FUEL DOUBLE-COUNT",IF(AH151&lt;&gt;"Yes","VERIFY","OK"))))))</x:f>
      </x:c>
      <x:c r="AJ151" s="54"/>
      <x:c r="AK151" s="473"/>
      <x:c r="AL151" s="473"/>
      <x:c r="AM151" s="473"/>
      <x:c r="AN151" s="500" t="n">
        <x:f>IF(AND(AK151="Yes",OR(O151="Labour",O151="Plant")),Z151,0)</x:f>
        <x:v>0</x:v>
      </x:c>
    </x:row>
    <x:row r="152">
      <x:c r="A152" s="80" t="str">
        <x:f>IF(B152="","",B152&amp;"-"&amp;TEXT(COUNTIF($B$7:B152,B152),"000"))</x:f>
      </x:c>
      <x:c r="B152" s="53"/>
      <x:c r="C152" s="81" t="str">
        <x:f>IFERROR(INDEX('QS Takeoff'!$A$3:$A$194,MATCH(B152,'QS Takeoff'!$B$3:$B$194,0)),"")</x:f>
      </x:c>
      <x:c r="D152" s="81" t="str">
        <x:f>IFERROR(INDEX('QS Takeoff'!$C$3:$C$194,MATCH(B152,'QS Takeoff'!$B$3:$B$194,0)),"")</x:f>
      </x:c>
      <x:c r="E152" s="81" t="str">
        <x:f>IFERROR(INDEX('QS Takeoff'!$E$3:$E$194,MATCH(B152,'QS Takeoff'!$B$3:$B$194,0)),"")</x:f>
      </x:c>
      <x:c r="F152" s="81" t="str">
        <x:f>IFERROR(INDEX('QS Takeoff'!$D$3:$D$194,MATCH(B152,'QS Takeoff'!$B$3:$B$194,0)),"")</x:f>
      </x:c>
      <x:c r="G152" s="81" t="str">
        <x:f>IFERROR(INDEX('QS Takeoff'!$J$3:$J$194,MATCH(B152,'QS Takeoff'!$B$3:$B$194,0)),"")</x:f>
      </x:c>
      <x:c r="H152" s="53"/>
      <x:c r="I152" s="60"/>
      <x:c r="J152" s="60"/>
      <x:c r="K152" s="82" t="str">
        <x:f t="shared" si="12">IF(OR(B152="",I152="",I152=0),"",E152/I152)</x:f>
      </x:c>
      <x:c r="L152" s="60"/>
      <x:c r="M152" s="82" t="str">
        <x:f t="shared" si="13">IF(L152&gt;0,L152,K152)</x:f>
      </x:c>
      <x:c r="N152" s="53"/>
      <x:c r="O152" s="53"/>
      <x:c r="P152" s="53"/>
      <x:c r="Q152" s="81" t="str">
        <x:f>IFERROR(INDEX('Resource Rate Library'!$C$5:$C$85,MATCH(P152,'Resource Rate Library'!$A$5:$A$85,0)),"")</x:f>
      </x:c>
      <x:c r="R152" s="53"/>
      <x:c r="S152" s="53"/>
      <x:c r="T152" s="81" t="str">
        <x:f>IFERROR(INDEX('Resource Rate Library'!$E$5:$E$85,MATCH(P152,'Resource Rate Library'!$A$5:$A$85,0)),"")</x:f>
      </x:c>
      <x:c r="U152" s="62"/>
      <x:c r="V152" s="62"/>
      <x:c r="W152" s="83" t="n">
        <x:f>IFERROR(INDEX('Resource Rate Library'!$I$5:$I$85,MATCH(P152,'Resource Rate Library'!$A$5:$A$85,0)),0)</x:f>
        <x:v>0</x:v>
      </x:c>
      <x:c r="X152" s="52"/>
      <x:c r="Y152" s="83" t="n">
        <x:f t="shared" si="14">IF(X152&gt;0,X152,W152)</x:f>
        <x:v>0</x:v>
      </x:c>
      <x:c r="Z152" s="83" t="str">
        <x:f t="shared" si="15">IF(B152="","",IF(N152="Time x Count",M152*R152*IF(U152="",1,U152)*Y152,IF(N152="QS Qty x Factor",E152*R152*(1+IF(V152="",0,V152))*Y152,IF(N152="Direct Qty",S152*(1+IF(V152="",0,V152))*Y152,IF(N152="Lump Sum / Quote",S152*Y152,0)))))</x:f>
      </x:c>
      <x:c r="AA152" s="81" t="str">
        <x:f>IFERROR(INDEX('Resource Rate Library'!$N$5:$N$85,MATCH(P152,'Resource Rate Library'!$A$5:$A$85,0)),"")</x:f>
      </x:c>
      <x:c r="AB152" s="53"/>
      <x:c r="AC152" s="59"/>
      <x:c r="AD152" s="81" t="str">
        <x:f>IFERROR(INDEX('Resource Rate Library'!$G$5:$G$85,MATCH(P152,'Resource Rate Library'!$A$5:$A$85,0)),"")</x:f>
      </x:c>
      <x:c r="AE152" s="81" t="str">
        <x:f>IFERROR(INDEX('Resource Rate Library'!$H$5:$H$85,MATCH(P152,'Resource Rate Library'!$A$5:$A$85,0)),"")</x:f>
      </x:c>
      <x:c r="AF152" s="53"/>
      <x:c r="AG152" s="53"/>
      <x:c r="AH152" s="53"/>
      <x:c r="AI152" s="81" t="str">
        <x:f t="shared" si="11">IF(B152="","",IF(AND(P152="",N152&lt;&gt;"Lump Sum / Quote"),"RESOURCE CODE",IF(Y152=0,"RATE MISSING",IF(AND(O152="Plant",AD152="Yes",COUNTIFS($B$7:$B$306,B152,$O$7:$O$306,"Labour",$Q$7:$Q$306,"*Operator*")&gt;0),"OPERATOR DOUBLE-COUNT",IF(AND(O152="Plant",AE152="Yes",COUNTIFS($B$7:$B$306,B152,$Q$7:$Q$306,"*Fuel*")&gt;0),"FUEL DOUBLE-COUNT",IF(AH152&lt;&gt;"Yes","VERIFY","OK"))))))</x:f>
      </x:c>
      <x:c r="AJ152" s="54"/>
      <x:c r="AK152" s="473"/>
      <x:c r="AL152" s="473"/>
      <x:c r="AM152" s="473"/>
      <x:c r="AN152" s="500" t="n">
        <x:f>IF(AND(AK152="Yes",OR(O152="Labour",O152="Plant")),Z152,0)</x:f>
        <x:v>0</x:v>
      </x:c>
    </x:row>
    <x:row r="153">
      <x:c r="A153" s="80" t="str">
        <x:f>IF(B153="","",B153&amp;"-"&amp;TEXT(COUNTIF($B$7:B153,B153),"000"))</x:f>
      </x:c>
      <x:c r="B153" s="53"/>
      <x:c r="C153" s="81" t="str">
        <x:f>IFERROR(INDEX('QS Takeoff'!$A$3:$A$194,MATCH(B153,'QS Takeoff'!$B$3:$B$194,0)),"")</x:f>
      </x:c>
      <x:c r="D153" s="81" t="str">
        <x:f>IFERROR(INDEX('QS Takeoff'!$C$3:$C$194,MATCH(B153,'QS Takeoff'!$B$3:$B$194,0)),"")</x:f>
      </x:c>
      <x:c r="E153" s="81" t="str">
        <x:f>IFERROR(INDEX('QS Takeoff'!$E$3:$E$194,MATCH(B153,'QS Takeoff'!$B$3:$B$194,0)),"")</x:f>
      </x:c>
      <x:c r="F153" s="81" t="str">
        <x:f>IFERROR(INDEX('QS Takeoff'!$D$3:$D$194,MATCH(B153,'QS Takeoff'!$B$3:$B$194,0)),"")</x:f>
      </x:c>
      <x:c r="G153" s="81" t="str">
        <x:f>IFERROR(INDEX('QS Takeoff'!$J$3:$J$194,MATCH(B153,'QS Takeoff'!$B$3:$B$194,0)),"")</x:f>
      </x:c>
      <x:c r="H153" s="53"/>
      <x:c r="I153" s="60"/>
      <x:c r="J153" s="60"/>
      <x:c r="K153" s="82" t="str">
        <x:f t="shared" si="12">IF(OR(B153="",I153="",I153=0),"",E153/I153)</x:f>
      </x:c>
      <x:c r="L153" s="60"/>
      <x:c r="M153" s="82" t="str">
        <x:f t="shared" si="13">IF(L153&gt;0,L153,K153)</x:f>
      </x:c>
      <x:c r="N153" s="53"/>
      <x:c r="O153" s="53"/>
      <x:c r="P153" s="53"/>
      <x:c r="Q153" s="81" t="str">
        <x:f>IFERROR(INDEX('Resource Rate Library'!$C$5:$C$85,MATCH(P153,'Resource Rate Library'!$A$5:$A$85,0)),"")</x:f>
      </x:c>
      <x:c r="R153" s="53"/>
      <x:c r="S153" s="53"/>
      <x:c r="T153" s="81" t="str">
        <x:f>IFERROR(INDEX('Resource Rate Library'!$E$5:$E$85,MATCH(P153,'Resource Rate Library'!$A$5:$A$85,0)),"")</x:f>
      </x:c>
      <x:c r="U153" s="62"/>
      <x:c r="V153" s="62"/>
      <x:c r="W153" s="83" t="n">
        <x:f>IFERROR(INDEX('Resource Rate Library'!$I$5:$I$85,MATCH(P153,'Resource Rate Library'!$A$5:$A$85,0)),0)</x:f>
        <x:v>0</x:v>
      </x:c>
      <x:c r="X153" s="52"/>
      <x:c r="Y153" s="83" t="n">
        <x:f t="shared" si="14">IF(X153&gt;0,X153,W153)</x:f>
        <x:v>0</x:v>
      </x:c>
      <x:c r="Z153" s="83" t="str">
        <x:f t="shared" si="15">IF(B153="","",IF(N153="Time x Count",M153*R153*IF(U153="",1,U153)*Y153,IF(N153="QS Qty x Factor",E153*R153*(1+IF(V153="",0,V153))*Y153,IF(N153="Direct Qty",S153*(1+IF(V153="",0,V153))*Y153,IF(N153="Lump Sum / Quote",S153*Y153,0)))))</x:f>
      </x:c>
      <x:c r="AA153" s="81" t="str">
        <x:f>IFERROR(INDEX('Resource Rate Library'!$N$5:$N$85,MATCH(P153,'Resource Rate Library'!$A$5:$A$85,0)),"")</x:f>
      </x:c>
      <x:c r="AB153" s="53"/>
      <x:c r="AC153" s="59"/>
      <x:c r="AD153" s="81" t="str">
        <x:f>IFERROR(INDEX('Resource Rate Library'!$G$5:$G$85,MATCH(P153,'Resource Rate Library'!$A$5:$A$85,0)),"")</x:f>
      </x:c>
      <x:c r="AE153" s="81" t="str">
        <x:f>IFERROR(INDEX('Resource Rate Library'!$H$5:$H$85,MATCH(P153,'Resource Rate Library'!$A$5:$A$85,0)),"")</x:f>
      </x:c>
      <x:c r="AF153" s="53"/>
      <x:c r="AG153" s="53"/>
      <x:c r="AH153" s="53"/>
      <x:c r="AI153" s="81" t="str">
        <x:f t="shared" ref="AI153:AI184" si="16">IF(B153="","",IF(AND(P153="",N153&lt;&gt;"Lump Sum / Quote"),"RESOURCE CODE",IF(Y153=0,"RATE MISSING",IF(AND(O153="Plant",AD153="Yes",COUNTIFS($B$7:$B$306,B153,$O$7:$O$306,"Labour",$Q$7:$Q$306,"*Operator*")&gt;0),"OPERATOR DOUBLE-COUNT",IF(AND(O153="Plant",AE153="Yes",COUNTIFS($B$7:$B$306,B153,$Q$7:$Q$306,"*Fuel*")&gt;0),"FUEL DOUBLE-COUNT",IF(AH153&lt;&gt;"Yes","VERIFY","OK"))))))</x:f>
      </x:c>
      <x:c r="AJ153" s="54"/>
      <x:c r="AK153" s="473"/>
      <x:c r="AL153" s="473"/>
      <x:c r="AM153" s="473"/>
      <x:c r="AN153" s="500" t="n">
        <x:f>IF(AND(AK153="Yes",OR(O153="Labour",O153="Plant")),Z153,0)</x:f>
        <x:v>0</x:v>
      </x:c>
    </x:row>
    <x:row r="154">
      <x:c r="A154" s="80" t="str">
        <x:f>IF(B154="","",B154&amp;"-"&amp;TEXT(COUNTIF($B$7:B154,B154),"000"))</x:f>
      </x:c>
      <x:c r="B154" s="53"/>
      <x:c r="C154" s="81" t="str">
        <x:f>IFERROR(INDEX('QS Takeoff'!$A$3:$A$194,MATCH(B154,'QS Takeoff'!$B$3:$B$194,0)),"")</x:f>
      </x:c>
      <x:c r="D154" s="81" t="str">
        <x:f>IFERROR(INDEX('QS Takeoff'!$C$3:$C$194,MATCH(B154,'QS Takeoff'!$B$3:$B$194,0)),"")</x:f>
      </x:c>
      <x:c r="E154" s="81" t="str">
        <x:f>IFERROR(INDEX('QS Takeoff'!$E$3:$E$194,MATCH(B154,'QS Takeoff'!$B$3:$B$194,0)),"")</x:f>
      </x:c>
      <x:c r="F154" s="81" t="str">
        <x:f>IFERROR(INDEX('QS Takeoff'!$D$3:$D$194,MATCH(B154,'QS Takeoff'!$B$3:$B$194,0)),"")</x:f>
      </x:c>
      <x:c r="G154" s="81" t="str">
        <x:f>IFERROR(INDEX('QS Takeoff'!$J$3:$J$194,MATCH(B154,'QS Takeoff'!$B$3:$B$194,0)),"")</x:f>
      </x:c>
      <x:c r="H154" s="53"/>
      <x:c r="I154" s="60"/>
      <x:c r="J154" s="60"/>
      <x:c r="K154" s="82" t="str">
        <x:f t="shared" si="12">IF(OR(B154="",I154="",I154=0),"",E154/I154)</x:f>
      </x:c>
      <x:c r="L154" s="60"/>
      <x:c r="M154" s="82" t="str">
        <x:f t="shared" si="13">IF(L154&gt;0,L154,K154)</x:f>
      </x:c>
      <x:c r="N154" s="53"/>
      <x:c r="O154" s="53"/>
      <x:c r="P154" s="53"/>
      <x:c r="Q154" s="81" t="str">
        <x:f>IFERROR(INDEX('Resource Rate Library'!$C$5:$C$85,MATCH(P154,'Resource Rate Library'!$A$5:$A$85,0)),"")</x:f>
      </x:c>
      <x:c r="R154" s="53"/>
      <x:c r="S154" s="53"/>
      <x:c r="T154" s="81" t="str">
        <x:f>IFERROR(INDEX('Resource Rate Library'!$E$5:$E$85,MATCH(P154,'Resource Rate Library'!$A$5:$A$85,0)),"")</x:f>
      </x:c>
      <x:c r="U154" s="62"/>
      <x:c r="V154" s="62"/>
      <x:c r="W154" s="83" t="n">
        <x:f>IFERROR(INDEX('Resource Rate Library'!$I$5:$I$85,MATCH(P154,'Resource Rate Library'!$A$5:$A$85,0)),0)</x:f>
        <x:v>0</x:v>
      </x:c>
      <x:c r="X154" s="52"/>
      <x:c r="Y154" s="83" t="n">
        <x:f t="shared" si="14">IF(X154&gt;0,X154,W154)</x:f>
        <x:v>0</x:v>
      </x:c>
      <x:c r="Z154" s="83" t="str">
        <x:f t="shared" si="15">IF(B154="","",IF(N154="Time x Count",M154*R154*IF(U154="",1,U154)*Y154,IF(N154="QS Qty x Factor",E154*R154*(1+IF(V154="",0,V154))*Y154,IF(N154="Direct Qty",S154*(1+IF(V154="",0,V154))*Y154,IF(N154="Lump Sum / Quote",S154*Y154,0)))))</x:f>
      </x:c>
      <x:c r="AA154" s="81" t="str">
        <x:f>IFERROR(INDEX('Resource Rate Library'!$N$5:$N$85,MATCH(P154,'Resource Rate Library'!$A$5:$A$85,0)),"")</x:f>
      </x:c>
      <x:c r="AB154" s="53"/>
      <x:c r="AC154" s="59"/>
      <x:c r="AD154" s="81" t="str">
        <x:f>IFERROR(INDEX('Resource Rate Library'!$G$5:$G$85,MATCH(P154,'Resource Rate Library'!$A$5:$A$85,0)),"")</x:f>
      </x:c>
      <x:c r="AE154" s="81" t="str">
        <x:f>IFERROR(INDEX('Resource Rate Library'!$H$5:$H$85,MATCH(P154,'Resource Rate Library'!$A$5:$A$85,0)),"")</x:f>
      </x:c>
      <x:c r="AF154" s="53"/>
      <x:c r="AG154" s="53"/>
      <x:c r="AH154" s="53"/>
      <x:c r="AI154" s="81" t="str">
        <x:f t="shared" si="16">IF(B154="","",IF(AND(P154="",N154&lt;&gt;"Lump Sum / Quote"),"RESOURCE CODE",IF(Y154=0,"RATE MISSING",IF(AND(O154="Plant",AD154="Yes",COUNTIFS($B$7:$B$306,B154,$O$7:$O$306,"Labour",$Q$7:$Q$306,"*Operator*")&gt;0),"OPERATOR DOUBLE-COUNT",IF(AND(O154="Plant",AE154="Yes",COUNTIFS($B$7:$B$306,B154,$Q$7:$Q$306,"*Fuel*")&gt;0),"FUEL DOUBLE-COUNT",IF(AH154&lt;&gt;"Yes","VERIFY","OK"))))))</x:f>
      </x:c>
      <x:c r="AJ154" s="54"/>
      <x:c r="AK154" s="473"/>
      <x:c r="AL154" s="473"/>
      <x:c r="AM154" s="473"/>
      <x:c r="AN154" s="500" t="n">
        <x:f>IF(AND(AK154="Yes",OR(O154="Labour",O154="Plant")),Z154,0)</x:f>
        <x:v>0</x:v>
      </x:c>
    </x:row>
    <x:row r="155">
      <x:c r="A155" s="80" t="str">
        <x:f>IF(B155="","",B155&amp;"-"&amp;TEXT(COUNTIF($B$7:B155,B155),"000"))</x:f>
      </x:c>
      <x:c r="B155" s="53"/>
      <x:c r="C155" s="81" t="str">
        <x:f>IFERROR(INDEX('QS Takeoff'!$A$3:$A$194,MATCH(B155,'QS Takeoff'!$B$3:$B$194,0)),"")</x:f>
      </x:c>
      <x:c r="D155" s="81" t="str">
        <x:f>IFERROR(INDEX('QS Takeoff'!$C$3:$C$194,MATCH(B155,'QS Takeoff'!$B$3:$B$194,0)),"")</x:f>
      </x:c>
      <x:c r="E155" s="81" t="str">
        <x:f>IFERROR(INDEX('QS Takeoff'!$E$3:$E$194,MATCH(B155,'QS Takeoff'!$B$3:$B$194,0)),"")</x:f>
      </x:c>
      <x:c r="F155" s="81" t="str">
        <x:f>IFERROR(INDEX('QS Takeoff'!$D$3:$D$194,MATCH(B155,'QS Takeoff'!$B$3:$B$194,0)),"")</x:f>
      </x:c>
      <x:c r="G155" s="81" t="str">
        <x:f>IFERROR(INDEX('QS Takeoff'!$J$3:$J$194,MATCH(B155,'QS Takeoff'!$B$3:$B$194,0)),"")</x:f>
      </x:c>
      <x:c r="H155" s="53"/>
      <x:c r="I155" s="60"/>
      <x:c r="J155" s="60"/>
      <x:c r="K155" s="82" t="str">
        <x:f t="shared" si="12">IF(OR(B155="",I155="",I155=0),"",E155/I155)</x:f>
      </x:c>
      <x:c r="L155" s="60"/>
      <x:c r="M155" s="82" t="str">
        <x:f t="shared" si="13">IF(L155&gt;0,L155,K155)</x:f>
      </x:c>
      <x:c r="N155" s="53"/>
      <x:c r="O155" s="53"/>
      <x:c r="P155" s="53"/>
      <x:c r="Q155" s="81" t="str">
        <x:f>IFERROR(INDEX('Resource Rate Library'!$C$5:$C$85,MATCH(P155,'Resource Rate Library'!$A$5:$A$85,0)),"")</x:f>
      </x:c>
      <x:c r="R155" s="53"/>
      <x:c r="S155" s="53"/>
      <x:c r="T155" s="81" t="str">
        <x:f>IFERROR(INDEX('Resource Rate Library'!$E$5:$E$85,MATCH(P155,'Resource Rate Library'!$A$5:$A$85,0)),"")</x:f>
      </x:c>
      <x:c r="U155" s="62"/>
      <x:c r="V155" s="62"/>
      <x:c r="W155" s="83" t="n">
        <x:f>IFERROR(INDEX('Resource Rate Library'!$I$5:$I$85,MATCH(P155,'Resource Rate Library'!$A$5:$A$85,0)),0)</x:f>
        <x:v>0</x:v>
      </x:c>
      <x:c r="X155" s="52"/>
      <x:c r="Y155" s="83" t="n">
        <x:f t="shared" si="14">IF(X155&gt;0,X155,W155)</x:f>
        <x:v>0</x:v>
      </x:c>
      <x:c r="Z155" s="83" t="str">
        <x:f t="shared" si="15">IF(B155="","",IF(N155="Time x Count",M155*R155*IF(U155="",1,U155)*Y155,IF(N155="QS Qty x Factor",E155*R155*(1+IF(V155="",0,V155))*Y155,IF(N155="Direct Qty",S155*(1+IF(V155="",0,V155))*Y155,IF(N155="Lump Sum / Quote",S155*Y155,0)))))</x:f>
      </x:c>
      <x:c r="AA155" s="81" t="str">
        <x:f>IFERROR(INDEX('Resource Rate Library'!$N$5:$N$85,MATCH(P155,'Resource Rate Library'!$A$5:$A$85,0)),"")</x:f>
      </x:c>
      <x:c r="AB155" s="53"/>
      <x:c r="AC155" s="59"/>
      <x:c r="AD155" s="81" t="str">
        <x:f>IFERROR(INDEX('Resource Rate Library'!$G$5:$G$85,MATCH(P155,'Resource Rate Library'!$A$5:$A$85,0)),"")</x:f>
      </x:c>
      <x:c r="AE155" s="81" t="str">
        <x:f>IFERROR(INDEX('Resource Rate Library'!$H$5:$H$85,MATCH(P155,'Resource Rate Library'!$A$5:$A$85,0)),"")</x:f>
      </x:c>
      <x:c r="AF155" s="53"/>
      <x:c r="AG155" s="53"/>
      <x:c r="AH155" s="53"/>
      <x:c r="AI155" s="81" t="str">
        <x:f t="shared" si="16">IF(B155="","",IF(AND(P155="",N155&lt;&gt;"Lump Sum / Quote"),"RESOURCE CODE",IF(Y155=0,"RATE MISSING",IF(AND(O155="Plant",AD155="Yes",COUNTIFS($B$7:$B$306,B155,$O$7:$O$306,"Labour",$Q$7:$Q$306,"*Operator*")&gt;0),"OPERATOR DOUBLE-COUNT",IF(AND(O155="Plant",AE155="Yes",COUNTIFS($B$7:$B$306,B155,$Q$7:$Q$306,"*Fuel*")&gt;0),"FUEL DOUBLE-COUNT",IF(AH155&lt;&gt;"Yes","VERIFY","OK"))))))</x:f>
      </x:c>
      <x:c r="AJ155" s="54"/>
      <x:c r="AK155" s="473"/>
      <x:c r="AL155" s="473"/>
      <x:c r="AM155" s="473"/>
      <x:c r="AN155" s="500" t="n">
        <x:f>IF(AND(AK155="Yes",OR(O155="Labour",O155="Plant")),Z155,0)</x:f>
        <x:v>0</x:v>
      </x:c>
    </x:row>
    <x:row r="156">
      <x:c r="A156" s="80" t="str">
        <x:f>IF(B156="","",B156&amp;"-"&amp;TEXT(COUNTIF($B$7:B156,B156),"000"))</x:f>
      </x:c>
      <x:c r="B156" s="53"/>
      <x:c r="C156" s="81" t="str">
        <x:f>IFERROR(INDEX('QS Takeoff'!$A$3:$A$194,MATCH(B156,'QS Takeoff'!$B$3:$B$194,0)),"")</x:f>
      </x:c>
      <x:c r="D156" s="81" t="str">
        <x:f>IFERROR(INDEX('QS Takeoff'!$C$3:$C$194,MATCH(B156,'QS Takeoff'!$B$3:$B$194,0)),"")</x:f>
      </x:c>
      <x:c r="E156" s="81" t="str">
        <x:f>IFERROR(INDEX('QS Takeoff'!$E$3:$E$194,MATCH(B156,'QS Takeoff'!$B$3:$B$194,0)),"")</x:f>
      </x:c>
      <x:c r="F156" s="81" t="str">
        <x:f>IFERROR(INDEX('QS Takeoff'!$D$3:$D$194,MATCH(B156,'QS Takeoff'!$B$3:$B$194,0)),"")</x:f>
      </x:c>
      <x:c r="G156" s="81" t="str">
        <x:f>IFERROR(INDEX('QS Takeoff'!$J$3:$J$194,MATCH(B156,'QS Takeoff'!$B$3:$B$194,0)),"")</x:f>
      </x:c>
      <x:c r="H156" s="53"/>
      <x:c r="I156" s="60"/>
      <x:c r="J156" s="60"/>
      <x:c r="K156" s="82" t="str">
        <x:f t="shared" si="12">IF(OR(B156="",I156="",I156=0),"",E156/I156)</x:f>
      </x:c>
      <x:c r="L156" s="60"/>
      <x:c r="M156" s="82" t="str">
        <x:f t="shared" si="13">IF(L156&gt;0,L156,K156)</x:f>
      </x:c>
      <x:c r="N156" s="53"/>
      <x:c r="O156" s="53"/>
      <x:c r="P156" s="53"/>
      <x:c r="Q156" s="81" t="str">
        <x:f>IFERROR(INDEX('Resource Rate Library'!$C$5:$C$85,MATCH(P156,'Resource Rate Library'!$A$5:$A$85,0)),"")</x:f>
      </x:c>
      <x:c r="R156" s="53"/>
      <x:c r="S156" s="53"/>
      <x:c r="T156" s="81" t="str">
        <x:f>IFERROR(INDEX('Resource Rate Library'!$E$5:$E$85,MATCH(P156,'Resource Rate Library'!$A$5:$A$85,0)),"")</x:f>
      </x:c>
      <x:c r="U156" s="62"/>
      <x:c r="V156" s="62"/>
      <x:c r="W156" s="83" t="n">
        <x:f>IFERROR(INDEX('Resource Rate Library'!$I$5:$I$85,MATCH(P156,'Resource Rate Library'!$A$5:$A$85,0)),0)</x:f>
        <x:v>0</x:v>
      </x:c>
      <x:c r="X156" s="52"/>
      <x:c r="Y156" s="83" t="n">
        <x:f t="shared" si="14">IF(X156&gt;0,X156,W156)</x:f>
        <x:v>0</x:v>
      </x:c>
      <x:c r="Z156" s="83" t="str">
        <x:f t="shared" si="15">IF(B156="","",IF(N156="Time x Count",M156*R156*IF(U156="",1,U156)*Y156,IF(N156="QS Qty x Factor",E156*R156*(1+IF(V156="",0,V156))*Y156,IF(N156="Direct Qty",S156*(1+IF(V156="",0,V156))*Y156,IF(N156="Lump Sum / Quote",S156*Y156,0)))))</x:f>
      </x:c>
      <x:c r="AA156" s="81" t="str">
        <x:f>IFERROR(INDEX('Resource Rate Library'!$N$5:$N$85,MATCH(P156,'Resource Rate Library'!$A$5:$A$85,0)),"")</x:f>
      </x:c>
      <x:c r="AB156" s="53"/>
      <x:c r="AC156" s="59"/>
      <x:c r="AD156" s="81" t="str">
        <x:f>IFERROR(INDEX('Resource Rate Library'!$G$5:$G$85,MATCH(P156,'Resource Rate Library'!$A$5:$A$85,0)),"")</x:f>
      </x:c>
      <x:c r="AE156" s="81" t="str">
        <x:f>IFERROR(INDEX('Resource Rate Library'!$H$5:$H$85,MATCH(P156,'Resource Rate Library'!$A$5:$A$85,0)),"")</x:f>
      </x:c>
      <x:c r="AF156" s="53"/>
      <x:c r="AG156" s="53"/>
      <x:c r="AH156" s="53"/>
      <x:c r="AI156" s="81" t="str">
        <x:f t="shared" si="16">IF(B156="","",IF(AND(P156="",N156&lt;&gt;"Lump Sum / Quote"),"RESOURCE CODE",IF(Y156=0,"RATE MISSING",IF(AND(O156="Plant",AD156="Yes",COUNTIFS($B$7:$B$306,B156,$O$7:$O$306,"Labour",$Q$7:$Q$306,"*Operator*")&gt;0),"OPERATOR DOUBLE-COUNT",IF(AND(O156="Plant",AE156="Yes",COUNTIFS($B$7:$B$306,B156,$Q$7:$Q$306,"*Fuel*")&gt;0),"FUEL DOUBLE-COUNT",IF(AH156&lt;&gt;"Yes","VERIFY","OK"))))))</x:f>
      </x:c>
      <x:c r="AJ156" s="54"/>
      <x:c r="AK156" s="473"/>
      <x:c r="AL156" s="473"/>
      <x:c r="AM156" s="473"/>
      <x:c r="AN156" s="500" t="n">
        <x:f>IF(AND(AK156="Yes",OR(O156="Labour",O156="Plant")),Z156,0)</x:f>
        <x:v>0</x:v>
      </x:c>
    </x:row>
    <x:row r="157">
      <x:c r="A157" s="80" t="str">
        <x:f>IF(B157="","",B157&amp;"-"&amp;TEXT(COUNTIF($B$7:B157,B157),"000"))</x:f>
      </x:c>
      <x:c r="B157" s="53"/>
      <x:c r="C157" s="81" t="str">
        <x:f>IFERROR(INDEX('QS Takeoff'!$A$3:$A$194,MATCH(B157,'QS Takeoff'!$B$3:$B$194,0)),"")</x:f>
      </x:c>
      <x:c r="D157" s="81" t="str">
        <x:f>IFERROR(INDEX('QS Takeoff'!$C$3:$C$194,MATCH(B157,'QS Takeoff'!$B$3:$B$194,0)),"")</x:f>
      </x:c>
      <x:c r="E157" s="81" t="str">
        <x:f>IFERROR(INDEX('QS Takeoff'!$E$3:$E$194,MATCH(B157,'QS Takeoff'!$B$3:$B$194,0)),"")</x:f>
      </x:c>
      <x:c r="F157" s="81" t="str">
        <x:f>IFERROR(INDEX('QS Takeoff'!$D$3:$D$194,MATCH(B157,'QS Takeoff'!$B$3:$B$194,0)),"")</x:f>
      </x:c>
      <x:c r="G157" s="81" t="str">
        <x:f>IFERROR(INDEX('QS Takeoff'!$J$3:$J$194,MATCH(B157,'QS Takeoff'!$B$3:$B$194,0)),"")</x:f>
      </x:c>
      <x:c r="H157" s="53"/>
      <x:c r="I157" s="60"/>
      <x:c r="J157" s="60"/>
      <x:c r="K157" s="82" t="str">
        <x:f t="shared" si="12">IF(OR(B157="",I157="",I157=0),"",E157/I157)</x:f>
      </x:c>
      <x:c r="L157" s="60"/>
      <x:c r="M157" s="82" t="str">
        <x:f t="shared" si="13">IF(L157&gt;0,L157,K157)</x:f>
      </x:c>
      <x:c r="N157" s="53"/>
      <x:c r="O157" s="53"/>
      <x:c r="P157" s="53"/>
      <x:c r="Q157" s="81" t="str">
        <x:f>IFERROR(INDEX('Resource Rate Library'!$C$5:$C$85,MATCH(P157,'Resource Rate Library'!$A$5:$A$85,0)),"")</x:f>
      </x:c>
      <x:c r="R157" s="53"/>
      <x:c r="S157" s="53"/>
      <x:c r="T157" s="81" t="str">
        <x:f>IFERROR(INDEX('Resource Rate Library'!$E$5:$E$85,MATCH(P157,'Resource Rate Library'!$A$5:$A$85,0)),"")</x:f>
      </x:c>
      <x:c r="U157" s="62"/>
      <x:c r="V157" s="62"/>
      <x:c r="W157" s="83" t="n">
        <x:f>IFERROR(INDEX('Resource Rate Library'!$I$5:$I$85,MATCH(P157,'Resource Rate Library'!$A$5:$A$85,0)),0)</x:f>
        <x:v>0</x:v>
      </x:c>
      <x:c r="X157" s="52"/>
      <x:c r="Y157" s="83" t="n">
        <x:f t="shared" si="14">IF(X157&gt;0,X157,W157)</x:f>
        <x:v>0</x:v>
      </x:c>
      <x:c r="Z157" s="83" t="str">
        <x:f t="shared" si="15">IF(B157="","",IF(N157="Time x Count",M157*R157*IF(U157="",1,U157)*Y157,IF(N157="QS Qty x Factor",E157*R157*(1+IF(V157="",0,V157))*Y157,IF(N157="Direct Qty",S157*(1+IF(V157="",0,V157))*Y157,IF(N157="Lump Sum / Quote",S157*Y157,0)))))</x:f>
      </x:c>
      <x:c r="AA157" s="81" t="str">
        <x:f>IFERROR(INDEX('Resource Rate Library'!$N$5:$N$85,MATCH(P157,'Resource Rate Library'!$A$5:$A$85,0)),"")</x:f>
      </x:c>
      <x:c r="AB157" s="53"/>
      <x:c r="AC157" s="59"/>
      <x:c r="AD157" s="81" t="str">
        <x:f>IFERROR(INDEX('Resource Rate Library'!$G$5:$G$85,MATCH(P157,'Resource Rate Library'!$A$5:$A$85,0)),"")</x:f>
      </x:c>
      <x:c r="AE157" s="81" t="str">
        <x:f>IFERROR(INDEX('Resource Rate Library'!$H$5:$H$85,MATCH(P157,'Resource Rate Library'!$A$5:$A$85,0)),"")</x:f>
      </x:c>
      <x:c r="AF157" s="53"/>
      <x:c r="AG157" s="53"/>
      <x:c r="AH157" s="53"/>
      <x:c r="AI157" s="81" t="str">
        <x:f t="shared" si="16">IF(B157="","",IF(AND(P157="",N157&lt;&gt;"Lump Sum / Quote"),"RESOURCE CODE",IF(Y157=0,"RATE MISSING",IF(AND(O157="Plant",AD157="Yes",COUNTIFS($B$7:$B$306,B157,$O$7:$O$306,"Labour",$Q$7:$Q$306,"*Operator*")&gt;0),"OPERATOR DOUBLE-COUNT",IF(AND(O157="Plant",AE157="Yes",COUNTIFS($B$7:$B$306,B157,$Q$7:$Q$306,"*Fuel*")&gt;0),"FUEL DOUBLE-COUNT",IF(AH157&lt;&gt;"Yes","VERIFY","OK"))))))</x:f>
      </x:c>
      <x:c r="AJ157" s="54"/>
      <x:c r="AK157" s="473"/>
      <x:c r="AL157" s="473"/>
      <x:c r="AM157" s="473"/>
      <x:c r="AN157" s="500" t="n">
        <x:f>IF(AND(AK157="Yes",OR(O157="Labour",O157="Plant")),Z157,0)</x:f>
        <x:v>0</x:v>
      </x:c>
    </x:row>
    <x:row r="158">
      <x:c r="A158" s="80" t="str">
        <x:f>IF(B158="","",B158&amp;"-"&amp;TEXT(COUNTIF($B$7:B158,B158),"000"))</x:f>
      </x:c>
      <x:c r="B158" s="53"/>
      <x:c r="C158" s="81" t="str">
        <x:f>IFERROR(INDEX('QS Takeoff'!$A$3:$A$194,MATCH(B158,'QS Takeoff'!$B$3:$B$194,0)),"")</x:f>
      </x:c>
      <x:c r="D158" s="81" t="str">
        <x:f>IFERROR(INDEX('QS Takeoff'!$C$3:$C$194,MATCH(B158,'QS Takeoff'!$B$3:$B$194,0)),"")</x:f>
      </x:c>
      <x:c r="E158" s="81" t="str">
        <x:f>IFERROR(INDEX('QS Takeoff'!$E$3:$E$194,MATCH(B158,'QS Takeoff'!$B$3:$B$194,0)),"")</x:f>
      </x:c>
      <x:c r="F158" s="81" t="str">
        <x:f>IFERROR(INDEX('QS Takeoff'!$D$3:$D$194,MATCH(B158,'QS Takeoff'!$B$3:$B$194,0)),"")</x:f>
      </x:c>
      <x:c r="G158" s="81" t="str">
        <x:f>IFERROR(INDEX('QS Takeoff'!$J$3:$J$194,MATCH(B158,'QS Takeoff'!$B$3:$B$194,0)),"")</x:f>
      </x:c>
      <x:c r="H158" s="53"/>
      <x:c r="I158" s="60"/>
      <x:c r="J158" s="60"/>
      <x:c r="K158" s="82" t="str">
        <x:f t="shared" si="12">IF(OR(B158="",I158="",I158=0),"",E158/I158)</x:f>
      </x:c>
      <x:c r="L158" s="60"/>
      <x:c r="M158" s="82" t="str">
        <x:f t="shared" si="13">IF(L158&gt;0,L158,K158)</x:f>
      </x:c>
      <x:c r="N158" s="53"/>
      <x:c r="O158" s="53"/>
      <x:c r="P158" s="53"/>
      <x:c r="Q158" s="81" t="str">
        <x:f>IFERROR(INDEX('Resource Rate Library'!$C$5:$C$85,MATCH(P158,'Resource Rate Library'!$A$5:$A$85,0)),"")</x:f>
      </x:c>
      <x:c r="R158" s="53"/>
      <x:c r="S158" s="53"/>
      <x:c r="T158" s="81" t="str">
        <x:f>IFERROR(INDEX('Resource Rate Library'!$E$5:$E$85,MATCH(P158,'Resource Rate Library'!$A$5:$A$85,0)),"")</x:f>
      </x:c>
      <x:c r="U158" s="62"/>
      <x:c r="V158" s="62"/>
      <x:c r="W158" s="83" t="n">
        <x:f>IFERROR(INDEX('Resource Rate Library'!$I$5:$I$85,MATCH(P158,'Resource Rate Library'!$A$5:$A$85,0)),0)</x:f>
        <x:v>0</x:v>
      </x:c>
      <x:c r="X158" s="52"/>
      <x:c r="Y158" s="83" t="n">
        <x:f t="shared" si="14">IF(X158&gt;0,X158,W158)</x:f>
        <x:v>0</x:v>
      </x:c>
      <x:c r="Z158" s="83" t="str">
        <x:f t="shared" si="15">IF(B158="","",IF(N158="Time x Count",M158*R158*IF(U158="",1,U158)*Y158,IF(N158="QS Qty x Factor",E158*R158*(1+IF(V158="",0,V158))*Y158,IF(N158="Direct Qty",S158*(1+IF(V158="",0,V158))*Y158,IF(N158="Lump Sum / Quote",S158*Y158,0)))))</x:f>
      </x:c>
      <x:c r="AA158" s="81" t="str">
        <x:f>IFERROR(INDEX('Resource Rate Library'!$N$5:$N$85,MATCH(P158,'Resource Rate Library'!$A$5:$A$85,0)),"")</x:f>
      </x:c>
      <x:c r="AB158" s="53"/>
      <x:c r="AC158" s="59"/>
      <x:c r="AD158" s="81" t="str">
        <x:f>IFERROR(INDEX('Resource Rate Library'!$G$5:$G$85,MATCH(P158,'Resource Rate Library'!$A$5:$A$85,0)),"")</x:f>
      </x:c>
      <x:c r="AE158" s="81" t="str">
        <x:f>IFERROR(INDEX('Resource Rate Library'!$H$5:$H$85,MATCH(P158,'Resource Rate Library'!$A$5:$A$85,0)),"")</x:f>
      </x:c>
      <x:c r="AF158" s="53"/>
      <x:c r="AG158" s="53"/>
      <x:c r="AH158" s="53"/>
      <x:c r="AI158" s="81" t="str">
        <x:f t="shared" si="16">IF(B158="","",IF(AND(P158="",N158&lt;&gt;"Lump Sum / Quote"),"RESOURCE CODE",IF(Y158=0,"RATE MISSING",IF(AND(O158="Plant",AD158="Yes",COUNTIFS($B$7:$B$306,B158,$O$7:$O$306,"Labour",$Q$7:$Q$306,"*Operator*")&gt;0),"OPERATOR DOUBLE-COUNT",IF(AND(O158="Plant",AE158="Yes",COUNTIFS($B$7:$B$306,B158,$Q$7:$Q$306,"*Fuel*")&gt;0),"FUEL DOUBLE-COUNT",IF(AH158&lt;&gt;"Yes","VERIFY","OK"))))))</x:f>
      </x:c>
      <x:c r="AJ158" s="54"/>
      <x:c r="AK158" s="473"/>
      <x:c r="AL158" s="473"/>
      <x:c r="AM158" s="473"/>
      <x:c r="AN158" s="500" t="n">
        <x:f>IF(AND(AK158="Yes",OR(O158="Labour",O158="Plant")),Z158,0)</x:f>
        <x:v>0</x:v>
      </x:c>
    </x:row>
    <x:row r="159">
      <x:c r="A159" s="80" t="str">
        <x:f>IF(B159="","",B159&amp;"-"&amp;TEXT(COUNTIF($B$7:B159,B159),"000"))</x:f>
      </x:c>
      <x:c r="B159" s="53"/>
      <x:c r="C159" s="81" t="str">
        <x:f>IFERROR(INDEX('QS Takeoff'!$A$3:$A$194,MATCH(B159,'QS Takeoff'!$B$3:$B$194,0)),"")</x:f>
      </x:c>
      <x:c r="D159" s="81" t="str">
        <x:f>IFERROR(INDEX('QS Takeoff'!$C$3:$C$194,MATCH(B159,'QS Takeoff'!$B$3:$B$194,0)),"")</x:f>
      </x:c>
      <x:c r="E159" s="81" t="str">
        <x:f>IFERROR(INDEX('QS Takeoff'!$E$3:$E$194,MATCH(B159,'QS Takeoff'!$B$3:$B$194,0)),"")</x:f>
      </x:c>
      <x:c r="F159" s="81" t="str">
        <x:f>IFERROR(INDEX('QS Takeoff'!$D$3:$D$194,MATCH(B159,'QS Takeoff'!$B$3:$B$194,0)),"")</x:f>
      </x:c>
      <x:c r="G159" s="81" t="str">
        <x:f>IFERROR(INDEX('QS Takeoff'!$J$3:$J$194,MATCH(B159,'QS Takeoff'!$B$3:$B$194,0)),"")</x:f>
      </x:c>
      <x:c r="H159" s="53"/>
      <x:c r="I159" s="60"/>
      <x:c r="J159" s="60"/>
      <x:c r="K159" s="82" t="str">
        <x:f t="shared" si="12">IF(OR(B159="",I159="",I159=0),"",E159/I159)</x:f>
      </x:c>
      <x:c r="L159" s="60"/>
      <x:c r="M159" s="82" t="str">
        <x:f t="shared" si="13">IF(L159&gt;0,L159,K159)</x:f>
      </x:c>
      <x:c r="N159" s="53"/>
      <x:c r="O159" s="53"/>
      <x:c r="P159" s="53"/>
      <x:c r="Q159" s="81" t="str">
        <x:f>IFERROR(INDEX('Resource Rate Library'!$C$5:$C$85,MATCH(P159,'Resource Rate Library'!$A$5:$A$85,0)),"")</x:f>
      </x:c>
      <x:c r="R159" s="53"/>
      <x:c r="S159" s="53"/>
      <x:c r="T159" s="81" t="str">
        <x:f>IFERROR(INDEX('Resource Rate Library'!$E$5:$E$85,MATCH(P159,'Resource Rate Library'!$A$5:$A$85,0)),"")</x:f>
      </x:c>
      <x:c r="U159" s="62"/>
      <x:c r="V159" s="62"/>
      <x:c r="W159" s="83" t="n">
        <x:f>IFERROR(INDEX('Resource Rate Library'!$I$5:$I$85,MATCH(P159,'Resource Rate Library'!$A$5:$A$85,0)),0)</x:f>
        <x:v>0</x:v>
      </x:c>
      <x:c r="X159" s="52"/>
      <x:c r="Y159" s="83" t="n">
        <x:f t="shared" si="14">IF(X159&gt;0,X159,W159)</x:f>
        <x:v>0</x:v>
      </x:c>
      <x:c r="Z159" s="83" t="str">
        <x:f t="shared" si="15">IF(B159="","",IF(N159="Time x Count",M159*R159*IF(U159="",1,U159)*Y159,IF(N159="QS Qty x Factor",E159*R159*(1+IF(V159="",0,V159))*Y159,IF(N159="Direct Qty",S159*(1+IF(V159="",0,V159))*Y159,IF(N159="Lump Sum / Quote",S159*Y159,0)))))</x:f>
      </x:c>
      <x:c r="AA159" s="81" t="str">
        <x:f>IFERROR(INDEX('Resource Rate Library'!$N$5:$N$85,MATCH(P159,'Resource Rate Library'!$A$5:$A$85,0)),"")</x:f>
      </x:c>
      <x:c r="AB159" s="53"/>
      <x:c r="AC159" s="59"/>
      <x:c r="AD159" s="81" t="str">
        <x:f>IFERROR(INDEX('Resource Rate Library'!$G$5:$G$85,MATCH(P159,'Resource Rate Library'!$A$5:$A$85,0)),"")</x:f>
      </x:c>
      <x:c r="AE159" s="81" t="str">
        <x:f>IFERROR(INDEX('Resource Rate Library'!$H$5:$H$85,MATCH(P159,'Resource Rate Library'!$A$5:$A$85,0)),"")</x:f>
      </x:c>
      <x:c r="AF159" s="53"/>
      <x:c r="AG159" s="53"/>
      <x:c r="AH159" s="53"/>
      <x:c r="AI159" s="81" t="str">
        <x:f t="shared" si="16">IF(B159="","",IF(AND(P159="",N159&lt;&gt;"Lump Sum / Quote"),"RESOURCE CODE",IF(Y159=0,"RATE MISSING",IF(AND(O159="Plant",AD159="Yes",COUNTIFS($B$7:$B$306,B159,$O$7:$O$306,"Labour",$Q$7:$Q$306,"*Operator*")&gt;0),"OPERATOR DOUBLE-COUNT",IF(AND(O159="Plant",AE159="Yes",COUNTIFS($B$7:$B$306,B159,$Q$7:$Q$306,"*Fuel*")&gt;0),"FUEL DOUBLE-COUNT",IF(AH159&lt;&gt;"Yes","VERIFY","OK"))))))</x:f>
      </x:c>
      <x:c r="AJ159" s="54"/>
      <x:c r="AK159" s="473"/>
      <x:c r="AL159" s="473"/>
      <x:c r="AM159" s="473"/>
      <x:c r="AN159" s="500" t="n">
        <x:f>IF(AND(AK159="Yes",OR(O159="Labour",O159="Plant")),Z159,0)</x:f>
        <x:v>0</x:v>
      </x:c>
    </x:row>
    <x:row r="160">
      <x:c r="A160" s="80" t="str">
        <x:f>IF(B160="","",B160&amp;"-"&amp;TEXT(COUNTIF($B$7:B160,B160),"000"))</x:f>
      </x:c>
      <x:c r="B160" s="53"/>
      <x:c r="C160" s="81" t="str">
        <x:f>IFERROR(INDEX('QS Takeoff'!$A$3:$A$194,MATCH(B160,'QS Takeoff'!$B$3:$B$194,0)),"")</x:f>
      </x:c>
      <x:c r="D160" s="81" t="str">
        <x:f>IFERROR(INDEX('QS Takeoff'!$C$3:$C$194,MATCH(B160,'QS Takeoff'!$B$3:$B$194,0)),"")</x:f>
      </x:c>
      <x:c r="E160" s="81" t="str">
        <x:f>IFERROR(INDEX('QS Takeoff'!$E$3:$E$194,MATCH(B160,'QS Takeoff'!$B$3:$B$194,0)),"")</x:f>
      </x:c>
      <x:c r="F160" s="81" t="str">
        <x:f>IFERROR(INDEX('QS Takeoff'!$D$3:$D$194,MATCH(B160,'QS Takeoff'!$B$3:$B$194,0)),"")</x:f>
      </x:c>
      <x:c r="G160" s="81" t="str">
        <x:f>IFERROR(INDEX('QS Takeoff'!$J$3:$J$194,MATCH(B160,'QS Takeoff'!$B$3:$B$194,0)),"")</x:f>
      </x:c>
      <x:c r="H160" s="53"/>
      <x:c r="I160" s="60"/>
      <x:c r="J160" s="60"/>
      <x:c r="K160" s="82" t="str">
        <x:f t="shared" si="12">IF(OR(B160="",I160="",I160=0),"",E160/I160)</x:f>
      </x:c>
      <x:c r="L160" s="60"/>
      <x:c r="M160" s="82" t="str">
        <x:f t="shared" si="13">IF(L160&gt;0,L160,K160)</x:f>
      </x:c>
      <x:c r="N160" s="53"/>
      <x:c r="O160" s="53"/>
      <x:c r="P160" s="53"/>
      <x:c r="Q160" s="81" t="str">
        <x:f>IFERROR(INDEX('Resource Rate Library'!$C$5:$C$85,MATCH(P160,'Resource Rate Library'!$A$5:$A$85,0)),"")</x:f>
      </x:c>
      <x:c r="R160" s="53"/>
      <x:c r="S160" s="53"/>
      <x:c r="T160" s="81" t="str">
        <x:f>IFERROR(INDEX('Resource Rate Library'!$E$5:$E$85,MATCH(P160,'Resource Rate Library'!$A$5:$A$85,0)),"")</x:f>
      </x:c>
      <x:c r="U160" s="62"/>
      <x:c r="V160" s="62"/>
      <x:c r="W160" s="83" t="n">
        <x:f>IFERROR(INDEX('Resource Rate Library'!$I$5:$I$85,MATCH(P160,'Resource Rate Library'!$A$5:$A$85,0)),0)</x:f>
        <x:v>0</x:v>
      </x:c>
      <x:c r="X160" s="52"/>
      <x:c r="Y160" s="83" t="n">
        <x:f t="shared" si="14">IF(X160&gt;0,X160,W160)</x:f>
        <x:v>0</x:v>
      </x:c>
      <x:c r="Z160" s="83" t="str">
        <x:f t="shared" si="15">IF(B160="","",IF(N160="Time x Count",M160*R160*IF(U160="",1,U160)*Y160,IF(N160="QS Qty x Factor",E160*R160*(1+IF(V160="",0,V160))*Y160,IF(N160="Direct Qty",S160*(1+IF(V160="",0,V160))*Y160,IF(N160="Lump Sum / Quote",S160*Y160,0)))))</x:f>
      </x:c>
      <x:c r="AA160" s="81" t="str">
        <x:f>IFERROR(INDEX('Resource Rate Library'!$N$5:$N$85,MATCH(P160,'Resource Rate Library'!$A$5:$A$85,0)),"")</x:f>
      </x:c>
      <x:c r="AB160" s="53"/>
      <x:c r="AC160" s="59"/>
      <x:c r="AD160" s="81" t="str">
        <x:f>IFERROR(INDEX('Resource Rate Library'!$G$5:$G$85,MATCH(P160,'Resource Rate Library'!$A$5:$A$85,0)),"")</x:f>
      </x:c>
      <x:c r="AE160" s="81" t="str">
        <x:f>IFERROR(INDEX('Resource Rate Library'!$H$5:$H$85,MATCH(P160,'Resource Rate Library'!$A$5:$A$85,0)),"")</x:f>
      </x:c>
      <x:c r="AF160" s="53"/>
      <x:c r="AG160" s="53"/>
      <x:c r="AH160" s="53"/>
      <x:c r="AI160" s="81" t="str">
        <x:f t="shared" si="16">IF(B160="","",IF(AND(P160="",N160&lt;&gt;"Lump Sum / Quote"),"RESOURCE CODE",IF(Y160=0,"RATE MISSING",IF(AND(O160="Plant",AD160="Yes",COUNTIFS($B$7:$B$306,B160,$O$7:$O$306,"Labour",$Q$7:$Q$306,"*Operator*")&gt;0),"OPERATOR DOUBLE-COUNT",IF(AND(O160="Plant",AE160="Yes",COUNTIFS($B$7:$B$306,B160,$Q$7:$Q$306,"*Fuel*")&gt;0),"FUEL DOUBLE-COUNT",IF(AH160&lt;&gt;"Yes","VERIFY","OK"))))))</x:f>
      </x:c>
      <x:c r="AJ160" s="54"/>
      <x:c r="AK160" s="473"/>
      <x:c r="AL160" s="473"/>
      <x:c r="AM160" s="473"/>
      <x:c r="AN160" s="500" t="n">
        <x:f>IF(AND(AK160="Yes",OR(O160="Labour",O160="Plant")),Z160,0)</x:f>
        <x:v>0</x:v>
      </x:c>
    </x:row>
    <x:row r="161">
      <x:c r="A161" s="80" t="str">
        <x:f>IF(B161="","",B161&amp;"-"&amp;TEXT(COUNTIF($B$7:B161,B161),"000"))</x:f>
      </x:c>
      <x:c r="B161" s="53"/>
      <x:c r="C161" s="81" t="str">
        <x:f>IFERROR(INDEX('QS Takeoff'!$A$3:$A$194,MATCH(B161,'QS Takeoff'!$B$3:$B$194,0)),"")</x:f>
      </x:c>
      <x:c r="D161" s="81" t="str">
        <x:f>IFERROR(INDEX('QS Takeoff'!$C$3:$C$194,MATCH(B161,'QS Takeoff'!$B$3:$B$194,0)),"")</x:f>
      </x:c>
      <x:c r="E161" s="81" t="str">
        <x:f>IFERROR(INDEX('QS Takeoff'!$E$3:$E$194,MATCH(B161,'QS Takeoff'!$B$3:$B$194,0)),"")</x:f>
      </x:c>
      <x:c r="F161" s="81" t="str">
        <x:f>IFERROR(INDEX('QS Takeoff'!$D$3:$D$194,MATCH(B161,'QS Takeoff'!$B$3:$B$194,0)),"")</x:f>
      </x:c>
      <x:c r="G161" s="81" t="str">
        <x:f>IFERROR(INDEX('QS Takeoff'!$J$3:$J$194,MATCH(B161,'QS Takeoff'!$B$3:$B$194,0)),"")</x:f>
      </x:c>
      <x:c r="H161" s="53"/>
      <x:c r="I161" s="60"/>
      <x:c r="J161" s="60"/>
      <x:c r="K161" s="82" t="str">
        <x:f t="shared" si="12">IF(OR(B161="",I161="",I161=0),"",E161/I161)</x:f>
      </x:c>
      <x:c r="L161" s="60"/>
      <x:c r="M161" s="82" t="str">
        <x:f t="shared" si="13">IF(L161&gt;0,L161,K161)</x:f>
      </x:c>
      <x:c r="N161" s="53"/>
      <x:c r="O161" s="53"/>
      <x:c r="P161" s="53"/>
      <x:c r="Q161" s="81" t="str">
        <x:f>IFERROR(INDEX('Resource Rate Library'!$C$5:$C$85,MATCH(P161,'Resource Rate Library'!$A$5:$A$85,0)),"")</x:f>
      </x:c>
      <x:c r="R161" s="53"/>
      <x:c r="S161" s="53"/>
      <x:c r="T161" s="81" t="str">
        <x:f>IFERROR(INDEX('Resource Rate Library'!$E$5:$E$85,MATCH(P161,'Resource Rate Library'!$A$5:$A$85,0)),"")</x:f>
      </x:c>
      <x:c r="U161" s="62"/>
      <x:c r="V161" s="62"/>
      <x:c r="W161" s="83" t="n">
        <x:f>IFERROR(INDEX('Resource Rate Library'!$I$5:$I$85,MATCH(P161,'Resource Rate Library'!$A$5:$A$85,0)),0)</x:f>
        <x:v>0</x:v>
      </x:c>
      <x:c r="X161" s="52"/>
      <x:c r="Y161" s="83" t="n">
        <x:f t="shared" si="14">IF(X161&gt;0,X161,W161)</x:f>
        <x:v>0</x:v>
      </x:c>
      <x:c r="Z161" s="83" t="str">
        <x:f t="shared" si="15">IF(B161="","",IF(N161="Time x Count",M161*R161*IF(U161="",1,U161)*Y161,IF(N161="QS Qty x Factor",E161*R161*(1+IF(V161="",0,V161))*Y161,IF(N161="Direct Qty",S161*(1+IF(V161="",0,V161))*Y161,IF(N161="Lump Sum / Quote",S161*Y161,0)))))</x:f>
      </x:c>
      <x:c r="AA161" s="81" t="str">
        <x:f>IFERROR(INDEX('Resource Rate Library'!$N$5:$N$85,MATCH(P161,'Resource Rate Library'!$A$5:$A$85,0)),"")</x:f>
      </x:c>
      <x:c r="AB161" s="53"/>
      <x:c r="AC161" s="59"/>
      <x:c r="AD161" s="81" t="str">
        <x:f>IFERROR(INDEX('Resource Rate Library'!$G$5:$G$85,MATCH(P161,'Resource Rate Library'!$A$5:$A$85,0)),"")</x:f>
      </x:c>
      <x:c r="AE161" s="81" t="str">
        <x:f>IFERROR(INDEX('Resource Rate Library'!$H$5:$H$85,MATCH(P161,'Resource Rate Library'!$A$5:$A$85,0)),"")</x:f>
      </x:c>
      <x:c r="AF161" s="53"/>
      <x:c r="AG161" s="53"/>
      <x:c r="AH161" s="53"/>
      <x:c r="AI161" s="81" t="str">
        <x:f t="shared" si="16">IF(B161="","",IF(AND(P161="",N161&lt;&gt;"Lump Sum / Quote"),"RESOURCE CODE",IF(Y161=0,"RATE MISSING",IF(AND(O161="Plant",AD161="Yes",COUNTIFS($B$7:$B$306,B161,$O$7:$O$306,"Labour",$Q$7:$Q$306,"*Operator*")&gt;0),"OPERATOR DOUBLE-COUNT",IF(AND(O161="Plant",AE161="Yes",COUNTIFS($B$7:$B$306,B161,$Q$7:$Q$306,"*Fuel*")&gt;0),"FUEL DOUBLE-COUNT",IF(AH161&lt;&gt;"Yes","VERIFY","OK"))))))</x:f>
      </x:c>
      <x:c r="AJ161" s="54"/>
      <x:c r="AK161" s="473"/>
      <x:c r="AL161" s="473"/>
      <x:c r="AM161" s="473"/>
      <x:c r="AN161" s="500" t="n">
        <x:f>IF(AND(AK161="Yes",OR(O161="Labour",O161="Plant")),Z161,0)</x:f>
        <x:v>0</x:v>
      </x:c>
    </x:row>
    <x:row r="162">
      <x:c r="A162" s="80" t="str">
        <x:f>IF(B162="","",B162&amp;"-"&amp;TEXT(COUNTIF($B$7:B162,B162),"000"))</x:f>
      </x:c>
      <x:c r="B162" s="53"/>
      <x:c r="C162" s="81" t="str">
        <x:f>IFERROR(INDEX('QS Takeoff'!$A$3:$A$194,MATCH(B162,'QS Takeoff'!$B$3:$B$194,0)),"")</x:f>
      </x:c>
      <x:c r="D162" s="81" t="str">
        <x:f>IFERROR(INDEX('QS Takeoff'!$C$3:$C$194,MATCH(B162,'QS Takeoff'!$B$3:$B$194,0)),"")</x:f>
      </x:c>
      <x:c r="E162" s="81" t="str">
        <x:f>IFERROR(INDEX('QS Takeoff'!$E$3:$E$194,MATCH(B162,'QS Takeoff'!$B$3:$B$194,0)),"")</x:f>
      </x:c>
      <x:c r="F162" s="81" t="str">
        <x:f>IFERROR(INDEX('QS Takeoff'!$D$3:$D$194,MATCH(B162,'QS Takeoff'!$B$3:$B$194,0)),"")</x:f>
      </x:c>
      <x:c r="G162" s="81" t="str">
        <x:f>IFERROR(INDEX('QS Takeoff'!$J$3:$J$194,MATCH(B162,'QS Takeoff'!$B$3:$B$194,0)),"")</x:f>
      </x:c>
      <x:c r="H162" s="53"/>
      <x:c r="I162" s="60"/>
      <x:c r="J162" s="60"/>
      <x:c r="K162" s="82" t="str">
        <x:f t="shared" si="12">IF(OR(B162="",I162="",I162=0),"",E162/I162)</x:f>
      </x:c>
      <x:c r="L162" s="60"/>
      <x:c r="M162" s="82" t="str">
        <x:f t="shared" si="13">IF(L162&gt;0,L162,K162)</x:f>
      </x:c>
      <x:c r="N162" s="53"/>
      <x:c r="O162" s="53"/>
      <x:c r="P162" s="53"/>
      <x:c r="Q162" s="81" t="str">
        <x:f>IFERROR(INDEX('Resource Rate Library'!$C$5:$C$85,MATCH(P162,'Resource Rate Library'!$A$5:$A$85,0)),"")</x:f>
      </x:c>
      <x:c r="R162" s="53"/>
      <x:c r="S162" s="53"/>
      <x:c r="T162" s="81" t="str">
        <x:f>IFERROR(INDEX('Resource Rate Library'!$E$5:$E$85,MATCH(P162,'Resource Rate Library'!$A$5:$A$85,0)),"")</x:f>
      </x:c>
      <x:c r="U162" s="62"/>
      <x:c r="V162" s="62"/>
      <x:c r="W162" s="83" t="n">
        <x:f>IFERROR(INDEX('Resource Rate Library'!$I$5:$I$85,MATCH(P162,'Resource Rate Library'!$A$5:$A$85,0)),0)</x:f>
        <x:v>0</x:v>
      </x:c>
      <x:c r="X162" s="52"/>
      <x:c r="Y162" s="83" t="n">
        <x:f t="shared" si="14">IF(X162&gt;0,X162,W162)</x:f>
        <x:v>0</x:v>
      </x:c>
      <x:c r="Z162" s="83" t="str">
        <x:f t="shared" si="15">IF(B162="","",IF(N162="Time x Count",M162*R162*IF(U162="",1,U162)*Y162,IF(N162="QS Qty x Factor",E162*R162*(1+IF(V162="",0,V162))*Y162,IF(N162="Direct Qty",S162*(1+IF(V162="",0,V162))*Y162,IF(N162="Lump Sum / Quote",S162*Y162,0)))))</x:f>
      </x:c>
      <x:c r="AA162" s="81" t="str">
        <x:f>IFERROR(INDEX('Resource Rate Library'!$N$5:$N$85,MATCH(P162,'Resource Rate Library'!$A$5:$A$85,0)),"")</x:f>
      </x:c>
      <x:c r="AB162" s="53"/>
      <x:c r="AC162" s="59"/>
      <x:c r="AD162" s="81" t="str">
        <x:f>IFERROR(INDEX('Resource Rate Library'!$G$5:$G$85,MATCH(P162,'Resource Rate Library'!$A$5:$A$85,0)),"")</x:f>
      </x:c>
      <x:c r="AE162" s="81" t="str">
        <x:f>IFERROR(INDEX('Resource Rate Library'!$H$5:$H$85,MATCH(P162,'Resource Rate Library'!$A$5:$A$85,0)),"")</x:f>
      </x:c>
      <x:c r="AF162" s="53"/>
      <x:c r="AG162" s="53"/>
      <x:c r="AH162" s="53"/>
      <x:c r="AI162" s="81" t="str">
        <x:f t="shared" si="16">IF(B162="","",IF(AND(P162="",N162&lt;&gt;"Lump Sum / Quote"),"RESOURCE CODE",IF(Y162=0,"RATE MISSING",IF(AND(O162="Plant",AD162="Yes",COUNTIFS($B$7:$B$306,B162,$O$7:$O$306,"Labour",$Q$7:$Q$306,"*Operator*")&gt;0),"OPERATOR DOUBLE-COUNT",IF(AND(O162="Plant",AE162="Yes",COUNTIFS($B$7:$B$306,B162,$Q$7:$Q$306,"*Fuel*")&gt;0),"FUEL DOUBLE-COUNT",IF(AH162&lt;&gt;"Yes","VERIFY","OK"))))))</x:f>
      </x:c>
      <x:c r="AJ162" s="54"/>
      <x:c r="AK162" s="473"/>
      <x:c r="AL162" s="473"/>
      <x:c r="AM162" s="473"/>
      <x:c r="AN162" s="500" t="n">
        <x:f>IF(AND(AK162="Yes",OR(O162="Labour",O162="Plant")),Z162,0)</x:f>
        <x:v>0</x:v>
      </x:c>
    </x:row>
    <x:row r="163">
      <x:c r="A163" s="80" t="str">
        <x:f>IF(B163="","",B163&amp;"-"&amp;TEXT(COUNTIF($B$7:B163,B163),"000"))</x:f>
      </x:c>
      <x:c r="B163" s="53"/>
      <x:c r="C163" s="81" t="str">
        <x:f>IFERROR(INDEX('QS Takeoff'!$A$3:$A$194,MATCH(B163,'QS Takeoff'!$B$3:$B$194,0)),"")</x:f>
      </x:c>
      <x:c r="D163" s="81" t="str">
        <x:f>IFERROR(INDEX('QS Takeoff'!$C$3:$C$194,MATCH(B163,'QS Takeoff'!$B$3:$B$194,0)),"")</x:f>
      </x:c>
      <x:c r="E163" s="81" t="str">
        <x:f>IFERROR(INDEX('QS Takeoff'!$E$3:$E$194,MATCH(B163,'QS Takeoff'!$B$3:$B$194,0)),"")</x:f>
      </x:c>
      <x:c r="F163" s="81" t="str">
        <x:f>IFERROR(INDEX('QS Takeoff'!$D$3:$D$194,MATCH(B163,'QS Takeoff'!$B$3:$B$194,0)),"")</x:f>
      </x:c>
      <x:c r="G163" s="81" t="str">
        <x:f>IFERROR(INDEX('QS Takeoff'!$J$3:$J$194,MATCH(B163,'QS Takeoff'!$B$3:$B$194,0)),"")</x:f>
      </x:c>
      <x:c r="H163" s="53"/>
      <x:c r="I163" s="60"/>
      <x:c r="J163" s="60"/>
      <x:c r="K163" s="82" t="str">
        <x:f t="shared" si="12">IF(OR(B163="",I163="",I163=0),"",E163/I163)</x:f>
      </x:c>
      <x:c r="L163" s="60"/>
      <x:c r="M163" s="82" t="str">
        <x:f t="shared" si="13">IF(L163&gt;0,L163,K163)</x:f>
      </x:c>
      <x:c r="N163" s="53"/>
      <x:c r="O163" s="53"/>
      <x:c r="P163" s="53"/>
      <x:c r="Q163" s="81" t="str">
        <x:f>IFERROR(INDEX('Resource Rate Library'!$C$5:$C$85,MATCH(P163,'Resource Rate Library'!$A$5:$A$85,0)),"")</x:f>
      </x:c>
      <x:c r="R163" s="53"/>
      <x:c r="S163" s="53"/>
      <x:c r="T163" s="81" t="str">
        <x:f>IFERROR(INDEX('Resource Rate Library'!$E$5:$E$85,MATCH(P163,'Resource Rate Library'!$A$5:$A$85,0)),"")</x:f>
      </x:c>
      <x:c r="U163" s="62"/>
      <x:c r="V163" s="62"/>
      <x:c r="W163" s="83" t="n">
        <x:f>IFERROR(INDEX('Resource Rate Library'!$I$5:$I$85,MATCH(P163,'Resource Rate Library'!$A$5:$A$85,0)),0)</x:f>
        <x:v>0</x:v>
      </x:c>
      <x:c r="X163" s="52"/>
      <x:c r="Y163" s="83" t="n">
        <x:f t="shared" si="14">IF(X163&gt;0,X163,W163)</x:f>
        <x:v>0</x:v>
      </x:c>
      <x:c r="Z163" s="83" t="str">
        <x:f t="shared" si="15">IF(B163="","",IF(N163="Time x Count",M163*R163*IF(U163="",1,U163)*Y163,IF(N163="QS Qty x Factor",E163*R163*(1+IF(V163="",0,V163))*Y163,IF(N163="Direct Qty",S163*(1+IF(V163="",0,V163))*Y163,IF(N163="Lump Sum / Quote",S163*Y163,0)))))</x:f>
      </x:c>
      <x:c r="AA163" s="81" t="str">
        <x:f>IFERROR(INDEX('Resource Rate Library'!$N$5:$N$85,MATCH(P163,'Resource Rate Library'!$A$5:$A$85,0)),"")</x:f>
      </x:c>
      <x:c r="AB163" s="53"/>
      <x:c r="AC163" s="59"/>
      <x:c r="AD163" s="81" t="str">
        <x:f>IFERROR(INDEX('Resource Rate Library'!$G$5:$G$85,MATCH(P163,'Resource Rate Library'!$A$5:$A$85,0)),"")</x:f>
      </x:c>
      <x:c r="AE163" s="81" t="str">
        <x:f>IFERROR(INDEX('Resource Rate Library'!$H$5:$H$85,MATCH(P163,'Resource Rate Library'!$A$5:$A$85,0)),"")</x:f>
      </x:c>
      <x:c r="AF163" s="53"/>
      <x:c r="AG163" s="53"/>
      <x:c r="AH163" s="53"/>
      <x:c r="AI163" s="81" t="str">
        <x:f t="shared" si="16">IF(B163="","",IF(AND(P163="",N163&lt;&gt;"Lump Sum / Quote"),"RESOURCE CODE",IF(Y163=0,"RATE MISSING",IF(AND(O163="Plant",AD163="Yes",COUNTIFS($B$7:$B$306,B163,$O$7:$O$306,"Labour",$Q$7:$Q$306,"*Operator*")&gt;0),"OPERATOR DOUBLE-COUNT",IF(AND(O163="Plant",AE163="Yes",COUNTIFS($B$7:$B$306,B163,$Q$7:$Q$306,"*Fuel*")&gt;0),"FUEL DOUBLE-COUNT",IF(AH163&lt;&gt;"Yes","VERIFY","OK"))))))</x:f>
      </x:c>
      <x:c r="AJ163" s="54"/>
      <x:c r="AK163" s="473"/>
      <x:c r="AL163" s="473"/>
      <x:c r="AM163" s="473"/>
      <x:c r="AN163" s="500" t="n">
        <x:f>IF(AND(AK163="Yes",OR(O163="Labour",O163="Plant")),Z163,0)</x:f>
        <x:v>0</x:v>
      </x:c>
    </x:row>
    <x:row r="164">
      <x:c r="A164" s="80" t="str">
        <x:f>IF(B164="","",B164&amp;"-"&amp;TEXT(COUNTIF($B$7:B164,B164),"000"))</x:f>
      </x:c>
      <x:c r="B164" s="53"/>
      <x:c r="C164" s="81" t="str">
        <x:f>IFERROR(INDEX('QS Takeoff'!$A$3:$A$194,MATCH(B164,'QS Takeoff'!$B$3:$B$194,0)),"")</x:f>
      </x:c>
      <x:c r="D164" s="81" t="str">
        <x:f>IFERROR(INDEX('QS Takeoff'!$C$3:$C$194,MATCH(B164,'QS Takeoff'!$B$3:$B$194,0)),"")</x:f>
      </x:c>
      <x:c r="E164" s="81" t="str">
        <x:f>IFERROR(INDEX('QS Takeoff'!$E$3:$E$194,MATCH(B164,'QS Takeoff'!$B$3:$B$194,0)),"")</x:f>
      </x:c>
      <x:c r="F164" s="81" t="str">
        <x:f>IFERROR(INDEX('QS Takeoff'!$D$3:$D$194,MATCH(B164,'QS Takeoff'!$B$3:$B$194,0)),"")</x:f>
      </x:c>
      <x:c r="G164" s="81" t="str">
        <x:f>IFERROR(INDEX('QS Takeoff'!$J$3:$J$194,MATCH(B164,'QS Takeoff'!$B$3:$B$194,0)),"")</x:f>
      </x:c>
      <x:c r="H164" s="53"/>
      <x:c r="I164" s="60"/>
      <x:c r="J164" s="60"/>
      <x:c r="K164" s="82" t="str">
        <x:f t="shared" si="12">IF(OR(B164="",I164="",I164=0),"",E164/I164)</x:f>
      </x:c>
      <x:c r="L164" s="60"/>
      <x:c r="M164" s="82" t="str">
        <x:f t="shared" si="13">IF(L164&gt;0,L164,K164)</x:f>
      </x:c>
      <x:c r="N164" s="53"/>
      <x:c r="O164" s="53"/>
      <x:c r="P164" s="53"/>
      <x:c r="Q164" s="81" t="str">
        <x:f>IFERROR(INDEX('Resource Rate Library'!$C$5:$C$85,MATCH(P164,'Resource Rate Library'!$A$5:$A$85,0)),"")</x:f>
      </x:c>
      <x:c r="R164" s="53"/>
      <x:c r="S164" s="53"/>
      <x:c r="T164" s="81" t="str">
        <x:f>IFERROR(INDEX('Resource Rate Library'!$E$5:$E$85,MATCH(P164,'Resource Rate Library'!$A$5:$A$85,0)),"")</x:f>
      </x:c>
      <x:c r="U164" s="62"/>
      <x:c r="V164" s="62"/>
      <x:c r="W164" s="83" t="n">
        <x:f>IFERROR(INDEX('Resource Rate Library'!$I$5:$I$85,MATCH(P164,'Resource Rate Library'!$A$5:$A$85,0)),0)</x:f>
        <x:v>0</x:v>
      </x:c>
      <x:c r="X164" s="52"/>
      <x:c r="Y164" s="83" t="n">
        <x:f t="shared" si="14">IF(X164&gt;0,X164,W164)</x:f>
        <x:v>0</x:v>
      </x:c>
      <x:c r="Z164" s="83" t="str">
        <x:f t="shared" si="15">IF(B164="","",IF(N164="Time x Count",M164*R164*IF(U164="",1,U164)*Y164,IF(N164="QS Qty x Factor",E164*R164*(1+IF(V164="",0,V164))*Y164,IF(N164="Direct Qty",S164*(1+IF(V164="",0,V164))*Y164,IF(N164="Lump Sum / Quote",S164*Y164,0)))))</x:f>
      </x:c>
      <x:c r="AA164" s="81" t="str">
        <x:f>IFERROR(INDEX('Resource Rate Library'!$N$5:$N$85,MATCH(P164,'Resource Rate Library'!$A$5:$A$85,0)),"")</x:f>
      </x:c>
      <x:c r="AB164" s="53"/>
      <x:c r="AC164" s="59"/>
      <x:c r="AD164" s="81" t="str">
        <x:f>IFERROR(INDEX('Resource Rate Library'!$G$5:$G$85,MATCH(P164,'Resource Rate Library'!$A$5:$A$85,0)),"")</x:f>
      </x:c>
      <x:c r="AE164" s="81" t="str">
        <x:f>IFERROR(INDEX('Resource Rate Library'!$H$5:$H$85,MATCH(P164,'Resource Rate Library'!$A$5:$A$85,0)),"")</x:f>
      </x:c>
      <x:c r="AF164" s="53"/>
      <x:c r="AG164" s="53"/>
      <x:c r="AH164" s="53"/>
      <x:c r="AI164" s="81" t="str">
        <x:f t="shared" si="16">IF(B164="","",IF(AND(P164="",N164&lt;&gt;"Lump Sum / Quote"),"RESOURCE CODE",IF(Y164=0,"RATE MISSING",IF(AND(O164="Plant",AD164="Yes",COUNTIFS($B$7:$B$306,B164,$O$7:$O$306,"Labour",$Q$7:$Q$306,"*Operator*")&gt;0),"OPERATOR DOUBLE-COUNT",IF(AND(O164="Plant",AE164="Yes",COUNTIFS($B$7:$B$306,B164,$Q$7:$Q$306,"*Fuel*")&gt;0),"FUEL DOUBLE-COUNT",IF(AH164&lt;&gt;"Yes","VERIFY","OK"))))))</x:f>
      </x:c>
      <x:c r="AJ164" s="54"/>
      <x:c r="AK164" s="473"/>
      <x:c r="AL164" s="473"/>
      <x:c r="AM164" s="473"/>
      <x:c r="AN164" s="500" t="n">
        <x:f>IF(AND(AK164="Yes",OR(O164="Labour",O164="Plant")),Z164,0)</x:f>
        <x:v>0</x:v>
      </x:c>
    </x:row>
    <x:row r="165">
      <x:c r="A165" s="80" t="str">
        <x:f>IF(B165="","",B165&amp;"-"&amp;TEXT(COUNTIF($B$7:B165,B165),"000"))</x:f>
      </x:c>
      <x:c r="B165" s="53"/>
      <x:c r="C165" s="81" t="str">
        <x:f>IFERROR(INDEX('QS Takeoff'!$A$3:$A$194,MATCH(B165,'QS Takeoff'!$B$3:$B$194,0)),"")</x:f>
      </x:c>
      <x:c r="D165" s="81" t="str">
        <x:f>IFERROR(INDEX('QS Takeoff'!$C$3:$C$194,MATCH(B165,'QS Takeoff'!$B$3:$B$194,0)),"")</x:f>
      </x:c>
      <x:c r="E165" s="81" t="str">
        <x:f>IFERROR(INDEX('QS Takeoff'!$E$3:$E$194,MATCH(B165,'QS Takeoff'!$B$3:$B$194,0)),"")</x:f>
      </x:c>
      <x:c r="F165" s="81" t="str">
        <x:f>IFERROR(INDEX('QS Takeoff'!$D$3:$D$194,MATCH(B165,'QS Takeoff'!$B$3:$B$194,0)),"")</x:f>
      </x:c>
      <x:c r="G165" s="81" t="str">
        <x:f>IFERROR(INDEX('QS Takeoff'!$J$3:$J$194,MATCH(B165,'QS Takeoff'!$B$3:$B$194,0)),"")</x:f>
      </x:c>
      <x:c r="H165" s="53"/>
      <x:c r="I165" s="60"/>
      <x:c r="J165" s="60"/>
      <x:c r="K165" s="82" t="str">
        <x:f t="shared" si="12">IF(OR(B165="",I165="",I165=0),"",E165/I165)</x:f>
      </x:c>
      <x:c r="L165" s="60"/>
      <x:c r="M165" s="82" t="str">
        <x:f t="shared" si="13">IF(L165&gt;0,L165,K165)</x:f>
      </x:c>
      <x:c r="N165" s="53"/>
      <x:c r="O165" s="53"/>
      <x:c r="P165" s="53"/>
      <x:c r="Q165" s="81" t="str">
        <x:f>IFERROR(INDEX('Resource Rate Library'!$C$5:$C$85,MATCH(P165,'Resource Rate Library'!$A$5:$A$85,0)),"")</x:f>
      </x:c>
      <x:c r="R165" s="53"/>
      <x:c r="S165" s="53"/>
      <x:c r="T165" s="81" t="str">
        <x:f>IFERROR(INDEX('Resource Rate Library'!$E$5:$E$85,MATCH(P165,'Resource Rate Library'!$A$5:$A$85,0)),"")</x:f>
      </x:c>
      <x:c r="U165" s="62"/>
      <x:c r="V165" s="62"/>
      <x:c r="W165" s="83" t="n">
        <x:f>IFERROR(INDEX('Resource Rate Library'!$I$5:$I$85,MATCH(P165,'Resource Rate Library'!$A$5:$A$85,0)),0)</x:f>
        <x:v>0</x:v>
      </x:c>
      <x:c r="X165" s="52"/>
      <x:c r="Y165" s="83" t="n">
        <x:f t="shared" si="14">IF(X165&gt;0,X165,W165)</x:f>
        <x:v>0</x:v>
      </x:c>
      <x:c r="Z165" s="83" t="str">
        <x:f t="shared" si="15">IF(B165="","",IF(N165="Time x Count",M165*R165*IF(U165="",1,U165)*Y165,IF(N165="QS Qty x Factor",E165*R165*(1+IF(V165="",0,V165))*Y165,IF(N165="Direct Qty",S165*(1+IF(V165="",0,V165))*Y165,IF(N165="Lump Sum / Quote",S165*Y165,0)))))</x:f>
      </x:c>
      <x:c r="AA165" s="81" t="str">
        <x:f>IFERROR(INDEX('Resource Rate Library'!$N$5:$N$85,MATCH(P165,'Resource Rate Library'!$A$5:$A$85,0)),"")</x:f>
      </x:c>
      <x:c r="AB165" s="53"/>
      <x:c r="AC165" s="59"/>
      <x:c r="AD165" s="81" t="str">
        <x:f>IFERROR(INDEX('Resource Rate Library'!$G$5:$G$85,MATCH(P165,'Resource Rate Library'!$A$5:$A$85,0)),"")</x:f>
      </x:c>
      <x:c r="AE165" s="81" t="str">
        <x:f>IFERROR(INDEX('Resource Rate Library'!$H$5:$H$85,MATCH(P165,'Resource Rate Library'!$A$5:$A$85,0)),"")</x:f>
      </x:c>
      <x:c r="AF165" s="53"/>
      <x:c r="AG165" s="53"/>
      <x:c r="AH165" s="53"/>
      <x:c r="AI165" s="81" t="str">
        <x:f t="shared" si="16">IF(B165="","",IF(AND(P165="",N165&lt;&gt;"Lump Sum / Quote"),"RESOURCE CODE",IF(Y165=0,"RATE MISSING",IF(AND(O165="Plant",AD165="Yes",COUNTIFS($B$7:$B$306,B165,$O$7:$O$306,"Labour",$Q$7:$Q$306,"*Operator*")&gt;0),"OPERATOR DOUBLE-COUNT",IF(AND(O165="Plant",AE165="Yes",COUNTIFS($B$7:$B$306,B165,$Q$7:$Q$306,"*Fuel*")&gt;0),"FUEL DOUBLE-COUNT",IF(AH165&lt;&gt;"Yes","VERIFY","OK"))))))</x:f>
      </x:c>
      <x:c r="AJ165" s="54"/>
      <x:c r="AK165" s="473"/>
      <x:c r="AL165" s="473"/>
      <x:c r="AM165" s="473"/>
      <x:c r="AN165" s="500" t="n">
        <x:f>IF(AND(AK165="Yes",OR(O165="Labour",O165="Plant")),Z165,0)</x:f>
        <x:v>0</x:v>
      </x:c>
    </x:row>
    <x:row r="166">
      <x:c r="A166" s="80" t="str">
        <x:f>IF(B166="","",B166&amp;"-"&amp;TEXT(COUNTIF($B$7:B166,B166),"000"))</x:f>
      </x:c>
      <x:c r="B166" s="53"/>
      <x:c r="C166" s="81" t="str">
        <x:f>IFERROR(INDEX('QS Takeoff'!$A$3:$A$194,MATCH(B166,'QS Takeoff'!$B$3:$B$194,0)),"")</x:f>
      </x:c>
      <x:c r="D166" s="81" t="str">
        <x:f>IFERROR(INDEX('QS Takeoff'!$C$3:$C$194,MATCH(B166,'QS Takeoff'!$B$3:$B$194,0)),"")</x:f>
      </x:c>
      <x:c r="E166" s="81" t="str">
        <x:f>IFERROR(INDEX('QS Takeoff'!$E$3:$E$194,MATCH(B166,'QS Takeoff'!$B$3:$B$194,0)),"")</x:f>
      </x:c>
      <x:c r="F166" s="81" t="str">
        <x:f>IFERROR(INDEX('QS Takeoff'!$D$3:$D$194,MATCH(B166,'QS Takeoff'!$B$3:$B$194,0)),"")</x:f>
      </x:c>
      <x:c r="G166" s="81" t="str">
        <x:f>IFERROR(INDEX('QS Takeoff'!$J$3:$J$194,MATCH(B166,'QS Takeoff'!$B$3:$B$194,0)),"")</x:f>
      </x:c>
      <x:c r="H166" s="53"/>
      <x:c r="I166" s="60"/>
      <x:c r="J166" s="60"/>
      <x:c r="K166" s="82" t="str">
        <x:f t="shared" si="12">IF(OR(B166="",I166="",I166=0),"",E166/I166)</x:f>
      </x:c>
      <x:c r="L166" s="60"/>
      <x:c r="M166" s="82" t="str">
        <x:f t="shared" si="13">IF(L166&gt;0,L166,K166)</x:f>
      </x:c>
      <x:c r="N166" s="53"/>
      <x:c r="O166" s="53"/>
      <x:c r="P166" s="53"/>
      <x:c r="Q166" s="81" t="str">
        <x:f>IFERROR(INDEX('Resource Rate Library'!$C$5:$C$85,MATCH(P166,'Resource Rate Library'!$A$5:$A$85,0)),"")</x:f>
      </x:c>
      <x:c r="R166" s="53"/>
      <x:c r="S166" s="53"/>
      <x:c r="T166" s="81" t="str">
        <x:f>IFERROR(INDEX('Resource Rate Library'!$E$5:$E$85,MATCH(P166,'Resource Rate Library'!$A$5:$A$85,0)),"")</x:f>
      </x:c>
      <x:c r="U166" s="62"/>
      <x:c r="V166" s="62"/>
      <x:c r="W166" s="83" t="n">
        <x:f>IFERROR(INDEX('Resource Rate Library'!$I$5:$I$85,MATCH(P166,'Resource Rate Library'!$A$5:$A$85,0)),0)</x:f>
        <x:v>0</x:v>
      </x:c>
      <x:c r="X166" s="52"/>
      <x:c r="Y166" s="83" t="n">
        <x:f t="shared" si="14">IF(X166&gt;0,X166,W166)</x:f>
        <x:v>0</x:v>
      </x:c>
      <x:c r="Z166" s="83" t="str">
        <x:f t="shared" si="15">IF(B166="","",IF(N166="Time x Count",M166*R166*IF(U166="",1,U166)*Y166,IF(N166="QS Qty x Factor",E166*R166*(1+IF(V166="",0,V166))*Y166,IF(N166="Direct Qty",S166*(1+IF(V166="",0,V166))*Y166,IF(N166="Lump Sum / Quote",S166*Y166,0)))))</x:f>
      </x:c>
      <x:c r="AA166" s="81" t="str">
        <x:f>IFERROR(INDEX('Resource Rate Library'!$N$5:$N$85,MATCH(P166,'Resource Rate Library'!$A$5:$A$85,0)),"")</x:f>
      </x:c>
      <x:c r="AB166" s="53"/>
      <x:c r="AC166" s="59"/>
      <x:c r="AD166" s="81" t="str">
        <x:f>IFERROR(INDEX('Resource Rate Library'!$G$5:$G$85,MATCH(P166,'Resource Rate Library'!$A$5:$A$85,0)),"")</x:f>
      </x:c>
      <x:c r="AE166" s="81" t="str">
        <x:f>IFERROR(INDEX('Resource Rate Library'!$H$5:$H$85,MATCH(P166,'Resource Rate Library'!$A$5:$A$85,0)),"")</x:f>
      </x:c>
      <x:c r="AF166" s="53"/>
      <x:c r="AG166" s="53"/>
      <x:c r="AH166" s="53"/>
      <x:c r="AI166" s="81" t="str">
        <x:f t="shared" si="16">IF(B166="","",IF(AND(P166="",N166&lt;&gt;"Lump Sum / Quote"),"RESOURCE CODE",IF(Y166=0,"RATE MISSING",IF(AND(O166="Plant",AD166="Yes",COUNTIFS($B$7:$B$306,B166,$O$7:$O$306,"Labour",$Q$7:$Q$306,"*Operator*")&gt;0),"OPERATOR DOUBLE-COUNT",IF(AND(O166="Plant",AE166="Yes",COUNTIFS($B$7:$B$306,B166,$Q$7:$Q$306,"*Fuel*")&gt;0),"FUEL DOUBLE-COUNT",IF(AH166&lt;&gt;"Yes","VERIFY","OK"))))))</x:f>
      </x:c>
      <x:c r="AJ166" s="54"/>
      <x:c r="AK166" s="473"/>
      <x:c r="AL166" s="473"/>
      <x:c r="AM166" s="473"/>
      <x:c r="AN166" s="500" t="n">
        <x:f>IF(AND(AK166="Yes",OR(O166="Labour",O166="Plant")),Z166,0)</x:f>
        <x:v>0</x:v>
      </x:c>
    </x:row>
    <x:row r="167">
      <x:c r="A167" s="80" t="str">
        <x:f>IF(B167="","",B167&amp;"-"&amp;TEXT(COUNTIF($B$7:B167,B167),"000"))</x:f>
      </x:c>
      <x:c r="B167" s="53"/>
      <x:c r="C167" s="81" t="str">
        <x:f>IFERROR(INDEX('QS Takeoff'!$A$3:$A$194,MATCH(B167,'QS Takeoff'!$B$3:$B$194,0)),"")</x:f>
      </x:c>
      <x:c r="D167" s="81" t="str">
        <x:f>IFERROR(INDEX('QS Takeoff'!$C$3:$C$194,MATCH(B167,'QS Takeoff'!$B$3:$B$194,0)),"")</x:f>
      </x:c>
      <x:c r="E167" s="81" t="str">
        <x:f>IFERROR(INDEX('QS Takeoff'!$E$3:$E$194,MATCH(B167,'QS Takeoff'!$B$3:$B$194,0)),"")</x:f>
      </x:c>
      <x:c r="F167" s="81" t="str">
        <x:f>IFERROR(INDEX('QS Takeoff'!$D$3:$D$194,MATCH(B167,'QS Takeoff'!$B$3:$B$194,0)),"")</x:f>
      </x:c>
      <x:c r="G167" s="81" t="str">
        <x:f>IFERROR(INDEX('QS Takeoff'!$J$3:$J$194,MATCH(B167,'QS Takeoff'!$B$3:$B$194,0)),"")</x:f>
      </x:c>
      <x:c r="H167" s="53"/>
      <x:c r="I167" s="60"/>
      <x:c r="J167" s="60"/>
      <x:c r="K167" s="82" t="str">
        <x:f t="shared" si="12">IF(OR(B167="",I167="",I167=0),"",E167/I167)</x:f>
      </x:c>
      <x:c r="L167" s="60"/>
      <x:c r="M167" s="82" t="str">
        <x:f t="shared" si="13">IF(L167&gt;0,L167,K167)</x:f>
      </x:c>
      <x:c r="N167" s="53"/>
      <x:c r="O167" s="53"/>
      <x:c r="P167" s="53"/>
      <x:c r="Q167" s="81" t="str">
        <x:f>IFERROR(INDEX('Resource Rate Library'!$C$5:$C$85,MATCH(P167,'Resource Rate Library'!$A$5:$A$85,0)),"")</x:f>
      </x:c>
      <x:c r="R167" s="53"/>
      <x:c r="S167" s="53"/>
      <x:c r="T167" s="81" t="str">
        <x:f>IFERROR(INDEX('Resource Rate Library'!$E$5:$E$85,MATCH(P167,'Resource Rate Library'!$A$5:$A$85,0)),"")</x:f>
      </x:c>
      <x:c r="U167" s="62"/>
      <x:c r="V167" s="62"/>
      <x:c r="W167" s="83" t="n">
        <x:f>IFERROR(INDEX('Resource Rate Library'!$I$5:$I$85,MATCH(P167,'Resource Rate Library'!$A$5:$A$85,0)),0)</x:f>
        <x:v>0</x:v>
      </x:c>
      <x:c r="X167" s="52"/>
      <x:c r="Y167" s="83" t="n">
        <x:f t="shared" si="14">IF(X167&gt;0,X167,W167)</x:f>
        <x:v>0</x:v>
      </x:c>
      <x:c r="Z167" s="83" t="str">
        <x:f t="shared" si="15">IF(B167="","",IF(N167="Time x Count",M167*R167*IF(U167="",1,U167)*Y167,IF(N167="QS Qty x Factor",E167*R167*(1+IF(V167="",0,V167))*Y167,IF(N167="Direct Qty",S167*(1+IF(V167="",0,V167))*Y167,IF(N167="Lump Sum / Quote",S167*Y167,0)))))</x:f>
      </x:c>
      <x:c r="AA167" s="81" t="str">
        <x:f>IFERROR(INDEX('Resource Rate Library'!$N$5:$N$85,MATCH(P167,'Resource Rate Library'!$A$5:$A$85,0)),"")</x:f>
      </x:c>
      <x:c r="AB167" s="53"/>
      <x:c r="AC167" s="59"/>
      <x:c r="AD167" s="81" t="str">
        <x:f>IFERROR(INDEX('Resource Rate Library'!$G$5:$G$85,MATCH(P167,'Resource Rate Library'!$A$5:$A$85,0)),"")</x:f>
      </x:c>
      <x:c r="AE167" s="81" t="str">
        <x:f>IFERROR(INDEX('Resource Rate Library'!$H$5:$H$85,MATCH(P167,'Resource Rate Library'!$A$5:$A$85,0)),"")</x:f>
      </x:c>
      <x:c r="AF167" s="53"/>
      <x:c r="AG167" s="53"/>
      <x:c r="AH167" s="53"/>
      <x:c r="AI167" s="81" t="str">
        <x:f t="shared" si="16">IF(B167="","",IF(AND(P167="",N167&lt;&gt;"Lump Sum / Quote"),"RESOURCE CODE",IF(Y167=0,"RATE MISSING",IF(AND(O167="Plant",AD167="Yes",COUNTIFS($B$7:$B$306,B167,$O$7:$O$306,"Labour",$Q$7:$Q$306,"*Operator*")&gt;0),"OPERATOR DOUBLE-COUNT",IF(AND(O167="Plant",AE167="Yes",COUNTIFS($B$7:$B$306,B167,$Q$7:$Q$306,"*Fuel*")&gt;0),"FUEL DOUBLE-COUNT",IF(AH167&lt;&gt;"Yes","VERIFY","OK"))))))</x:f>
      </x:c>
      <x:c r="AJ167" s="54"/>
      <x:c r="AK167" s="473"/>
      <x:c r="AL167" s="473"/>
      <x:c r="AM167" s="473"/>
      <x:c r="AN167" s="500" t="n">
        <x:f>IF(AND(AK167="Yes",OR(O167="Labour",O167="Plant")),Z167,0)</x:f>
        <x:v>0</x:v>
      </x:c>
    </x:row>
    <x:row r="168">
      <x:c r="A168" s="80" t="str">
        <x:f>IF(B168="","",B168&amp;"-"&amp;TEXT(COUNTIF($B$7:B168,B168),"000"))</x:f>
      </x:c>
      <x:c r="B168" s="53"/>
      <x:c r="C168" s="81" t="str">
        <x:f>IFERROR(INDEX('QS Takeoff'!$A$3:$A$194,MATCH(B168,'QS Takeoff'!$B$3:$B$194,0)),"")</x:f>
      </x:c>
      <x:c r="D168" s="81" t="str">
        <x:f>IFERROR(INDEX('QS Takeoff'!$C$3:$C$194,MATCH(B168,'QS Takeoff'!$B$3:$B$194,0)),"")</x:f>
      </x:c>
      <x:c r="E168" s="81" t="str">
        <x:f>IFERROR(INDEX('QS Takeoff'!$E$3:$E$194,MATCH(B168,'QS Takeoff'!$B$3:$B$194,0)),"")</x:f>
      </x:c>
      <x:c r="F168" s="81" t="str">
        <x:f>IFERROR(INDEX('QS Takeoff'!$D$3:$D$194,MATCH(B168,'QS Takeoff'!$B$3:$B$194,0)),"")</x:f>
      </x:c>
      <x:c r="G168" s="81" t="str">
        <x:f>IFERROR(INDEX('QS Takeoff'!$J$3:$J$194,MATCH(B168,'QS Takeoff'!$B$3:$B$194,0)),"")</x:f>
      </x:c>
      <x:c r="H168" s="53"/>
      <x:c r="I168" s="60"/>
      <x:c r="J168" s="60"/>
      <x:c r="K168" s="82" t="str">
        <x:f t="shared" si="12">IF(OR(B168="",I168="",I168=0),"",E168/I168)</x:f>
      </x:c>
      <x:c r="L168" s="60"/>
      <x:c r="M168" s="82" t="str">
        <x:f t="shared" si="13">IF(L168&gt;0,L168,K168)</x:f>
      </x:c>
      <x:c r="N168" s="53"/>
      <x:c r="O168" s="53"/>
      <x:c r="P168" s="53"/>
      <x:c r="Q168" s="81" t="str">
        <x:f>IFERROR(INDEX('Resource Rate Library'!$C$5:$C$85,MATCH(P168,'Resource Rate Library'!$A$5:$A$85,0)),"")</x:f>
      </x:c>
      <x:c r="R168" s="53"/>
      <x:c r="S168" s="53"/>
      <x:c r="T168" s="81" t="str">
        <x:f>IFERROR(INDEX('Resource Rate Library'!$E$5:$E$85,MATCH(P168,'Resource Rate Library'!$A$5:$A$85,0)),"")</x:f>
      </x:c>
      <x:c r="U168" s="62"/>
      <x:c r="V168" s="62"/>
      <x:c r="W168" s="83" t="n">
        <x:f>IFERROR(INDEX('Resource Rate Library'!$I$5:$I$85,MATCH(P168,'Resource Rate Library'!$A$5:$A$85,0)),0)</x:f>
        <x:v>0</x:v>
      </x:c>
      <x:c r="X168" s="52"/>
      <x:c r="Y168" s="83" t="n">
        <x:f t="shared" si="14">IF(X168&gt;0,X168,W168)</x:f>
        <x:v>0</x:v>
      </x:c>
      <x:c r="Z168" s="83" t="str">
        <x:f t="shared" si="15">IF(B168="","",IF(N168="Time x Count",M168*R168*IF(U168="",1,U168)*Y168,IF(N168="QS Qty x Factor",E168*R168*(1+IF(V168="",0,V168))*Y168,IF(N168="Direct Qty",S168*(1+IF(V168="",0,V168))*Y168,IF(N168="Lump Sum / Quote",S168*Y168,0)))))</x:f>
      </x:c>
      <x:c r="AA168" s="81" t="str">
        <x:f>IFERROR(INDEX('Resource Rate Library'!$N$5:$N$85,MATCH(P168,'Resource Rate Library'!$A$5:$A$85,0)),"")</x:f>
      </x:c>
      <x:c r="AB168" s="53"/>
      <x:c r="AC168" s="59"/>
      <x:c r="AD168" s="81" t="str">
        <x:f>IFERROR(INDEX('Resource Rate Library'!$G$5:$G$85,MATCH(P168,'Resource Rate Library'!$A$5:$A$85,0)),"")</x:f>
      </x:c>
      <x:c r="AE168" s="81" t="str">
        <x:f>IFERROR(INDEX('Resource Rate Library'!$H$5:$H$85,MATCH(P168,'Resource Rate Library'!$A$5:$A$85,0)),"")</x:f>
      </x:c>
      <x:c r="AF168" s="53"/>
      <x:c r="AG168" s="53"/>
      <x:c r="AH168" s="53"/>
      <x:c r="AI168" s="81" t="str">
        <x:f t="shared" si="16">IF(B168="","",IF(AND(P168="",N168&lt;&gt;"Lump Sum / Quote"),"RESOURCE CODE",IF(Y168=0,"RATE MISSING",IF(AND(O168="Plant",AD168="Yes",COUNTIFS($B$7:$B$306,B168,$O$7:$O$306,"Labour",$Q$7:$Q$306,"*Operator*")&gt;0),"OPERATOR DOUBLE-COUNT",IF(AND(O168="Plant",AE168="Yes",COUNTIFS($B$7:$B$306,B168,$Q$7:$Q$306,"*Fuel*")&gt;0),"FUEL DOUBLE-COUNT",IF(AH168&lt;&gt;"Yes","VERIFY","OK"))))))</x:f>
      </x:c>
      <x:c r="AJ168" s="54"/>
      <x:c r="AK168" s="473"/>
      <x:c r="AL168" s="473"/>
      <x:c r="AM168" s="473"/>
      <x:c r="AN168" s="500" t="n">
        <x:f>IF(AND(AK168="Yes",OR(O168="Labour",O168="Plant")),Z168,0)</x:f>
        <x:v>0</x:v>
      </x:c>
    </x:row>
    <x:row r="169">
      <x:c r="A169" s="80" t="str">
        <x:f>IF(B169="","",B169&amp;"-"&amp;TEXT(COUNTIF($B$7:B169,B169),"000"))</x:f>
      </x:c>
      <x:c r="B169" s="53"/>
      <x:c r="C169" s="81" t="str">
        <x:f>IFERROR(INDEX('QS Takeoff'!$A$3:$A$194,MATCH(B169,'QS Takeoff'!$B$3:$B$194,0)),"")</x:f>
      </x:c>
      <x:c r="D169" s="81" t="str">
        <x:f>IFERROR(INDEX('QS Takeoff'!$C$3:$C$194,MATCH(B169,'QS Takeoff'!$B$3:$B$194,0)),"")</x:f>
      </x:c>
      <x:c r="E169" s="81" t="str">
        <x:f>IFERROR(INDEX('QS Takeoff'!$E$3:$E$194,MATCH(B169,'QS Takeoff'!$B$3:$B$194,0)),"")</x:f>
      </x:c>
      <x:c r="F169" s="81" t="str">
        <x:f>IFERROR(INDEX('QS Takeoff'!$D$3:$D$194,MATCH(B169,'QS Takeoff'!$B$3:$B$194,0)),"")</x:f>
      </x:c>
      <x:c r="G169" s="81" t="str">
        <x:f>IFERROR(INDEX('QS Takeoff'!$J$3:$J$194,MATCH(B169,'QS Takeoff'!$B$3:$B$194,0)),"")</x:f>
      </x:c>
      <x:c r="H169" s="53"/>
      <x:c r="I169" s="60"/>
      <x:c r="J169" s="60"/>
      <x:c r="K169" s="82" t="str">
        <x:f t="shared" si="12">IF(OR(B169="",I169="",I169=0),"",E169/I169)</x:f>
      </x:c>
      <x:c r="L169" s="60"/>
      <x:c r="M169" s="82" t="str">
        <x:f t="shared" si="13">IF(L169&gt;0,L169,K169)</x:f>
      </x:c>
      <x:c r="N169" s="53"/>
      <x:c r="O169" s="53"/>
      <x:c r="P169" s="53"/>
      <x:c r="Q169" s="81" t="str">
        <x:f>IFERROR(INDEX('Resource Rate Library'!$C$5:$C$85,MATCH(P169,'Resource Rate Library'!$A$5:$A$85,0)),"")</x:f>
      </x:c>
      <x:c r="R169" s="53"/>
      <x:c r="S169" s="53"/>
      <x:c r="T169" s="81" t="str">
        <x:f>IFERROR(INDEX('Resource Rate Library'!$E$5:$E$85,MATCH(P169,'Resource Rate Library'!$A$5:$A$85,0)),"")</x:f>
      </x:c>
      <x:c r="U169" s="62"/>
      <x:c r="V169" s="62"/>
      <x:c r="W169" s="83" t="n">
        <x:f>IFERROR(INDEX('Resource Rate Library'!$I$5:$I$85,MATCH(P169,'Resource Rate Library'!$A$5:$A$85,0)),0)</x:f>
        <x:v>0</x:v>
      </x:c>
      <x:c r="X169" s="52"/>
      <x:c r="Y169" s="83" t="n">
        <x:f t="shared" si="14">IF(X169&gt;0,X169,W169)</x:f>
        <x:v>0</x:v>
      </x:c>
      <x:c r="Z169" s="83" t="str">
        <x:f t="shared" si="15">IF(B169="","",IF(N169="Time x Count",M169*R169*IF(U169="",1,U169)*Y169,IF(N169="QS Qty x Factor",E169*R169*(1+IF(V169="",0,V169))*Y169,IF(N169="Direct Qty",S169*(1+IF(V169="",0,V169))*Y169,IF(N169="Lump Sum / Quote",S169*Y169,0)))))</x:f>
      </x:c>
      <x:c r="AA169" s="81" t="str">
        <x:f>IFERROR(INDEX('Resource Rate Library'!$N$5:$N$85,MATCH(P169,'Resource Rate Library'!$A$5:$A$85,0)),"")</x:f>
      </x:c>
      <x:c r="AB169" s="53"/>
      <x:c r="AC169" s="59"/>
      <x:c r="AD169" s="81" t="str">
        <x:f>IFERROR(INDEX('Resource Rate Library'!$G$5:$G$85,MATCH(P169,'Resource Rate Library'!$A$5:$A$85,0)),"")</x:f>
      </x:c>
      <x:c r="AE169" s="81" t="str">
        <x:f>IFERROR(INDEX('Resource Rate Library'!$H$5:$H$85,MATCH(P169,'Resource Rate Library'!$A$5:$A$85,0)),"")</x:f>
      </x:c>
      <x:c r="AF169" s="53"/>
      <x:c r="AG169" s="53"/>
      <x:c r="AH169" s="53"/>
      <x:c r="AI169" s="81" t="str">
        <x:f t="shared" si="16">IF(B169="","",IF(AND(P169="",N169&lt;&gt;"Lump Sum / Quote"),"RESOURCE CODE",IF(Y169=0,"RATE MISSING",IF(AND(O169="Plant",AD169="Yes",COUNTIFS($B$7:$B$306,B169,$O$7:$O$306,"Labour",$Q$7:$Q$306,"*Operator*")&gt;0),"OPERATOR DOUBLE-COUNT",IF(AND(O169="Plant",AE169="Yes",COUNTIFS($B$7:$B$306,B169,$Q$7:$Q$306,"*Fuel*")&gt;0),"FUEL DOUBLE-COUNT",IF(AH169&lt;&gt;"Yes","VERIFY","OK"))))))</x:f>
      </x:c>
      <x:c r="AJ169" s="54"/>
      <x:c r="AK169" s="473"/>
      <x:c r="AL169" s="473"/>
      <x:c r="AM169" s="473"/>
      <x:c r="AN169" s="500" t="n">
        <x:f>IF(AND(AK169="Yes",OR(O169="Labour",O169="Plant")),Z169,0)</x:f>
        <x:v>0</x:v>
      </x:c>
    </x:row>
    <x:row r="170">
      <x:c r="A170" s="80" t="str">
        <x:f>IF(B170="","",B170&amp;"-"&amp;TEXT(COUNTIF($B$7:B170,B170),"000"))</x:f>
      </x:c>
      <x:c r="B170" s="53"/>
      <x:c r="C170" s="81" t="str">
        <x:f>IFERROR(INDEX('QS Takeoff'!$A$3:$A$194,MATCH(B170,'QS Takeoff'!$B$3:$B$194,0)),"")</x:f>
      </x:c>
      <x:c r="D170" s="81" t="str">
        <x:f>IFERROR(INDEX('QS Takeoff'!$C$3:$C$194,MATCH(B170,'QS Takeoff'!$B$3:$B$194,0)),"")</x:f>
      </x:c>
      <x:c r="E170" s="81" t="str">
        <x:f>IFERROR(INDEX('QS Takeoff'!$E$3:$E$194,MATCH(B170,'QS Takeoff'!$B$3:$B$194,0)),"")</x:f>
      </x:c>
      <x:c r="F170" s="81" t="str">
        <x:f>IFERROR(INDEX('QS Takeoff'!$D$3:$D$194,MATCH(B170,'QS Takeoff'!$B$3:$B$194,0)),"")</x:f>
      </x:c>
      <x:c r="G170" s="81" t="str">
        <x:f>IFERROR(INDEX('QS Takeoff'!$J$3:$J$194,MATCH(B170,'QS Takeoff'!$B$3:$B$194,0)),"")</x:f>
      </x:c>
      <x:c r="H170" s="53"/>
      <x:c r="I170" s="60"/>
      <x:c r="J170" s="60"/>
      <x:c r="K170" s="82" t="str">
        <x:f t="shared" si="12">IF(OR(B170="",I170="",I170=0),"",E170/I170)</x:f>
      </x:c>
      <x:c r="L170" s="60"/>
      <x:c r="M170" s="82" t="str">
        <x:f t="shared" si="13">IF(L170&gt;0,L170,K170)</x:f>
      </x:c>
      <x:c r="N170" s="53"/>
      <x:c r="O170" s="53"/>
      <x:c r="P170" s="53"/>
      <x:c r="Q170" s="81" t="str">
        <x:f>IFERROR(INDEX('Resource Rate Library'!$C$5:$C$85,MATCH(P170,'Resource Rate Library'!$A$5:$A$85,0)),"")</x:f>
      </x:c>
      <x:c r="R170" s="53"/>
      <x:c r="S170" s="53"/>
      <x:c r="T170" s="81" t="str">
        <x:f>IFERROR(INDEX('Resource Rate Library'!$E$5:$E$85,MATCH(P170,'Resource Rate Library'!$A$5:$A$85,0)),"")</x:f>
      </x:c>
      <x:c r="U170" s="62"/>
      <x:c r="V170" s="62"/>
      <x:c r="W170" s="83" t="n">
        <x:f>IFERROR(INDEX('Resource Rate Library'!$I$5:$I$85,MATCH(P170,'Resource Rate Library'!$A$5:$A$85,0)),0)</x:f>
        <x:v>0</x:v>
      </x:c>
      <x:c r="X170" s="52"/>
      <x:c r="Y170" s="83" t="n">
        <x:f t="shared" si="14">IF(X170&gt;0,X170,W170)</x:f>
        <x:v>0</x:v>
      </x:c>
      <x:c r="Z170" s="83" t="str">
        <x:f t="shared" si="15">IF(B170="","",IF(N170="Time x Count",M170*R170*IF(U170="",1,U170)*Y170,IF(N170="QS Qty x Factor",E170*R170*(1+IF(V170="",0,V170))*Y170,IF(N170="Direct Qty",S170*(1+IF(V170="",0,V170))*Y170,IF(N170="Lump Sum / Quote",S170*Y170,0)))))</x:f>
      </x:c>
      <x:c r="AA170" s="81" t="str">
        <x:f>IFERROR(INDEX('Resource Rate Library'!$N$5:$N$85,MATCH(P170,'Resource Rate Library'!$A$5:$A$85,0)),"")</x:f>
      </x:c>
      <x:c r="AB170" s="53"/>
      <x:c r="AC170" s="59"/>
      <x:c r="AD170" s="81" t="str">
        <x:f>IFERROR(INDEX('Resource Rate Library'!$G$5:$G$85,MATCH(P170,'Resource Rate Library'!$A$5:$A$85,0)),"")</x:f>
      </x:c>
      <x:c r="AE170" s="81" t="str">
        <x:f>IFERROR(INDEX('Resource Rate Library'!$H$5:$H$85,MATCH(P170,'Resource Rate Library'!$A$5:$A$85,0)),"")</x:f>
      </x:c>
      <x:c r="AF170" s="53"/>
      <x:c r="AG170" s="53"/>
      <x:c r="AH170" s="53"/>
      <x:c r="AI170" s="81" t="str">
        <x:f t="shared" si="16">IF(B170="","",IF(AND(P170="",N170&lt;&gt;"Lump Sum / Quote"),"RESOURCE CODE",IF(Y170=0,"RATE MISSING",IF(AND(O170="Plant",AD170="Yes",COUNTIFS($B$7:$B$306,B170,$O$7:$O$306,"Labour",$Q$7:$Q$306,"*Operator*")&gt;0),"OPERATOR DOUBLE-COUNT",IF(AND(O170="Plant",AE170="Yes",COUNTIFS($B$7:$B$306,B170,$Q$7:$Q$306,"*Fuel*")&gt;0),"FUEL DOUBLE-COUNT",IF(AH170&lt;&gt;"Yes","VERIFY","OK"))))))</x:f>
      </x:c>
      <x:c r="AJ170" s="54"/>
      <x:c r="AK170" s="473"/>
      <x:c r="AL170" s="473"/>
      <x:c r="AM170" s="473"/>
      <x:c r="AN170" s="500" t="n">
        <x:f>IF(AND(AK170="Yes",OR(O170="Labour",O170="Plant")),Z170,0)</x:f>
        <x:v>0</x:v>
      </x:c>
    </x:row>
    <x:row r="171">
      <x:c r="A171" s="80" t="str">
        <x:f>IF(B171="","",B171&amp;"-"&amp;TEXT(COUNTIF($B$7:B171,B171),"000"))</x:f>
      </x:c>
      <x:c r="B171" s="53"/>
      <x:c r="C171" s="81" t="str">
        <x:f>IFERROR(INDEX('QS Takeoff'!$A$3:$A$194,MATCH(B171,'QS Takeoff'!$B$3:$B$194,0)),"")</x:f>
      </x:c>
      <x:c r="D171" s="81" t="str">
        <x:f>IFERROR(INDEX('QS Takeoff'!$C$3:$C$194,MATCH(B171,'QS Takeoff'!$B$3:$B$194,0)),"")</x:f>
      </x:c>
      <x:c r="E171" s="81" t="str">
        <x:f>IFERROR(INDEX('QS Takeoff'!$E$3:$E$194,MATCH(B171,'QS Takeoff'!$B$3:$B$194,0)),"")</x:f>
      </x:c>
      <x:c r="F171" s="81" t="str">
        <x:f>IFERROR(INDEX('QS Takeoff'!$D$3:$D$194,MATCH(B171,'QS Takeoff'!$B$3:$B$194,0)),"")</x:f>
      </x:c>
      <x:c r="G171" s="81" t="str">
        <x:f>IFERROR(INDEX('QS Takeoff'!$J$3:$J$194,MATCH(B171,'QS Takeoff'!$B$3:$B$194,0)),"")</x:f>
      </x:c>
      <x:c r="H171" s="53"/>
      <x:c r="I171" s="60"/>
      <x:c r="J171" s="60"/>
      <x:c r="K171" s="82" t="str">
        <x:f t="shared" si="12">IF(OR(B171="",I171="",I171=0),"",E171/I171)</x:f>
      </x:c>
      <x:c r="L171" s="60"/>
      <x:c r="M171" s="82" t="str">
        <x:f t="shared" si="13">IF(L171&gt;0,L171,K171)</x:f>
      </x:c>
      <x:c r="N171" s="53"/>
      <x:c r="O171" s="53"/>
      <x:c r="P171" s="53"/>
      <x:c r="Q171" s="81" t="str">
        <x:f>IFERROR(INDEX('Resource Rate Library'!$C$5:$C$85,MATCH(P171,'Resource Rate Library'!$A$5:$A$85,0)),"")</x:f>
      </x:c>
      <x:c r="R171" s="53"/>
      <x:c r="S171" s="53"/>
      <x:c r="T171" s="81" t="str">
        <x:f>IFERROR(INDEX('Resource Rate Library'!$E$5:$E$85,MATCH(P171,'Resource Rate Library'!$A$5:$A$85,0)),"")</x:f>
      </x:c>
      <x:c r="U171" s="62"/>
      <x:c r="V171" s="62"/>
      <x:c r="W171" s="83" t="n">
        <x:f>IFERROR(INDEX('Resource Rate Library'!$I$5:$I$85,MATCH(P171,'Resource Rate Library'!$A$5:$A$85,0)),0)</x:f>
        <x:v>0</x:v>
      </x:c>
      <x:c r="X171" s="52"/>
      <x:c r="Y171" s="83" t="n">
        <x:f t="shared" si="14">IF(X171&gt;0,X171,W171)</x:f>
        <x:v>0</x:v>
      </x:c>
      <x:c r="Z171" s="83" t="str">
        <x:f t="shared" si="15">IF(B171="","",IF(N171="Time x Count",M171*R171*IF(U171="",1,U171)*Y171,IF(N171="QS Qty x Factor",E171*R171*(1+IF(V171="",0,V171))*Y171,IF(N171="Direct Qty",S171*(1+IF(V171="",0,V171))*Y171,IF(N171="Lump Sum / Quote",S171*Y171,0)))))</x:f>
      </x:c>
      <x:c r="AA171" s="81" t="str">
        <x:f>IFERROR(INDEX('Resource Rate Library'!$N$5:$N$85,MATCH(P171,'Resource Rate Library'!$A$5:$A$85,0)),"")</x:f>
      </x:c>
      <x:c r="AB171" s="53"/>
      <x:c r="AC171" s="59"/>
      <x:c r="AD171" s="81" t="str">
        <x:f>IFERROR(INDEX('Resource Rate Library'!$G$5:$G$85,MATCH(P171,'Resource Rate Library'!$A$5:$A$85,0)),"")</x:f>
      </x:c>
      <x:c r="AE171" s="81" t="str">
        <x:f>IFERROR(INDEX('Resource Rate Library'!$H$5:$H$85,MATCH(P171,'Resource Rate Library'!$A$5:$A$85,0)),"")</x:f>
      </x:c>
      <x:c r="AF171" s="53"/>
      <x:c r="AG171" s="53"/>
      <x:c r="AH171" s="53"/>
      <x:c r="AI171" s="81" t="str">
        <x:f t="shared" si="16">IF(B171="","",IF(AND(P171="",N171&lt;&gt;"Lump Sum / Quote"),"RESOURCE CODE",IF(Y171=0,"RATE MISSING",IF(AND(O171="Plant",AD171="Yes",COUNTIFS($B$7:$B$306,B171,$O$7:$O$306,"Labour",$Q$7:$Q$306,"*Operator*")&gt;0),"OPERATOR DOUBLE-COUNT",IF(AND(O171="Plant",AE171="Yes",COUNTIFS($B$7:$B$306,B171,$Q$7:$Q$306,"*Fuel*")&gt;0),"FUEL DOUBLE-COUNT",IF(AH171&lt;&gt;"Yes","VERIFY","OK"))))))</x:f>
      </x:c>
      <x:c r="AJ171" s="54"/>
      <x:c r="AK171" s="473"/>
      <x:c r="AL171" s="473"/>
      <x:c r="AM171" s="473"/>
      <x:c r="AN171" s="500" t="n">
        <x:f>IF(AND(AK171="Yes",OR(O171="Labour",O171="Plant")),Z171,0)</x:f>
        <x:v>0</x:v>
      </x:c>
    </x:row>
    <x:row r="172">
      <x:c r="A172" s="80" t="str">
        <x:f>IF(B172="","",B172&amp;"-"&amp;TEXT(COUNTIF($B$7:B172,B172),"000"))</x:f>
      </x:c>
      <x:c r="B172" s="53"/>
      <x:c r="C172" s="81" t="str">
        <x:f>IFERROR(INDEX('QS Takeoff'!$A$3:$A$194,MATCH(B172,'QS Takeoff'!$B$3:$B$194,0)),"")</x:f>
      </x:c>
      <x:c r="D172" s="81" t="str">
        <x:f>IFERROR(INDEX('QS Takeoff'!$C$3:$C$194,MATCH(B172,'QS Takeoff'!$B$3:$B$194,0)),"")</x:f>
      </x:c>
      <x:c r="E172" s="81" t="str">
        <x:f>IFERROR(INDEX('QS Takeoff'!$E$3:$E$194,MATCH(B172,'QS Takeoff'!$B$3:$B$194,0)),"")</x:f>
      </x:c>
      <x:c r="F172" s="81" t="str">
        <x:f>IFERROR(INDEX('QS Takeoff'!$D$3:$D$194,MATCH(B172,'QS Takeoff'!$B$3:$B$194,0)),"")</x:f>
      </x:c>
      <x:c r="G172" s="81" t="str">
        <x:f>IFERROR(INDEX('QS Takeoff'!$J$3:$J$194,MATCH(B172,'QS Takeoff'!$B$3:$B$194,0)),"")</x:f>
      </x:c>
      <x:c r="H172" s="53"/>
      <x:c r="I172" s="60"/>
      <x:c r="J172" s="60"/>
      <x:c r="K172" s="82" t="str">
        <x:f t="shared" si="12">IF(OR(B172="",I172="",I172=0),"",E172/I172)</x:f>
      </x:c>
      <x:c r="L172" s="60"/>
      <x:c r="M172" s="82" t="str">
        <x:f t="shared" si="13">IF(L172&gt;0,L172,K172)</x:f>
      </x:c>
      <x:c r="N172" s="53"/>
      <x:c r="O172" s="53"/>
      <x:c r="P172" s="53"/>
      <x:c r="Q172" s="81" t="str">
        <x:f>IFERROR(INDEX('Resource Rate Library'!$C$5:$C$85,MATCH(P172,'Resource Rate Library'!$A$5:$A$85,0)),"")</x:f>
      </x:c>
      <x:c r="R172" s="53"/>
      <x:c r="S172" s="53"/>
      <x:c r="T172" s="81" t="str">
        <x:f>IFERROR(INDEX('Resource Rate Library'!$E$5:$E$85,MATCH(P172,'Resource Rate Library'!$A$5:$A$85,0)),"")</x:f>
      </x:c>
      <x:c r="U172" s="62"/>
      <x:c r="V172" s="62"/>
      <x:c r="W172" s="83" t="n">
        <x:f>IFERROR(INDEX('Resource Rate Library'!$I$5:$I$85,MATCH(P172,'Resource Rate Library'!$A$5:$A$85,0)),0)</x:f>
        <x:v>0</x:v>
      </x:c>
      <x:c r="X172" s="52"/>
      <x:c r="Y172" s="83" t="n">
        <x:f t="shared" si="14">IF(X172&gt;0,X172,W172)</x:f>
        <x:v>0</x:v>
      </x:c>
      <x:c r="Z172" s="83" t="str">
        <x:f t="shared" si="15">IF(B172="","",IF(N172="Time x Count",M172*R172*IF(U172="",1,U172)*Y172,IF(N172="QS Qty x Factor",E172*R172*(1+IF(V172="",0,V172))*Y172,IF(N172="Direct Qty",S172*(1+IF(V172="",0,V172))*Y172,IF(N172="Lump Sum / Quote",S172*Y172,0)))))</x:f>
      </x:c>
      <x:c r="AA172" s="81" t="str">
        <x:f>IFERROR(INDEX('Resource Rate Library'!$N$5:$N$85,MATCH(P172,'Resource Rate Library'!$A$5:$A$85,0)),"")</x:f>
      </x:c>
      <x:c r="AB172" s="53"/>
      <x:c r="AC172" s="59"/>
      <x:c r="AD172" s="81" t="str">
        <x:f>IFERROR(INDEX('Resource Rate Library'!$G$5:$G$85,MATCH(P172,'Resource Rate Library'!$A$5:$A$85,0)),"")</x:f>
      </x:c>
      <x:c r="AE172" s="81" t="str">
        <x:f>IFERROR(INDEX('Resource Rate Library'!$H$5:$H$85,MATCH(P172,'Resource Rate Library'!$A$5:$A$85,0)),"")</x:f>
      </x:c>
      <x:c r="AF172" s="53"/>
      <x:c r="AG172" s="53"/>
      <x:c r="AH172" s="53"/>
      <x:c r="AI172" s="81" t="str">
        <x:f t="shared" si="16">IF(B172="","",IF(AND(P172="",N172&lt;&gt;"Lump Sum / Quote"),"RESOURCE CODE",IF(Y172=0,"RATE MISSING",IF(AND(O172="Plant",AD172="Yes",COUNTIFS($B$7:$B$306,B172,$O$7:$O$306,"Labour",$Q$7:$Q$306,"*Operator*")&gt;0),"OPERATOR DOUBLE-COUNT",IF(AND(O172="Plant",AE172="Yes",COUNTIFS($B$7:$B$306,B172,$Q$7:$Q$306,"*Fuel*")&gt;0),"FUEL DOUBLE-COUNT",IF(AH172&lt;&gt;"Yes","VERIFY","OK"))))))</x:f>
      </x:c>
      <x:c r="AJ172" s="54"/>
      <x:c r="AK172" s="473"/>
      <x:c r="AL172" s="473"/>
      <x:c r="AM172" s="473"/>
      <x:c r="AN172" s="500" t="n">
        <x:f>IF(AND(AK172="Yes",OR(O172="Labour",O172="Plant")),Z172,0)</x:f>
        <x:v>0</x:v>
      </x:c>
    </x:row>
    <x:row r="173">
      <x:c r="A173" s="80" t="str">
        <x:f>IF(B173="","",B173&amp;"-"&amp;TEXT(COUNTIF($B$7:B173,B173),"000"))</x:f>
      </x:c>
      <x:c r="B173" s="53"/>
      <x:c r="C173" s="81" t="str">
        <x:f>IFERROR(INDEX('QS Takeoff'!$A$3:$A$194,MATCH(B173,'QS Takeoff'!$B$3:$B$194,0)),"")</x:f>
      </x:c>
      <x:c r="D173" s="81" t="str">
        <x:f>IFERROR(INDEX('QS Takeoff'!$C$3:$C$194,MATCH(B173,'QS Takeoff'!$B$3:$B$194,0)),"")</x:f>
      </x:c>
      <x:c r="E173" s="81" t="str">
        <x:f>IFERROR(INDEX('QS Takeoff'!$E$3:$E$194,MATCH(B173,'QS Takeoff'!$B$3:$B$194,0)),"")</x:f>
      </x:c>
      <x:c r="F173" s="81" t="str">
        <x:f>IFERROR(INDEX('QS Takeoff'!$D$3:$D$194,MATCH(B173,'QS Takeoff'!$B$3:$B$194,0)),"")</x:f>
      </x:c>
      <x:c r="G173" s="81" t="str">
        <x:f>IFERROR(INDEX('QS Takeoff'!$J$3:$J$194,MATCH(B173,'QS Takeoff'!$B$3:$B$194,0)),"")</x:f>
      </x:c>
      <x:c r="H173" s="53"/>
      <x:c r="I173" s="60"/>
      <x:c r="J173" s="60"/>
      <x:c r="K173" s="82" t="str">
        <x:f t="shared" si="12">IF(OR(B173="",I173="",I173=0),"",E173/I173)</x:f>
      </x:c>
      <x:c r="L173" s="60"/>
      <x:c r="M173" s="82" t="str">
        <x:f t="shared" si="13">IF(L173&gt;0,L173,K173)</x:f>
      </x:c>
      <x:c r="N173" s="53"/>
      <x:c r="O173" s="53"/>
      <x:c r="P173" s="53"/>
      <x:c r="Q173" s="81" t="str">
        <x:f>IFERROR(INDEX('Resource Rate Library'!$C$5:$C$85,MATCH(P173,'Resource Rate Library'!$A$5:$A$85,0)),"")</x:f>
      </x:c>
      <x:c r="R173" s="53"/>
      <x:c r="S173" s="53"/>
      <x:c r="T173" s="81" t="str">
        <x:f>IFERROR(INDEX('Resource Rate Library'!$E$5:$E$85,MATCH(P173,'Resource Rate Library'!$A$5:$A$85,0)),"")</x:f>
      </x:c>
      <x:c r="U173" s="62"/>
      <x:c r="V173" s="62"/>
      <x:c r="W173" s="83" t="n">
        <x:f>IFERROR(INDEX('Resource Rate Library'!$I$5:$I$85,MATCH(P173,'Resource Rate Library'!$A$5:$A$85,0)),0)</x:f>
        <x:v>0</x:v>
      </x:c>
      <x:c r="X173" s="52"/>
      <x:c r="Y173" s="83" t="n">
        <x:f t="shared" si="14">IF(X173&gt;0,X173,W173)</x:f>
        <x:v>0</x:v>
      </x:c>
      <x:c r="Z173" s="83" t="str">
        <x:f t="shared" si="15">IF(B173="","",IF(N173="Time x Count",M173*R173*IF(U173="",1,U173)*Y173,IF(N173="QS Qty x Factor",E173*R173*(1+IF(V173="",0,V173))*Y173,IF(N173="Direct Qty",S173*(1+IF(V173="",0,V173))*Y173,IF(N173="Lump Sum / Quote",S173*Y173,0)))))</x:f>
      </x:c>
      <x:c r="AA173" s="81" t="str">
        <x:f>IFERROR(INDEX('Resource Rate Library'!$N$5:$N$85,MATCH(P173,'Resource Rate Library'!$A$5:$A$85,0)),"")</x:f>
      </x:c>
      <x:c r="AB173" s="53"/>
      <x:c r="AC173" s="59"/>
      <x:c r="AD173" s="81" t="str">
        <x:f>IFERROR(INDEX('Resource Rate Library'!$G$5:$G$85,MATCH(P173,'Resource Rate Library'!$A$5:$A$85,0)),"")</x:f>
      </x:c>
      <x:c r="AE173" s="81" t="str">
        <x:f>IFERROR(INDEX('Resource Rate Library'!$H$5:$H$85,MATCH(P173,'Resource Rate Library'!$A$5:$A$85,0)),"")</x:f>
      </x:c>
      <x:c r="AF173" s="53"/>
      <x:c r="AG173" s="53"/>
      <x:c r="AH173" s="53"/>
      <x:c r="AI173" s="81" t="str">
        <x:f t="shared" si="16">IF(B173="","",IF(AND(P173="",N173&lt;&gt;"Lump Sum / Quote"),"RESOURCE CODE",IF(Y173=0,"RATE MISSING",IF(AND(O173="Plant",AD173="Yes",COUNTIFS($B$7:$B$306,B173,$O$7:$O$306,"Labour",$Q$7:$Q$306,"*Operator*")&gt;0),"OPERATOR DOUBLE-COUNT",IF(AND(O173="Plant",AE173="Yes",COUNTIFS($B$7:$B$306,B173,$Q$7:$Q$306,"*Fuel*")&gt;0),"FUEL DOUBLE-COUNT",IF(AH173&lt;&gt;"Yes","VERIFY","OK"))))))</x:f>
      </x:c>
      <x:c r="AJ173" s="54"/>
      <x:c r="AK173" s="473"/>
      <x:c r="AL173" s="473"/>
      <x:c r="AM173" s="473"/>
      <x:c r="AN173" s="500" t="n">
        <x:f>IF(AND(AK173="Yes",OR(O173="Labour",O173="Plant")),Z173,0)</x:f>
        <x:v>0</x:v>
      </x:c>
    </x:row>
    <x:row r="174">
      <x:c r="A174" s="80" t="str">
        <x:f>IF(B174="","",B174&amp;"-"&amp;TEXT(COUNTIF($B$7:B174,B174),"000"))</x:f>
      </x:c>
      <x:c r="B174" s="53"/>
      <x:c r="C174" s="81" t="str">
        <x:f>IFERROR(INDEX('QS Takeoff'!$A$3:$A$194,MATCH(B174,'QS Takeoff'!$B$3:$B$194,0)),"")</x:f>
      </x:c>
      <x:c r="D174" s="81" t="str">
        <x:f>IFERROR(INDEX('QS Takeoff'!$C$3:$C$194,MATCH(B174,'QS Takeoff'!$B$3:$B$194,0)),"")</x:f>
      </x:c>
      <x:c r="E174" s="81" t="str">
        <x:f>IFERROR(INDEX('QS Takeoff'!$E$3:$E$194,MATCH(B174,'QS Takeoff'!$B$3:$B$194,0)),"")</x:f>
      </x:c>
      <x:c r="F174" s="81" t="str">
        <x:f>IFERROR(INDEX('QS Takeoff'!$D$3:$D$194,MATCH(B174,'QS Takeoff'!$B$3:$B$194,0)),"")</x:f>
      </x:c>
      <x:c r="G174" s="81" t="str">
        <x:f>IFERROR(INDEX('QS Takeoff'!$J$3:$J$194,MATCH(B174,'QS Takeoff'!$B$3:$B$194,0)),"")</x:f>
      </x:c>
      <x:c r="H174" s="53"/>
      <x:c r="I174" s="60"/>
      <x:c r="J174" s="60"/>
      <x:c r="K174" s="82" t="str">
        <x:f t="shared" si="12">IF(OR(B174="",I174="",I174=0),"",E174/I174)</x:f>
      </x:c>
      <x:c r="L174" s="60"/>
      <x:c r="M174" s="82" t="str">
        <x:f t="shared" si="13">IF(L174&gt;0,L174,K174)</x:f>
      </x:c>
      <x:c r="N174" s="53"/>
      <x:c r="O174" s="53"/>
      <x:c r="P174" s="53"/>
      <x:c r="Q174" s="81" t="str">
        <x:f>IFERROR(INDEX('Resource Rate Library'!$C$5:$C$85,MATCH(P174,'Resource Rate Library'!$A$5:$A$85,0)),"")</x:f>
      </x:c>
      <x:c r="R174" s="53"/>
      <x:c r="S174" s="53"/>
      <x:c r="T174" s="81" t="str">
        <x:f>IFERROR(INDEX('Resource Rate Library'!$E$5:$E$85,MATCH(P174,'Resource Rate Library'!$A$5:$A$85,0)),"")</x:f>
      </x:c>
      <x:c r="U174" s="62"/>
      <x:c r="V174" s="62"/>
      <x:c r="W174" s="83" t="n">
        <x:f>IFERROR(INDEX('Resource Rate Library'!$I$5:$I$85,MATCH(P174,'Resource Rate Library'!$A$5:$A$85,0)),0)</x:f>
        <x:v>0</x:v>
      </x:c>
      <x:c r="X174" s="52"/>
      <x:c r="Y174" s="83" t="n">
        <x:f t="shared" si="14">IF(X174&gt;0,X174,W174)</x:f>
        <x:v>0</x:v>
      </x:c>
      <x:c r="Z174" s="83" t="str">
        <x:f t="shared" si="15">IF(B174="","",IF(N174="Time x Count",M174*R174*IF(U174="",1,U174)*Y174,IF(N174="QS Qty x Factor",E174*R174*(1+IF(V174="",0,V174))*Y174,IF(N174="Direct Qty",S174*(1+IF(V174="",0,V174))*Y174,IF(N174="Lump Sum / Quote",S174*Y174,0)))))</x:f>
      </x:c>
      <x:c r="AA174" s="81" t="str">
        <x:f>IFERROR(INDEX('Resource Rate Library'!$N$5:$N$85,MATCH(P174,'Resource Rate Library'!$A$5:$A$85,0)),"")</x:f>
      </x:c>
      <x:c r="AB174" s="53"/>
      <x:c r="AC174" s="59"/>
      <x:c r="AD174" s="81" t="str">
        <x:f>IFERROR(INDEX('Resource Rate Library'!$G$5:$G$85,MATCH(P174,'Resource Rate Library'!$A$5:$A$85,0)),"")</x:f>
      </x:c>
      <x:c r="AE174" s="81" t="str">
        <x:f>IFERROR(INDEX('Resource Rate Library'!$H$5:$H$85,MATCH(P174,'Resource Rate Library'!$A$5:$A$85,0)),"")</x:f>
      </x:c>
      <x:c r="AF174" s="53"/>
      <x:c r="AG174" s="53"/>
      <x:c r="AH174" s="53"/>
      <x:c r="AI174" s="81" t="str">
        <x:f t="shared" si="16">IF(B174="","",IF(AND(P174="",N174&lt;&gt;"Lump Sum / Quote"),"RESOURCE CODE",IF(Y174=0,"RATE MISSING",IF(AND(O174="Plant",AD174="Yes",COUNTIFS($B$7:$B$306,B174,$O$7:$O$306,"Labour",$Q$7:$Q$306,"*Operator*")&gt;0),"OPERATOR DOUBLE-COUNT",IF(AND(O174="Plant",AE174="Yes",COUNTIFS($B$7:$B$306,B174,$Q$7:$Q$306,"*Fuel*")&gt;0),"FUEL DOUBLE-COUNT",IF(AH174&lt;&gt;"Yes","VERIFY","OK"))))))</x:f>
      </x:c>
      <x:c r="AJ174" s="54"/>
      <x:c r="AK174" s="473"/>
      <x:c r="AL174" s="473"/>
      <x:c r="AM174" s="473"/>
      <x:c r="AN174" s="500" t="n">
        <x:f>IF(AND(AK174="Yes",OR(O174="Labour",O174="Plant")),Z174,0)</x:f>
        <x:v>0</x:v>
      </x:c>
    </x:row>
    <x:row r="175">
      <x:c r="A175" s="80" t="str">
        <x:f>IF(B175="","",B175&amp;"-"&amp;TEXT(COUNTIF($B$7:B175,B175),"000"))</x:f>
      </x:c>
      <x:c r="B175" s="53"/>
      <x:c r="C175" s="81" t="str">
        <x:f>IFERROR(INDEX('QS Takeoff'!$A$3:$A$194,MATCH(B175,'QS Takeoff'!$B$3:$B$194,0)),"")</x:f>
      </x:c>
      <x:c r="D175" s="81" t="str">
        <x:f>IFERROR(INDEX('QS Takeoff'!$C$3:$C$194,MATCH(B175,'QS Takeoff'!$B$3:$B$194,0)),"")</x:f>
      </x:c>
      <x:c r="E175" s="81" t="str">
        <x:f>IFERROR(INDEX('QS Takeoff'!$E$3:$E$194,MATCH(B175,'QS Takeoff'!$B$3:$B$194,0)),"")</x:f>
      </x:c>
      <x:c r="F175" s="81" t="str">
        <x:f>IFERROR(INDEX('QS Takeoff'!$D$3:$D$194,MATCH(B175,'QS Takeoff'!$B$3:$B$194,0)),"")</x:f>
      </x:c>
      <x:c r="G175" s="81" t="str">
        <x:f>IFERROR(INDEX('QS Takeoff'!$J$3:$J$194,MATCH(B175,'QS Takeoff'!$B$3:$B$194,0)),"")</x:f>
      </x:c>
      <x:c r="H175" s="53"/>
      <x:c r="I175" s="60"/>
      <x:c r="J175" s="60"/>
      <x:c r="K175" s="82" t="str">
        <x:f t="shared" si="12">IF(OR(B175="",I175="",I175=0),"",E175/I175)</x:f>
      </x:c>
      <x:c r="L175" s="60"/>
      <x:c r="M175" s="82" t="str">
        <x:f t="shared" si="13">IF(L175&gt;0,L175,K175)</x:f>
      </x:c>
      <x:c r="N175" s="53"/>
      <x:c r="O175" s="53"/>
      <x:c r="P175" s="53"/>
      <x:c r="Q175" s="81" t="str">
        <x:f>IFERROR(INDEX('Resource Rate Library'!$C$5:$C$85,MATCH(P175,'Resource Rate Library'!$A$5:$A$85,0)),"")</x:f>
      </x:c>
      <x:c r="R175" s="53"/>
      <x:c r="S175" s="53"/>
      <x:c r="T175" s="81" t="str">
        <x:f>IFERROR(INDEX('Resource Rate Library'!$E$5:$E$85,MATCH(P175,'Resource Rate Library'!$A$5:$A$85,0)),"")</x:f>
      </x:c>
      <x:c r="U175" s="62"/>
      <x:c r="V175" s="62"/>
      <x:c r="W175" s="83" t="n">
        <x:f>IFERROR(INDEX('Resource Rate Library'!$I$5:$I$85,MATCH(P175,'Resource Rate Library'!$A$5:$A$85,0)),0)</x:f>
        <x:v>0</x:v>
      </x:c>
      <x:c r="X175" s="52"/>
      <x:c r="Y175" s="83" t="n">
        <x:f t="shared" si="14">IF(X175&gt;0,X175,W175)</x:f>
        <x:v>0</x:v>
      </x:c>
      <x:c r="Z175" s="83" t="str">
        <x:f t="shared" si="15">IF(B175="","",IF(N175="Time x Count",M175*R175*IF(U175="",1,U175)*Y175,IF(N175="QS Qty x Factor",E175*R175*(1+IF(V175="",0,V175))*Y175,IF(N175="Direct Qty",S175*(1+IF(V175="",0,V175))*Y175,IF(N175="Lump Sum / Quote",S175*Y175,0)))))</x:f>
      </x:c>
      <x:c r="AA175" s="81" t="str">
        <x:f>IFERROR(INDEX('Resource Rate Library'!$N$5:$N$85,MATCH(P175,'Resource Rate Library'!$A$5:$A$85,0)),"")</x:f>
      </x:c>
      <x:c r="AB175" s="53"/>
      <x:c r="AC175" s="59"/>
      <x:c r="AD175" s="81" t="str">
        <x:f>IFERROR(INDEX('Resource Rate Library'!$G$5:$G$85,MATCH(P175,'Resource Rate Library'!$A$5:$A$85,0)),"")</x:f>
      </x:c>
      <x:c r="AE175" s="81" t="str">
        <x:f>IFERROR(INDEX('Resource Rate Library'!$H$5:$H$85,MATCH(P175,'Resource Rate Library'!$A$5:$A$85,0)),"")</x:f>
      </x:c>
      <x:c r="AF175" s="53"/>
      <x:c r="AG175" s="53"/>
      <x:c r="AH175" s="53"/>
      <x:c r="AI175" s="81" t="str">
        <x:f t="shared" si="16">IF(B175="","",IF(AND(P175="",N175&lt;&gt;"Lump Sum / Quote"),"RESOURCE CODE",IF(Y175=0,"RATE MISSING",IF(AND(O175="Plant",AD175="Yes",COUNTIFS($B$7:$B$306,B175,$O$7:$O$306,"Labour",$Q$7:$Q$306,"*Operator*")&gt;0),"OPERATOR DOUBLE-COUNT",IF(AND(O175="Plant",AE175="Yes",COUNTIFS($B$7:$B$306,B175,$Q$7:$Q$306,"*Fuel*")&gt;0),"FUEL DOUBLE-COUNT",IF(AH175&lt;&gt;"Yes","VERIFY","OK"))))))</x:f>
      </x:c>
      <x:c r="AJ175" s="54"/>
      <x:c r="AK175" s="473"/>
      <x:c r="AL175" s="473"/>
      <x:c r="AM175" s="473"/>
      <x:c r="AN175" s="500" t="n">
        <x:f>IF(AND(AK175="Yes",OR(O175="Labour",O175="Plant")),Z175,0)</x:f>
        <x:v>0</x:v>
      </x:c>
    </x:row>
    <x:row r="176">
      <x:c r="A176" s="80" t="str">
        <x:f>IF(B176="","",B176&amp;"-"&amp;TEXT(COUNTIF($B$7:B176,B176),"000"))</x:f>
      </x:c>
      <x:c r="B176" s="53"/>
      <x:c r="C176" s="81" t="str">
        <x:f>IFERROR(INDEX('QS Takeoff'!$A$3:$A$194,MATCH(B176,'QS Takeoff'!$B$3:$B$194,0)),"")</x:f>
      </x:c>
      <x:c r="D176" s="81" t="str">
        <x:f>IFERROR(INDEX('QS Takeoff'!$C$3:$C$194,MATCH(B176,'QS Takeoff'!$B$3:$B$194,0)),"")</x:f>
      </x:c>
      <x:c r="E176" s="81" t="str">
        <x:f>IFERROR(INDEX('QS Takeoff'!$E$3:$E$194,MATCH(B176,'QS Takeoff'!$B$3:$B$194,0)),"")</x:f>
      </x:c>
      <x:c r="F176" s="81" t="str">
        <x:f>IFERROR(INDEX('QS Takeoff'!$D$3:$D$194,MATCH(B176,'QS Takeoff'!$B$3:$B$194,0)),"")</x:f>
      </x:c>
      <x:c r="G176" s="81" t="str">
        <x:f>IFERROR(INDEX('QS Takeoff'!$J$3:$J$194,MATCH(B176,'QS Takeoff'!$B$3:$B$194,0)),"")</x:f>
      </x:c>
      <x:c r="H176" s="53"/>
      <x:c r="I176" s="60"/>
      <x:c r="J176" s="60"/>
      <x:c r="K176" s="82" t="str">
        <x:f t="shared" si="12">IF(OR(B176="",I176="",I176=0),"",E176/I176)</x:f>
      </x:c>
      <x:c r="L176" s="60"/>
      <x:c r="M176" s="82" t="str">
        <x:f t="shared" si="13">IF(L176&gt;0,L176,K176)</x:f>
      </x:c>
      <x:c r="N176" s="53"/>
      <x:c r="O176" s="53"/>
      <x:c r="P176" s="53"/>
      <x:c r="Q176" s="81" t="str">
        <x:f>IFERROR(INDEX('Resource Rate Library'!$C$5:$C$85,MATCH(P176,'Resource Rate Library'!$A$5:$A$85,0)),"")</x:f>
      </x:c>
      <x:c r="R176" s="53"/>
      <x:c r="S176" s="53"/>
      <x:c r="T176" s="81" t="str">
        <x:f>IFERROR(INDEX('Resource Rate Library'!$E$5:$E$85,MATCH(P176,'Resource Rate Library'!$A$5:$A$85,0)),"")</x:f>
      </x:c>
      <x:c r="U176" s="62"/>
      <x:c r="V176" s="62"/>
      <x:c r="W176" s="83" t="n">
        <x:f>IFERROR(INDEX('Resource Rate Library'!$I$5:$I$85,MATCH(P176,'Resource Rate Library'!$A$5:$A$85,0)),0)</x:f>
        <x:v>0</x:v>
      </x:c>
      <x:c r="X176" s="52"/>
      <x:c r="Y176" s="83" t="n">
        <x:f t="shared" si="14">IF(X176&gt;0,X176,W176)</x:f>
        <x:v>0</x:v>
      </x:c>
      <x:c r="Z176" s="83" t="str">
        <x:f t="shared" si="15">IF(B176="","",IF(N176="Time x Count",M176*R176*IF(U176="",1,U176)*Y176,IF(N176="QS Qty x Factor",E176*R176*(1+IF(V176="",0,V176))*Y176,IF(N176="Direct Qty",S176*(1+IF(V176="",0,V176))*Y176,IF(N176="Lump Sum / Quote",S176*Y176,0)))))</x:f>
      </x:c>
      <x:c r="AA176" s="81" t="str">
        <x:f>IFERROR(INDEX('Resource Rate Library'!$N$5:$N$85,MATCH(P176,'Resource Rate Library'!$A$5:$A$85,0)),"")</x:f>
      </x:c>
      <x:c r="AB176" s="53"/>
      <x:c r="AC176" s="59"/>
      <x:c r="AD176" s="81" t="str">
        <x:f>IFERROR(INDEX('Resource Rate Library'!$G$5:$G$85,MATCH(P176,'Resource Rate Library'!$A$5:$A$85,0)),"")</x:f>
      </x:c>
      <x:c r="AE176" s="81" t="str">
        <x:f>IFERROR(INDEX('Resource Rate Library'!$H$5:$H$85,MATCH(P176,'Resource Rate Library'!$A$5:$A$85,0)),"")</x:f>
      </x:c>
      <x:c r="AF176" s="53"/>
      <x:c r="AG176" s="53"/>
      <x:c r="AH176" s="53"/>
      <x:c r="AI176" s="81" t="str">
        <x:f t="shared" si="16">IF(B176="","",IF(AND(P176="",N176&lt;&gt;"Lump Sum / Quote"),"RESOURCE CODE",IF(Y176=0,"RATE MISSING",IF(AND(O176="Plant",AD176="Yes",COUNTIFS($B$7:$B$306,B176,$O$7:$O$306,"Labour",$Q$7:$Q$306,"*Operator*")&gt;0),"OPERATOR DOUBLE-COUNT",IF(AND(O176="Plant",AE176="Yes",COUNTIFS($B$7:$B$306,B176,$Q$7:$Q$306,"*Fuel*")&gt;0),"FUEL DOUBLE-COUNT",IF(AH176&lt;&gt;"Yes","VERIFY","OK"))))))</x:f>
      </x:c>
      <x:c r="AJ176" s="54"/>
      <x:c r="AK176" s="473"/>
      <x:c r="AL176" s="473"/>
      <x:c r="AM176" s="473"/>
      <x:c r="AN176" s="500" t="n">
        <x:f>IF(AND(AK176="Yes",OR(O176="Labour",O176="Plant")),Z176,0)</x:f>
        <x:v>0</x:v>
      </x:c>
    </x:row>
    <x:row r="177">
      <x:c r="A177" s="80" t="str">
        <x:f>IF(B177="","",B177&amp;"-"&amp;TEXT(COUNTIF($B$7:B177,B177),"000"))</x:f>
      </x:c>
      <x:c r="B177" s="53"/>
      <x:c r="C177" s="81" t="str">
        <x:f>IFERROR(INDEX('QS Takeoff'!$A$3:$A$194,MATCH(B177,'QS Takeoff'!$B$3:$B$194,0)),"")</x:f>
      </x:c>
      <x:c r="D177" s="81" t="str">
        <x:f>IFERROR(INDEX('QS Takeoff'!$C$3:$C$194,MATCH(B177,'QS Takeoff'!$B$3:$B$194,0)),"")</x:f>
      </x:c>
      <x:c r="E177" s="81" t="str">
        <x:f>IFERROR(INDEX('QS Takeoff'!$E$3:$E$194,MATCH(B177,'QS Takeoff'!$B$3:$B$194,0)),"")</x:f>
      </x:c>
      <x:c r="F177" s="81" t="str">
        <x:f>IFERROR(INDEX('QS Takeoff'!$D$3:$D$194,MATCH(B177,'QS Takeoff'!$B$3:$B$194,0)),"")</x:f>
      </x:c>
      <x:c r="G177" s="81" t="str">
        <x:f>IFERROR(INDEX('QS Takeoff'!$J$3:$J$194,MATCH(B177,'QS Takeoff'!$B$3:$B$194,0)),"")</x:f>
      </x:c>
      <x:c r="H177" s="53"/>
      <x:c r="I177" s="60"/>
      <x:c r="J177" s="60"/>
      <x:c r="K177" s="82" t="str">
        <x:f t="shared" si="12">IF(OR(B177="",I177="",I177=0),"",E177/I177)</x:f>
      </x:c>
      <x:c r="L177" s="60"/>
      <x:c r="M177" s="82" t="str">
        <x:f t="shared" si="13">IF(L177&gt;0,L177,K177)</x:f>
      </x:c>
      <x:c r="N177" s="53"/>
      <x:c r="O177" s="53"/>
      <x:c r="P177" s="53"/>
      <x:c r="Q177" s="81" t="str">
        <x:f>IFERROR(INDEX('Resource Rate Library'!$C$5:$C$85,MATCH(P177,'Resource Rate Library'!$A$5:$A$85,0)),"")</x:f>
      </x:c>
      <x:c r="R177" s="53"/>
      <x:c r="S177" s="53"/>
      <x:c r="T177" s="81" t="str">
        <x:f>IFERROR(INDEX('Resource Rate Library'!$E$5:$E$85,MATCH(P177,'Resource Rate Library'!$A$5:$A$85,0)),"")</x:f>
      </x:c>
      <x:c r="U177" s="62"/>
      <x:c r="V177" s="62"/>
      <x:c r="W177" s="83" t="n">
        <x:f>IFERROR(INDEX('Resource Rate Library'!$I$5:$I$85,MATCH(P177,'Resource Rate Library'!$A$5:$A$85,0)),0)</x:f>
        <x:v>0</x:v>
      </x:c>
      <x:c r="X177" s="52"/>
      <x:c r="Y177" s="83" t="n">
        <x:f t="shared" si="14">IF(X177&gt;0,X177,W177)</x:f>
        <x:v>0</x:v>
      </x:c>
      <x:c r="Z177" s="83" t="str">
        <x:f t="shared" si="15">IF(B177="","",IF(N177="Time x Count",M177*R177*IF(U177="",1,U177)*Y177,IF(N177="QS Qty x Factor",E177*R177*(1+IF(V177="",0,V177))*Y177,IF(N177="Direct Qty",S177*(1+IF(V177="",0,V177))*Y177,IF(N177="Lump Sum / Quote",S177*Y177,0)))))</x:f>
      </x:c>
      <x:c r="AA177" s="81" t="str">
        <x:f>IFERROR(INDEX('Resource Rate Library'!$N$5:$N$85,MATCH(P177,'Resource Rate Library'!$A$5:$A$85,0)),"")</x:f>
      </x:c>
      <x:c r="AB177" s="53"/>
      <x:c r="AC177" s="59"/>
      <x:c r="AD177" s="81" t="str">
        <x:f>IFERROR(INDEX('Resource Rate Library'!$G$5:$G$85,MATCH(P177,'Resource Rate Library'!$A$5:$A$85,0)),"")</x:f>
      </x:c>
      <x:c r="AE177" s="81" t="str">
        <x:f>IFERROR(INDEX('Resource Rate Library'!$H$5:$H$85,MATCH(P177,'Resource Rate Library'!$A$5:$A$85,0)),"")</x:f>
      </x:c>
      <x:c r="AF177" s="53"/>
      <x:c r="AG177" s="53"/>
      <x:c r="AH177" s="53"/>
      <x:c r="AI177" s="81" t="str">
        <x:f t="shared" si="16">IF(B177="","",IF(AND(P177="",N177&lt;&gt;"Lump Sum / Quote"),"RESOURCE CODE",IF(Y177=0,"RATE MISSING",IF(AND(O177="Plant",AD177="Yes",COUNTIFS($B$7:$B$306,B177,$O$7:$O$306,"Labour",$Q$7:$Q$306,"*Operator*")&gt;0),"OPERATOR DOUBLE-COUNT",IF(AND(O177="Plant",AE177="Yes",COUNTIFS($B$7:$B$306,B177,$Q$7:$Q$306,"*Fuel*")&gt;0),"FUEL DOUBLE-COUNT",IF(AH177&lt;&gt;"Yes","VERIFY","OK"))))))</x:f>
      </x:c>
      <x:c r="AJ177" s="54"/>
      <x:c r="AK177" s="473"/>
      <x:c r="AL177" s="473"/>
      <x:c r="AM177" s="473"/>
      <x:c r="AN177" s="500" t="n">
        <x:f>IF(AND(AK177="Yes",OR(O177="Labour",O177="Plant")),Z177,0)</x:f>
        <x:v>0</x:v>
      </x:c>
    </x:row>
    <x:row r="178">
      <x:c r="A178" s="80" t="str">
        <x:f>IF(B178="","",B178&amp;"-"&amp;TEXT(COUNTIF($B$7:B178,B178),"000"))</x:f>
      </x:c>
      <x:c r="B178" s="53"/>
      <x:c r="C178" s="81" t="str">
        <x:f>IFERROR(INDEX('QS Takeoff'!$A$3:$A$194,MATCH(B178,'QS Takeoff'!$B$3:$B$194,0)),"")</x:f>
      </x:c>
      <x:c r="D178" s="81" t="str">
        <x:f>IFERROR(INDEX('QS Takeoff'!$C$3:$C$194,MATCH(B178,'QS Takeoff'!$B$3:$B$194,0)),"")</x:f>
      </x:c>
      <x:c r="E178" s="81" t="str">
        <x:f>IFERROR(INDEX('QS Takeoff'!$E$3:$E$194,MATCH(B178,'QS Takeoff'!$B$3:$B$194,0)),"")</x:f>
      </x:c>
      <x:c r="F178" s="81" t="str">
        <x:f>IFERROR(INDEX('QS Takeoff'!$D$3:$D$194,MATCH(B178,'QS Takeoff'!$B$3:$B$194,0)),"")</x:f>
      </x:c>
      <x:c r="G178" s="81" t="str">
        <x:f>IFERROR(INDEX('QS Takeoff'!$J$3:$J$194,MATCH(B178,'QS Takeoff'!$B$3:$B$194,0)),"")</x:f>
      </x:c>
      <x:c r="H178" s="53"/>
      <x:c r="I178" s="60"/>
      <x:c r="J178" s="60"/>
      <x:c r="K178" s="82" t="str">
        <x:f t="shared" si="12">IF(OR(B178="",I178="",I178=0),"",E178/I178)</x:f>
      </x:c>
      <x:c r="L178" s="60"/>
      <x:c r="M178" s="82" t="str">
        <x:f t="shared" si="13">IF(L178&gt;0,L178,K178)</x:f>
      </x:c>
      <x:c r="N178" s="53"/>
      <x:c r="O178" s="53"/>
      <x:c r="P178" s="53"/>
      <x:c r="Q178" s="81" t="str">
        <x:f>IFERROR(INDEX('Resource Rate Library'!$C$5:$C$85,MATCH(P178,'Resource Rate Library'!$A$5:$A$85,0)),"")</x:f>
      </x:c>
      <x:c r="R178" s="53"/>
      <x:c r="S178" s="53"/>
      <x:c r="T178" s="81" t="str">
        <x:f>IFERROR(INDEX('Resource Rate Library'!$E$5:$E$85,MATCH(P178,'Resource Rate Library'!$A$5:$A$85,0)),"")</x:f>
      </x:c>
      <x:c r="U178" s="62"/>
      <x:c r="V178" s="62"/>
      <x:c r="W178" s="83" t="n">
        <x:f>IFERROR(INDEX('Resource Rate Library'!$I$5:$I$85,MATCH(P178,'Resource Rate Library'!$A$5:$A$85,0)),0)</x:f>
        <x:v>0</x:v>
      </x:c>
      <x:c r="X178" s="52"/>
      <x:c r="Y178" s="83" t="n">
        <x:f t="shared" si="14">IF(X178&gt;0,X178,W178)</x:f>
        <x:v>0</x:v>
      </x:c>
      <x:c r="Z178" s="83" t="str">
        <x:f t="shared" si="15">IF(B178="","",IF(N178="Time x Count",M178*R178*IF(U178="",1,U178)*Y178,IF(N178="QS Qty x Factor",E178*R178*(1+IF(V178="",0,V178))*Y178,IF(N178="Direct Qty",S178*(1+IF(V178="",0,V178))*Y178,IF(N178="Lump Sum / Quote",S178*Y178,0)))))</x:f>
      </x:c>
      <x:c r="AA178" s="81" t="str">
        <x:f>IFERROR(INDEX('Resource Rate Library'!$N$5:$N$85,MATCH(P178,'Resource Rate Library'!$A$5:$A$85,0)),"")</x:f>
      </x:c>
      <x:c r="AB178" s="53"/>
      <x:c r="AC178" s="59"/>
      <x:c r="AD178" s="81" t="str">
        <x:f>IFERROR(INDEX('Resource Rate Library'!$G$5:$G$85,MATCH(P178,'Resource Rate Library'!$A$5:$A$85,0)),"")</x:f>
      </x:c>
      <x:c r="AE178" s="81" t="str">
        <x:f>IFERROR(INDEX('Resource Rate Library'!$H$5:$H$85,MATCH(P178,'Resource Rate Library'!$A$5:$A$85,0)),"")</x:f>
      </x:c>
      <x:c r="AF178" s="53"/>
      <x:c r="AG178" s="53"/>
      <x:c r="AH178" s="53"/>
      <x:c r="AI178" s="81" t="str">
        <x:f t="shared" si="16">IF(B178="","",IF(AND(P178="",N178&lt;&gt;"Lump Sum / Quote"),"RESOURCE CODE",IF(Y178=0,"RATE MISSING",IF(AND(O178="Plant",AD178="Yes",COUNTIFS($B$7:$B$306,B178,$O$7:$O$306,"Labour",$Q$7:$Q$306,"*Operator*")&gt;0),"OPERATOR DOUBLE-COUNT",IF(AND(O178="Plant",AE178="Yes",COUNTIFS($B$7:$B$306,B178,$Q$7:$Q$306,"*Fuel*")&gt;0),"FUEL DOUBLE-COUNT",IF(AH178&lt;&gt;"Yes","VERIFY","OK"))))))</x:f>
      </x:c>
      <x:c r="AJ178" s="54"/>
      <x:c r="AK178" s="473"/>
      <x:c r="AL178" s="473"/>
      <x:c r="AM178" s="473"/>
      <x:c r="AN178" s="500" t="n">
        <x:f>IF(AND(AK178="Yes",OR(O178="Labour",O178="Plant")),Z178,0)</x:f>
        <x:v>0</x:v>
      </x:c>
    </x:row>
    <x:row r="179">
      <x:c r="A179" s="80" t="str">
        <x:f>IF(B179="","",B179&amp;"-"&amp;TEXT(COUNTIF($B$7:B179,B179),"000"))</x:f>
      </x:c>
      <x:c r="B179" s="53"/>
      <x:c r="C179" s="81" t="str">
        <x:f>IFERROR(INDEX('QS Takeoff'!$A$3:$A$194,MATCH(B179,'QS Takeoff'!$B$3:$B$194,0)),"")</x:f>
      </x:c>
      <x:c r="D179" s="81" t="str">
        <x:f>IFERROR(INDEX('QS Takeoff'!$C$3:$C$194,MATCH(B179,'QS Takeoff'!$B$3:$B$194,0)),"")</x:f>
      </x:c>
      <x:c r="E179" s="81" t="str">
        <x:f>IFERROR(INDEX('QS Takeoff'!$E$3:$E$194,MATCH(B179,'QS Takeoff'!$B$3:$B$194,0)),"")</x:f>
      </x:c>
      <x:c r="F179" s="81" t="str">
        <x:f>IFERROR(INDEX('QS Takeoff'!$D$3:$D$194,MATCH(B179,'QS Takeoff'!$B$3:$B$194,0)),"")</x:f>
      </x:c>
      <x:c r="G179" s="81" t="str">
        <x:f>IFERROR(INDEX('QS Takeoff'!$J$3:$J$194,MATCH(B179,'QS Takeoff'!$B$3:$B$194,0)),"")</x:f>
      </x:c>
      <x:c r="H179" s="53"/>
      <x:c r="I179" s="60"/>
      <x:c r="J179" s="60"/>
      <x:c r="K179" s="82" t="str">
        <x:f t="shared" si="12">IF(OR(B179="",I179="",I179=0),"",E179/I179)</x:f>
      </x:c>
      <x:c r="L179" s="60"/>
      <x:c r="M179" s="82" t="str">
        <x:f t="shared" si="13">IF(L179&gt;0,L179,K179)</x:f>
      </x:c>
      <x:c r="N179" s="53"/>
      <x:c r="O179" s="53"/>
      <x:c r="P179" s="53"/>
      <x:c r="Q179" s="81" t="str">
        <x:f>IFERROR(INDEX('Resource Rate Library'!$C$5:$C$85,MATCH(P179,'Resource Rate Library'!$A$5:$A$85,0)),"")</x:f>
      </x:c>
      <x:c r="R179" s="53"/>
      <x:c r="S179" s="53"/>
      <x:c r="T179" s="81" t="str">
        <x:f>IFERROR(INDEX('Resource Rate Library'!$E$5:$E$85,MATCH(P179,'Resource Rate Library'!$A$5:$A$85,0)),"")</x:f>
      </x:c>
      <x:c r="U179" s="62"/>
      <x:c r="V179" s="62"/>
      <x:c r="W179" s="83" t="n">
        <x:f>IFERROR(INDEX('Resource Rate Library'!$I$5:$I$85,MATCH(P179,'Resource Rate Library'!$A$5:$A$85,0)),0)</x:f>
        <x:v>0</x:v>
      </x:c>
      <x:c r="X179" s="52"/>
      <x:c r="Y179" s="83" t="n">
        <x:f t="shared" si="14">IF(X179&gt;0,X179,W179)</x:f>
        <x:v>0</x:v>
      </x:c>
      <x:c r="Z179" s="83" t="str">
        <x:f t="shared" si="15">IF(B179="","",IF(N179="Time x Count",M179*R179*IF(U179="",1,U179)*Y179,IF(N179="QS Qty x Factor",E179*R179*(1+IF(V179="",0,V179))*Y179,IF(N179="Direct Qty",S179*(1+IF(V179="",0,V179))*Y179,IF(N179="Lump Sum / Quote",S179*Y179,0)))))</x:f>
      </x:c>
      <x:c r="AA179" s="81" t="str">
        <x:f>IFERROR(INDEX('Resource Rate Library'!$N$5:$N$85,MATCH(P179,'Resource Rate Library'!$A$5:$A$85,0)),"")</x:f>
      </x:c>
      <x:c r="AB179" s="53"/>
      <x:c r="AC179" s="59"/>
      <x:c r="AD179" s="81" t="str">
        <x:f>IFERROR(INDEX('Resource Rate Library'!$G$5:$G$85,MATCH(P179,'Resource Rate Library'!$A$5:$A$85,0)),"")</x:f>
      </x:c>
      <x:c r="AE179" s="81" t="str">
        <x:f>IFERROR(INDEX('Resource Rate Library'!$H$5:$H$85,MATCH(P179,'Resource Rate Library'!$A$5:$A$85,0)),"")</x:f>
      </x:c>
      <x:c r="AF179" s="53"/>
      <x:c r="AG179" s="53"/>
      <x:c r="AH179" s="53"/>
      <x:c r="AI179" s="81" t="str">
        <x:f t="shared" si="16">IF(B179="","",IF(AND(P179="",N179&lt;&gt;"Lump Sum / Quote"),"RESOURCE CODE",IF(Y179=0,"RATE MISSING",IF(AND(O179="Plant",AD179="Yes",COUNTIFS($B$7:$B$306,B179,$O$7:$O$306,"Labour",$Q$7:$Q$306,"*Operator*")&gt;0),"OPERATOR DOUBLE-COUNT",IF(AND(O179="Plant",AE179="Yes",COUNTIFS($B$7:$B$306,B179,$Q$7:$Q$306,"*Fuel*")&gt;0),"FUEL DOUBLE-COUNT",IF(AH179&lt;&gt;"Yes","VERIFY","OK"))))))</x:f>
      </x:c>
      <x:c r="AJ179" s="54"/>
      <x:c r="AK179" s="473"/>
      <x:c r="AL179" s="473"/>
      <x:c r="AM179" s="473"/>
      <x:c r="AN179" s="500" t="n">
        <x:f>IF(AND(AK179="Yes",OR(O179="Labour",O179="Plant")),Z179,0)</x:f>
        <x:v>0</x:v>
      </x:c>
    </x:row>
    <x:row r="180">
      <x:c r="A180" s="80" t="str">
        <x:f>IF(B180="","",B180&amp;"-"&amp;TEXT(COUNTIF($B$7:B180,B180),"000"))</x:f>
      </x:c>
      <x:c r="B180" s="53"/>
      <x:c r="C180" s="81" t="str">
        <x:f>IFERROR(INDEX('QS Takeoff'!$A$3:$A$194,MATCH(B180,'QS Takeoff'!$B$3:$B$194,0)),"")</x:f>
      </x:c>
      <x:c r="D180" s="81" t="str">
        <x:f>IFERROR(INDEX('QS Takeoff'!$C$3:$C$194,MATCH(B180,'QS Takeoff'!$B$3:$B$194,0)),"")</x:f>
      </x:c>
      <x:c r="E180" s="81" t="str">
        <x:f>IFERROR(INDEX('QS Takeoff'!$E$3:$E$194,MATCH(B180,'QS Takeoff'!$B$3:$B$194,0)),"")</x:f>
      </x:c>
      <x:c r="F180" s="81" t="str">
        <x:f>IFERROR(INDEX('QS Takeoff'!$D$3:$D$194,MATCH(B180,'QS Takeoff'!$B$3:$B$194,0)),"")</x:f>
      </x:c>
      <x:c r="G180" s="81" t="str">
        <x:f>IFERROR(INDEX('QS Takeoff'!$J$3:$J$194,MATCH(B180,'QS Takeoff'!$B$3:$B$194,0)),"")</x:f>
      </x:c>
      <x:c r="H180" s="53"/>
      <x:c r="I180" s="60"/>
      <x:c r="J180" s="60"/>
      <x:c r="K180" s="82" t="str">
        <x:f t="shared" si="12">IF(OR(B180="",I180="",I180=0),"",E180/I180)</x:f>
      </x:c>
      <x:c r="L180" s="60"/>
      <x:c r="M180" s="82" t="str">
        <x:f t="shared" si="13">IF(L180&gt;0,L180,K180)</x:f>
      </x:c>
      <x:c r="N180" s="53"/>
      <x:c r="O180" s="53"/>
      <x:c r="P180" s="53"/>
      <x:c r="Q180" s="81" t="str">
        <x:f>IFERROR(INDEX('Resource Rate Library'!$C$5:$C$85,MATCH(P180,'Resource Rate Library'!$A$5:$A$85,0)),"")</x:f>
      </x:c>
      <x:c r="R180" s="53"/>
      <x:c r="S180" s="53"/>
      <x:c r="T180" s="81" t="str">
        <x:f>IFERROR(INDEX('Resource Rate Library'!$E$5:$E$85,MATCH(P180,'Resource Rate Library'!$A$5:$A$85,0)),"")</x:f>
      </x:c>
      <x:c r="U180" s="62"/>
      <x:c r="V180" s="62"/>
      <x:c r="W180" s="83" t="n">
        <x:f>IFERROR(INDEX('Resource Rate Library'!$I$5:$I$85,MATCH(P180,'Resource Rate Library'!$A$5:$A$85,0)),0)</x:f>
        <x:v>0</x:v>
      </x:c>
      <x:c r="X180" s="52"/>
      <x:c r="Y180" s="83" t="n">
        <x:f t="shared" si="14">IF(X180&gt;0,X180,W180)</x:f>
        <x:v>0</x:v>
      </x:c>
      <x:c r="Z180" s="83" t="str">
        <x:f t="shared" si="15">IF(B180="","",IF(N180="Time x Count",M180*R180*IF(U180="",1,U180)*Y180,IF(N180="QS Qty x Factor",E180*R180*(1+IF(V180="",0,V180))*Y180,IF(N180="Direct Qty",S180*(1+IF(V180="",0,V180))*Y180,IF(N180="Lump Sum / Quote",S180*Y180,0)))))</x:f>
      </x:c>
      <x:c r="AA180" s="81" t="str">
        <x:f>IFERROR(INDEX('Resource Rate Library'!$N$5:$N$85,MATCH(P180,'Resource Rate Library'!$A$5:$A$85,0)),"")</x:f>
      </x:c>
      <x:c r="AB180" s="53"/>
      <x:c r="AC180" s="59"/>
      <x:c r="AD180" s="81" t="str">
        <x:f>IFERROR(INDEX('Resource Rate Library'!$G$5:$G$85,MATCH(P180,'Resource Rate Library'!$A$5:$A$85,0)),"")</x:f>
      </x:c>
      <x:c r="AE180" s="81" t="str">
        <x:f>IFERROR(INDEX('Resource Rate Library'!$H$5:$H$85,MATCH(P180,'Resource Rate Library'!$A$5:$A$85,0)),"")</x:f>
      </x:c>
      <x:c r="AF180" s="53"/>
      <x:c r="AG180" s="53"/>
      <x:c r="AH180" s="53"/>
      <x:c r="AI180" s="81" t="str">
        <x:f t="shared" si="16">IF(B180="","",IF(AND(P180="",N180&lt;&gt;"Lump Sum / Quote"),"RESOURCE CODE",IF(Y180=0,"RATE MISSING",IF(AND(O180="Plant",AD180="Yes",COUNTIFS($B$7:$B$306,B180,$O$7:$O$306,"Labour",$Q$7:$Q$306,"*Operator*")&gt;0),"OPERATOR DOUBLE-COUNT",IF(AND(O180="Plant",AE180="Yes",COUNTIFS($B$7:$B$306,B180,$Q$7:$Q$306,"*Fuel*")&gt;0),"FUEL DOUBLE-COUNT",IF(AH180&lt;&gt;"Yes","VERIFY","OK"))))))</x:f>
      </x:c>
      <x:c r="AJ180" s="54"/>
      <x:c r="AK180" s="473"/>
      <x:c r="AL180" s="473"/>
      <x:c r="AM180" s="473"/>
      <x:c r="AN180" s="500" t="n">
        <x:f>IF(AND(AK180="Yes",OR(O180="Labour",O180="Plant")),Z180,0)</x:f>
        <x:v>0</x:v>
      </x:c>
    </x:row>
    <x:row r="181">
      <x:c r="A181" s="80" t="str">
        <x:f>IF(B181="","",B181&amp;"-"&amp;TEXT(COUNTIF($B$7:B181,B181),"000"))</x:f>
      </x:c>
      <x:c r="B181" s="53"/>
      <x:c r="C181" s="81" t="str">
        <x:f>IFERROR(INDEX('QS Takeoff'!$A$3:$A$194,MATCH(B181,'QS Takeoff'!$B$3:$B$194,0)),"")</x:f>
      </x:c>
      <x:c r="D181" s="81" t="str">
        <x:f>IFERROR(INDEX('QS Takeoff'!$C$3:$C$194,MATCH(B181,'QS Takeoff'!$B$3:$B$194,0)),"")</x:f>
      </x:c>
      <x:c r="E181" s="81" t="str">
        <x:f>IFERROR(INDEX('QS Takeoff'!$E$3:$E$194,MATCH(B181,'QS Takeoff'!$B$3:$B$194,0)),"")</x:f>
      </x:c>
      <x:c r="F181" s="81" t="str">
        <x:f>IFERROR(INDEX('QS Takeoff'!$D$3:$D$194,MATCH(B181,'QS Takeoff'!$B$3:$B$194,0)),"")</x:f>
      </x:c>
      <x:c r="G181" s="81" t="str">
        <x:f>IFERROR(INDEX('QS Takeoff'!$J$3:$J$194,MATCH(B181,'QS Takeoff'!$B$3:$B$194,0)),"")</x:f>
      </x:c>
      <x:c r="H181" s="53"/>
      <x:c r="I181" s="60"/>
      <x:c r="J181" s="60"/>
      <x:c r="K181" s="82" t="str">
        <x:f t="shared" si="12">IF(OR(B181="",I181="",I181=0),"",E181/I181)</x:f>
      </x:c>
      <x:c r="L181" s="60"/>
      <x:c r="M181" s="82" t="str">
        <x:f t="shared" si="13">IF(L181&gt;0,L181,K181)</x:f>
      </x:c>
      <x:c r="N181" s="53"/>
      <x:c r="O181" s="53"/>
      <x:c r="P181" s="53"/>
      <x:c r="Q181" s="81" t="str">
        <x:f>IFERROR(INDEX('Resource Rate Library'!$C$5:$C$85,MATCH(P181,'Resource Rate Library'!$A$5:$A$85,0)),"")</x:f>
      </x:c>
      <x:c r="R181" s="53"/>
      <x:c r="S181" s="53"/>
      <x:c r="T181" s="81" t="str">
        <x:f>IFERROR(INDEX('Resource Rate Library'!$E$5:$E$85,MATCH(P181,'Resource Rate Library'!$A$5:$A$85,0)),"")</x:f>
      </x:c>
      <x:c r="U181" s="62"/>
      <x:c r="V181" s="62"/>
      <x:c r="W181" s="83" t="n">
        <x:f>IFERROR(INDEX('Resource Rate Library'!$I$5:$I$85,MATCH(P181,'Resource Rate Library'!$A$5:$A$85,0)),0)</x:f>
        <x:v>0</x:v>
      </x:c>
      <x:c r="X181" s="52"/>
      <x:c r="Y181" s="83" t="n">
        <x:f t="shared" si="14">IF(X181&gt;0,X181,W181)</x:f>
        <x:v>0</x:v>
      </x:c>
      <x:c r="Z181" s="83" t="str">
        <x:f t="shared" si="15">IF(B181="","",IF(N181="Time x Count",M181*R181*IF(U181="",1,U181)*Y181,IF(N181="QS Qty x Factor",E181*R181*(1+IF(V181="",0,V181))*Y181,IF(N181="Direct Qty",S181*(1+IF(V181="",0,V181))*Y181,IF(N181="Lump Sum / Quote",S181*Y181,0)))))</x:f>
      </x:c>
      <x:c r="AA181" s="81" t="str">
        <x:f>IFERROR(INDEX('Resource Rate Library'!$N$5:$N$85,MATCH(P181,'Resource Rate Library'!$A$5:$A$85,0)),"")</x:f>
      </x:c>
      <x:c r="AB181" s="53"/>
      <x:c r="AC181" s="59"/>
      <x:c r="AD181" s="81" t="str">
        <x:f>IFERROR(INDEX('Resource Rate Library'!$G$5:$G$85,MATCH(P181,'Resource Rate Library'!$A$5:$A$85,0)),"")</x:f>
      </x:c>
      <x:c r="AE181" s="81" t="str">
        <x:f>IFERROR(INDEX('Resource Rate Library'!$H$5:$H$85,MATCH(P181,'Resource Rate Library'!$A$5:$A$85,0)),"")</x:f>
      </x:c>
      <x:c r="AF181" s="53"/>
      <x:c r="AG181" s="53"/>
      <x:c r="AH181" s="53"/>
      <x:c r="AI181" s="81" t="str">
        <x:f t="shared" si="16">IF(B181="","",IF(AND(P181="",N181&lt;&gt;"Lump Sum / Quote"),"RESOURCE CODE",IF(Y181=0,"RATE MISSING",IF(AND(O181="Plant",AD181="Yes",COUNTIFS($B$7:$B$306,B181,$O$7:$O$306,"Labour",$Q$7:$Q$306,"*Operator*")&gt;0),"OPERATOR DOUBLE-COUNT",IF(AND(O181="Plant",AE181="Yes",COUNTIFS($B$7:$B$306,B181,$Q$7:$Q$306,"*Fuel*")&gt;0),"FUEL DOUBLE-COUNT",IF(AH181&lt;&gt;"Yes","VERIFY","OK"))))))</x:f>
      </x:c>
      <x:c r="AJ181" s="54"/>
      <x:c r="AK181" s="473"/>
      <x:c r="AL181" s="473"/>
      <x:c r="AM181" s="473"/>
      <x:c r="AN181" s="500" t="n">
        <x:f>IF(AND(AK181="Yes",OR(O181="Labour",O181="Plant")),Z181,0)</x:f>
        <x:v>0</x:v>
      </x:c>
    </x:row>
    <x:row r="182">
      <x:c r="A182" s="80" t="str">
        <x:f>IF(B182="","",B182&amp;"-"&amp;TEXT(COUNTIF($B$7:B182,B182),"000"))</x:f>
      </x:c>
      <x:c r="B182" s="53"/>
      <x:c r="C182" s="81" t="str">
        <x:f>IFERROR(INDEX('QS Takeoff'!$A$3:$A$194,MATCH(B182,'QS Takeoff'!$B$3:$B$194,0)),"")</x:f>
      </x:c>
      <x:c r="D182" s="81" t="str">
        <x:f>IFERROR(INDEX('QS Takeoff'!$C$3:$C$194,MATCH(B182,'QS Takeoff'!$B$3:$B$194,0)),"")</x:f>
      </x:c>
      <x:c r="E182" s="81" t="str">
        <x:f>IFERROR(INDEX('QS Takeoff'!$E$3:$E$194,MATCH(B182,'QS Takeoff'!$B$3:$B$194,0)),"")</x:f>
      </x:c>
      <x:c r="F182" s="81" t="str">
        <x:f>IFERROR(INDEX('QS Takeoff'!$D$3:$D$194,MATCH(B182,'QS Takeoff'!$B$3:$B$194,0)),"")</x:f>
      </x:c>
      <x:c r="G182" s="81" t="str">
        <x:f>IFERROR(INDEX('QS Takeoff'!$J$3:$J$194,MATCH(B182,'QS Takeoff'!$B$3:$B$194,0)),"")</x:f>
      </x:c>
      <x:c r="H182" s="53"/>
      <x:c r="I182" s="60"/>
      <x:c r="J182" s="60"/>
      <x:c r="K182" s="82" t="str">
        <x:f t="shared" si="12">IF(OR(B182="",I182="",I182=0),"",E182/I182)</x:f>
      </x:c>
      <x:c r="L182" s="60"/>
      <x:c r="M182" s="82" t="str">
        <x:f t="shared" si="13">IF(L182&gt;0,L182,K182)</x:f>
      </x:c>
      <x:c r="N182" s="53"/>
      <x:c r="O182" s="53"/>
      <x:c r="P182" s="53"/>
      <x:c r="Q182" s="81" t="str">
        <x:f>IFERROR(INDEX('Resource Rate Library'!$C$5:$C$85,MATCH(P182,'Resource Rate Library'!$A$5:$A$85,0)),"")</x:f>
      </x:c>
      <x:c r="R182" s="53"/>
      <x:c r="S182" s="53"/>
      <x:c r="T182" s="81" t="str">
        <x:f>IFERROR(INDEX('Resource Rate Library'!$E$5:$E$85,MATCH(P182,'Resource Rate Library'!$A$5:$A$85,0)),"")</x:f>
      </x:c>
      <x:c r="U182" s="62"/>
      <x:c r="V182" s="62"/>
      <x:c r="W182" s="83" t="n">
        <x:f>IFERROR(INDEX('Resource Rate Library'!$I$5:$I$85,MATCH(P182,'Resource Rate Library'!$A$5:$A$85,0)),0)</x:f>
        <x:v>0</x:v>
      </x:c>
      <x:c r="X182" s="52"/>
      <x:c r="Y182" s="83" t="n">
        <x:f t="shared" si="14">IF(X182&gt;0,X182,W182)</x:f>
        <x:v>0</x:v>
      </x:c>
      <x:c r="Z182" s="83" t="str">
        <x:f t="shared" si="15">IF(B182="","",IF(N182="Time x Count",M182*R182*IF(U182="",1,U182)*Y182,IF(N182="QS Qty x Factor",E182*R182*(1+IF(V182="",0,V182))*Y182,IF(N182="Direct Qty",S182*(1+IF(V182="",0,V182))*Y182,IF(N182="Lump Sum / Quote",S182*Y182,0)))))</x:f>
      </x:c>
      <x:c r="AA182" s="81" t="str">
        <x:f>IFERROR(INDEX('Resource Rate Library'!$N$5:$N$85,MATCH(P182,'Resource Rate Library'!$A$5:$A$85,0)),"")</x:f>
      </x:c>
      <x:c r="AB182" s="53"/>
      <x:c r="AC182" s="59"/>
      <x:c r="AD182" s="81" t="str">
        <x:f>IFERROR(INDEX('Resource Rate Library'!$G$5:$G$85,MATCH(P182,'Resource Rate Library'!$A$5:$A$85,0)),"")</x:f>
      </x:c>
      <x:c r="AE182" s="81" t="str">
        <x:f>IFERROR(INDEX('Resource Rate Library'!$H$5:$H$85,MATCH(P182,'Resource Rate Library'!$A$5:$A$85,0)),"")</x:f>
      </x:c>
      <x:c r="AF182" s="53"/>
      <x:c r="AG182" s="53"/>
      <x:c r="AH182" s="53"/>
      <x:c r="AI182" s="81" t="str">
        <x:f t="shared" si="16">IF(B182="","",IF(AND(P182="",N182&lt;&gt;"Lump Sum / Quote"),"RESOURCE CODE",IF(Y182=0,"RATE MISSING",IF(AND(O182="Plant",AD182="Yes",COUNTIFS($B$7:$B$306,B182,$O$7:$O$306,"Labour",$Q$7:$Q$306,"*Operator*")&gt;0),"OPERATOR DOUBLE-COUNT",IF(AND(O182="Plant",AE182="Yes",COUNTIFS($B$7:$B$306,B182,$Q$7:$Q$306,"*Fuel*")&gt;0),"FUEL DOUBLE-COUNT",IF(AH182&lt;&gt;"Yes","VERIFY","OK"))))))</x:f>
      </x:c>
      <x:c r="AJ182" s="54"/>
      <x:c r="AK182" s="473"/>
      <x:c r="AL182" s="473"/>
      <x:c r="AM182" s="473"/>
      <x:c r="AN182" s="500" t="n">
        <x:f>IF(AND(AK182="Yes",OR(O182="Labour",O182="Plant")),Z182,0)</x:f>
        <x:v>0</x:v>
      </x:c>
    </x:row>
    <x:row r="183">
      <x:c r="A183" s="80" t="str">
        <x:f>IF(B183="","",B183&amp;"-"&amp;TEXT(COUNTIF($B$7:B183,B183),"000"))</x:f>
      </x:c>
      <x:c r="B183" s="53"/>
      <x:c r="C183" s="81" t="str">
        <x:f>IFERROR(INDEX('QS Takeoff'!$A$3:$A$194,MATCH(B183,'QS Takeoff'!$B$3:$B$194,0)),"")</x:f>
      </x:c>
      <x:c r="D183" s="81" t="str">
        <x:f>IFERROR(INDEX('QS Takeoff'!$C$3:$C$194,MATCH(B183,'QS Takeoff'!$B$3:$B$194,0)),"")</x:f>
      </x:c>
      <x:c r="E183" s="81" t="str">
        <x:f>IFERROR(INDEX('QS Takeoff'!$E$3:$E$194,MATCH(B183,'QS Takeoff'!$B$3:$B$194,0)),"")</x:f>
      </x:c>
      <x:c r="F183" s="81" t="str">
        <x:f>IFERROR(INDEX('QS Takeoff'!$D$3:$D$194,MATCH(B183,'QS Takeoff'!$B$3:$B$194,0)),"")</x:f>
      </x:c>
      <x:c r="G183" s="81" t="str">
        <x:f>IFERROR(INDEX('QS Takeoff'!$J$3:$J$194,MATCH(B183,'QS Takeoff'!$B$3:$B$194,0)),"")</x:f>
      </x:c>
      <x:c r="H183" s="53"/>
      <x:c r="I183" s="60"/>
      <x:c r="J183" s="60"/>
      <x:c r="K183" s="82" t="str">
        <x:f t="shared" si="12">IF(OR(B183="",I183="",I183=0),"",E183/I183)</x:f>
      </x:c>
      <x:c r="L183" s="60"/>
      <x:c r="M183" s="82" t="str">
        <x:f t="shared" si="13">IF(L183&gt;0,L183,K183)</x:f>
      </x:c>
      <x:c r="N183" s="53"/>
      <x:c r="O183" s="53"/>
      <x:c r="P183" s="53"/>
      <x:c r="Q183" s="81" t="str">
        <x:f>IFERROR(INDEX('Resource Rate Library'!$C$5:$C$85,MATCH(P183,'Resource Rate Library'!$A$5:$A$85,0)),"")</x:f>
      </x:c>
      <x:c r="R183" s="53"/>
      <x:c r="S183" s="53"/>
      <x:c r="T183" s="81" t="str">
        <x:f>IFERROR(INDEX('Resource Rate Library'!$E$5:$E$85,MATCH(P183,'Resource Rate Library'!$A$5:$A$85,0)),"")</x:f>
      </x:c>
      <x:c r="U183" s="62"/>
      <x:c r="V183" s="62"/>
      <x:c r="W183" s="83" t="n">
        <x:f>IFERROR(INDEX('Resource Rate Library'!$I$5:$I$85,MATCH(P183,'Resource Rate Library'!$A$5:$A$85,0)),0)</x:f>
        <x:v>0</x:v>
      </x:c>
      <x:c r="X183" s="52"/>
      <x:c r="Y183" s="83" t="n">
        <x:f t="shared" si="14">IF(X183&gt;0,X183,W183)</x:f>
        <x:v>0</x:v>
      </x:c>
      <x:c r="Z183" s="83" t="str">
        <x:f t="shared" si="15">IF(B183="","",IF(N183="Time x Count",M183*R183*IF(U183="",1,U183)*Y183,IF(N183="QS Qty x Factor",E183*R183*(1+IF(V183="",0,V183))*Y183,IF(N183="Direct Qty",S183*(1+IF(V183="",0,V183))*Y183,IF(N183="Lump Sum / Quote",S183*Y183,0)))))</x:f>
      </x:c>
      <x:c r="AA183" s="81" t="str">
        <x:f>IFERROR(INDEX('Resource Rate Library'!$N$5:$N$85,MATCH(P183,'Resource Rate Library'!$A$5:$A$85,0)),"")</x:f>
      </x:c>
      <x:c r="AB183" s="53"/>
      <x:c r="AC183" s="59"/>
      <x:c r="AD183" s="81" t="str">
        <x:f>IFERROR(INDEX('Resource Rate Library'!$G$5:$G$85,MATCH(P183,'Resource Rate Library'!$A$5:$A$85,0)),"")</x:f>
      </x:c>
      <x:c r="AE183" s="81" t="str">
        <x:f>IFERROR(INDEX('Resource Rate Library'!$H$5:$H$85,MATCH(P183,'Resource Rate Library'!$A$5:$A$85,0)),"")</x:f>
      </x:c>
      <x:c r="AF183" s="53"/>
      <x:c r="AG183" s="53"/>
      <x:c r="AH183" s="53"/>
      <x:c r="AI183" s="81" t="str">
        <x:f t="shared" si="16">IF(B183="","",IF(AND(P183="",N183&lt;&gt;"Lump Sum / Quote"),"RESOURCE CODE",IF(Y183=0,"RATE MISSING",IF(AND(O183="Plant",AD183="Yes",COUNTIFS($B$7:$B$306,B183,$O$7:$O$306,"Labour",$Q$7:$Q$306,"*Operator*")&gt;0),"OPERATOR DOUBLE-COUNT",IF(AND(O183="Plant",AE183="Yes",COUNTIFS($B$7:$B$306,B183,$Q$7:$Q$306,"*Fuel*")&gt;0),"FUEL DOUBLE-COUNT",IF(AH183&lt;&gt;"Yes","VERIFY","OK"))))))</x:f>
      </x:c>
      <x:c r="AJ183" s="54"/>
      <x:c r="AK183" s="473"/>
      <x:c r="AL183" s="473"/>
      <x:c r="AM183" s="473"/>
      <x:c r="AN183" s="500" t="n">
        <x:f>IF(AND(AK183="Yes",OR(O183="Labour",O183="Plant")),Z183,0)</x:f>
        <x:v>0</x:v>
      </x:c>
    </x:row>
    <x:row r="184">
      <x:c r="A184" s="80" t="str">
        <x:f>IF(B184="","",B184&amp;"-"&amp;TEXT(COUNTIF($B$7:B184,B184),"000"))</x:f>
      </x:c>
      <x:c r="B184" s="53"/>
      <x:c r="C184" s="81" t="str">
        <x:f>IFERROR(INDEX('QS Takeoff'!$A$3:$A$194,MATCH(B184,'QS Takeoff'!$B$3:$B$194,0)),"")</x:f>
      </x:c>
      <x:c r="D184" s="81" t="str">
        <x:f>IFERROR(INDEX('QS Takeoff'!$C$3:$C$194,MATCH(B184,'QS Takeoff'!$B$3:$B$194,0)),"")</x:f>
      </x:c>
      <x:c r="E184" s="81" t="str">
        <x:f>IFERROR(INDEX('QS Takeoff'!$E$3:$E$194,MATCH(B184,'QS Takeoff'!$B$3:$B$194,0)),"")</x:f>
      </x:c>
      <x:c r="F184" s="81" t="str">
        <x:f>IFERROR(INDEX('QS Takeoff'!$D$3:$D$194,MATCH(B184,'QS Takeoff'!$B$3:$B$194,0)),"")</x:f>
      </x:c>
      <x:c r="G184" s="81" t="str">
        <x:f>IFERROR(INDEX('QS Takeoff'!$J$3:$J$194,MATCH(B184,'QS Takeoff'!$B$3:$B$194,0)),"")</x:f>
      </x:c>
      <x:c r="H184" s="53"/>
      <x:c r="I184" s="60"/>
      <x:c r="J184" s="60"/>
      <x:c r="K184" s="82" t="str">
        <x:f t="shared" si="12">IF(OR(B184="",I184="",I184=0),"",E184/I184)</x:f>
      </x:c>
      <x:c r="L184" s="60"/>
      <x:c r="M184" s="82" t="str">
        <x:f t="shared" si="13">IF(L184&gt;0,L184,K184)</x:f>
      </x:c>
      <x:c r="N184" s="53"/>
      <x:c r="O184" s="53"/>
      <x:c r="P184" s="53"/>
      <x:c r="Q184" s="81" t="str">
        <x:f>IFERROR(INDEX('Resource Rate Library'!$C$5:$C$85,MATCH(P184,'Resource Rate Library'!$A$5:$A$85,0)),"")</x:f>
      </x:c>
      <x:c r="R184" s="53"/>
      <x:c r="S184" s="53"/>
      <x:c r="T184" s="81" t="str">
        <x:f>IFERROR(INDEX('Resource Rate Library'!$E$5:$E$85,MATCH(P184,'Resource Rate Library'!$A$5:$A$85,0)),"")</x:f>
      </x:c>
      <x:c r="U184" s="62"/>
      <x:c r="V184" s="62"/>
      <x:c r="W184" s="83" t="n">
        <x:f>IFERROR(INDEX('Resource Rate Library'!$I$5:$I$85,MATCH(P184,'Resource Rate Library'!$A$5:$A$85,0)),0)</x:f>
        <x:v>0</x:v>
      </x:c>
      <x:c r="X184" s="52"/>
      <x:c r="Y184" s="83" t="n">
        <x:f t="shared" si="14">IF(X184&gt;0,X184,W184)</x:f>
        <x:v>0</x:v>
      </x:c>
      <x:c r="Z184" s="83" t="str">
        <x:f t="shared" si="15">IF(B184="","",IF(N184="Time x Count",M184*R184*IF(U184="",1,U184)*Y184,IF(N184="QS Qty x Factor",E184*R184*(1+IF(V184="",0,V184))*Y184,IF(N184="Direct Qty",S184*(1+IF(V184="",0,V184))*Y184,IF(N184="Lump Sum / Quote",S184*Y184,0)))))</x:f>
      </x:c>
      <x:c r="AA184" s="81" t="str">
        <x:f>IFERROR(INDEX('Resource Rate Library'!$N$5:$N$85,MATCH(P184,'Resource Rate Library'!$A$5:$A$85,0)),"")</x:f>
      </x:c>
      <x:c r="AB184" s="53"/>
      <x:c r="AC184" s="59"/>
      <x:c r="AD184" s="81" t="str">
        <x:f>IFERROR(INDEX('Resource Rate Library'!$G$5:$G$85,MATCH(P184,'Resource Rate Library'!$A$5:$A$85,0)),"")</x:f>
      </x:c>
      <x:c r="AE184" s="81" t="str">
        <x:f>IFERROR(INDEX('Resource Rate Library'!$H$5:$H$85,MATCH(P184,'Resource Rate Library'!$A$5:$A$85,0)),"")</x:f>
      </x:c>
      <x:c r="AF184" s="53"/>
      <x:c r="AG184" s="53"/>
      <x:c r="AH184" s="53"/>
      <x:c r="AI184" s="81" t="str">
        <x:f t="shared" si="16">IF(B184="","",IF(AND(P184="",N184&lt;&gt;"Lump Sum / Quote"),"RESOURCE CODE",IF(Y184=0,"RATE MISSING",IF(AND(O184="Plant",AD184="Yes",COUNTIFS($B$7:$B$306,B184,$O$7:$O$306,"Labour",$Q$7:$Q$306,"*Operator*")&gt;0),"OPERATOR DOUBLE-COUNT",IF(AND(O184="Plant",AE184="Yes",COUNTIFS($B$7:$B$306,B184,$Q$7:$Q$306,"*Fuel*")&gt;0),"FUEL DOUBLE-COUNT",IF(AH184&lt;&gt;"Yes","VERIFY","OK"))))))</x:f>
      </x:c>
      <x:c r="AJ184" s="54"/>
      <x:c r="AK184" s="473"/>
      <x:c r="AL184" s="473"/>
      <x:c r="AM184" s="473"/>
      <x:c r="AN184" s="500" t="n">
        <x:f>IF(AND(AK184="Yes",OR(O184="Labour",O184="Plant")),Z184,0)</x:f>
        <x:v>0</x:v>
      </x:c>
    </x:row>
    <x:row r="185">
      <x:c r="A185" s="80" t="str">
        <x:f>IF(B185="","",B185&amp;"-"&amp;TEXT(COUNTIF($B$7:B185,B185),"000"))</x:f>
      </x:c>
      <x:c r="B185" s="53"/>
      <x:c r="C185" s="81" t="str">
        <x:f>IFERROR(INDEX('QS Takeoff'!$A$3:$A$194,MATCH(B185,'QS Takeoff'!$B$3:$B$194,0)),"")</x:f>
      </x:c>
      <x:c r="D185" s="81" t="str">
        <x:f>IFERROR(INDEX('QS Takeoff'!$C$3:$C$194,MATCH(B185,'QS Takeoff'!$B$3:$B$194,0)),"")</x:f>
      </x:c>
      <x:c r="E185" s="81" t="str">
        <x:f>IFERROR(INDEX('QS Takeoff'!$E$3:$E$194,MATCH(B185,'QS Takeoff'!$B$3:$B$194,0)),"")</x:f>
      </x:c>
      <x:c r="F185" s="81" t="str">
        <x:f>IFERROR(INDEX('QS Takeoff'!$D$3:$D$194,MATCH(B185,'QS Takeoff'!$B$3:$B$194,0)),"")</x:f>
      </x:c>
      <x:c r="G185" s="81" t="str">
        <x:f>IFERROR(INDEX('QS Takeoff'!$J$3:$J$194,MATCH(B185,'QS Takeoff'!$B$3:$B$194,0)),"")</x:f>
      </x:c>
      <x:c r="H185" s="53"/>
      <x:c r="I185" s="60"/>
      <x:c r="J185" s="60"/>
      <x:c r="K185" s="82" t="str">
        <x:f t="shared" si="12">IF(OR(B185="",I185="",I185=0),"",E185/I185)</x:f>
      </x:c>
      <x:c r="L185" s="60"/>
      <x:c r="M185" s="82" t="str">
        <x:f t="shared" si="13">IF(L185&gt;0,L185,K185)</x:f>
      </x:c>
      <x:c r="N185" s="53"/>
      <x:c r="O185" s="53"/>
      <x:c r="P185" s="53"/>
      <x:c r="Q185" s="81" t="str">
        <x:f>IFERROR(INDEX('Resource Rate Library'!$C$5:$C$85,MATCH(P185,'Resource Rate Library'!$A$5:$A$85,0)),"")</x:f>
      </x:c>
      <x:c r="R185" s="53"/>
      <x:c r="S185" s="53"/>
      <x:c r="T185" s="81" t="str">
        <x:f>IFERROR(INDEX('Resource Rate Library'!$E$5:$E$85,MATCH(P185,'Resource Rate Library'!$A$5:$A$85,0)),"")</x:f>
      </x:c>
      <x:c r="U185" s="62"/>
      <x:c r="V185" s="62"/>
      <x:c r="W185" s="83" t="n">
        <x:f>IFERROR(INDEX('Resource Rate Library'!$I$5:$I$85,MATCH(P185,'Resource Rate Library'!$A$5:$A$85,0)),0)</x:f>
        <x:v>0</x:v>
      </x:c>
      <x:c r="X185" s="52"/>
      <x:c r="Y185" s="83" t="n">
        <x:f t="shared" si="14">IF(X185&gt;0,X185,W185)</x:f>
        <x:v>0</x:v>
      </x:c>
      <x:c r="Z185" s="83" t="str">
        <x:f t="shared" si="15">IF(B185="","",IF(N185="Time x Count",M185*R185*IF(U185="",1,U185)*Y185,IF(N185="QS Qty x Factor",E185*R185*(1+IF(V185="",0,V185))*Y185,IF(N185="Direct Qty",S185*(1+IF(V185="",0,V185))*Y185,IF(N185="Lump Sum / Quote",S185*Y185,0)))))</x:f>
      </x:c>
      <x:c r="AA185" s="81" t="str">
        <x:f>IFERROR(INDEX('Resource Rate Library'!$N$5:$N$85,MATCH(P185,'Resource Rate Library'!$A$5:$A$85,0)),"")</x:f>
      </x:c>
      <x:c r="AB185" s="53"/>
      <x:c r="AC185" s="59"/>
      <x:c r="AD185" s="81" t="str">
        <x:f>IFERROR(INDEX('Resource Rate Library'!$G$5:$G$85,MATCH(P185,'Resource Rate Library'!$A$5:$A$85,0)),"")</x:f>
      </x:c>
      <x:c r="AE185" s="81" t="str">
        <x:f>IFERROR(INDEX('Resource Rate Library'!$H$5:$H$85,MATCH(P185,'Resource Rate Library'!$A$5:$A$85,0)),"")</x:f>
      </x:c>
      <x:c r="AF185" s="53"/>
      <x:c r="AG185" s="53"/>
      <x:c r="AH185" s="53"/>
      <x:c r="AI185" s="81" t="str">
        <x:f t="shared" ref="AI185:AI216" si="17">IF(B185="","",IF(AND(P185="",N185&lt;&gt;"Lump Sum / Quote"),"RESOURCE CODE",IF(Y185=0,"RATE MISSING",IF(AND(O185="Plant",AD185="Yes",COUNTIFS($B$7:$B$306,B185,$O$7:$O$306,"Labour",$Q$7:$Q$306,"*Operator*")&gt;0),"OPERATOR DOUBLE-COUNT",IF(AND(O185="Plant",AE185="Yes",COUNTIFS($B$7:$B$306,B185,$Q$7:$Q$306,"*Fuel*")&gt;0),"FUEL DOUBLE-COUNT",IF(AH185&lt;&gt;"Yes","VERIFY","OK"))))))</x:f>
      </x:c>
      <x:c r="AJ185" s="54"/>
      <x:c r="AK185" s="473"/>
      <x:c r="AL185" s="473"/>
      <x:c r="AM185" s="473"/>
      <x:c r="AN185" s="500" t="n">
        <x:f>IF(AND(AK185="Yes",OR(O185="Labour",O185="Plant")),Z185,0)</x:f>
        <x:v>0</x:v>
      </x:c>
    </x:row>
    <x:row r="186">
      <x:c r="A186" s="80" t="str">
        <x:f>IF(B186="","",B186&amp;"-"&amp;TEXT(COUNTIF($B$7:B186,B186),"000"))</x:f>
      </x:c>
      <x:c r="B186" s="53"/>
      <x:c r="C186" s="81" t="str">
        <x:f>IFERROR(INDEX('QS Takeoff'!$A$3:$A$194,MATCH(B186,'QS Takeoff'!$B$3:$B$194,0)),"")</x:f>
      </x:c>
      <x:c r="D186" s="81" t="str">
        <x:f>IFERROR(INDEX('QS Takeoff'!$C$3:$C$194,MATCH(B186,'QS Takeoff'!$B$3:$B$194,0)),"")</x:f>
      </x:c>
      <x:c r="E186" s="81" t="str">
        <x:f>IFERROR(INDEX('QS Takeoff'!$E$3:$E$194,MATCH(B186,'QS Takeoff'!$B$3:$B$194,0)),"")</x:f>
      </x:c>
      <x:c r="F186" s="81" t="str">
        <x:f>IFERROR(INDEX('QS Takeoff'!$D$3:$D$194,MATCH(B186,'QS Takeoff'!$B$3:$B$194,0)),"")</x:f>
      </x:c>
      <x:c r="G186" s="81" t="str">
        <x:f>IFERROR(INDEX('QS Takeoff'!$J$3:$J$194,MATCH(B186,'QS Takeoff'!$B$3:$B$194,0)),"")</x:f>
      </x:c>
      <x:c r="H186" s="53"/>
      <x:c r="I186" s="60"/>
      <x:c r="J186" s="60"/>
      <x:c r="K186" s="82" t="str">
        <x:f t="shared" si="12">IF(OR(B186="",I186="",I186=0),"",E186/I186)</x:f>
      </x:c>
      <x:c r="L186" s="60"/>
      <x:c r="M186" s="82" t="str">
        <x:f t="shared" si="13">IF(L186&gt;0,L186,K186)</x:f>
      </x:c>
      <x:c r="N186" s="53"/>
      <x:c r="O186" s="53"/>
      <x:c r="P186" s="53"/>
      <x:c r="Q186" s="81" t="str">
        <x:f>IFERROR(INDEX('Resource Rate Library'!$C$5:$C$85,MATCH(P186,'Resource Rate Library'!$A$5:$A$85,0)),"")</x:f>
      </x:c>
      <x:c r="R186" s="53"/>
      <x:c r="S186" s="53"/>
      <x:c r="T186" s="81" t="str">
        <x:f>IFERROR(INDEX('Resource Rate Library'!$E$5:$E$85,MATCH(P186,'Resource Rate Library'!$A$5:$A$85,0)),"")</x:f>
      </x:c>
      <x:c r="U186" s="62"/>
      <x:c r="V186" s="62"/>
      <x:c r="W186" s="83" t="n">
        <x:f>IFERROR(INDEX('Resource Rate Library'!$I$5:$I$85,MATCH(P186,'Resource Rate Library'!$A$5:$A$85,0)),0)</x:f>
        <x:v>0</x:v>
      </x:c>
      <x:c r="X186" s="52"/>
      <x:c r="Y186" s="83" t="n">
        <x:f t="shared" si="14">IF(X186&gt;0,X186,W186)</x:f>
        <x:v>0</x:v>
      </x:c>
      <x:c r="Z186" s="83" t="str">
        <x:f t="shared" si="15">IF(B186="","",IF(N186="Time x Count",M186*R186*IF(U186="",1,U186)*Y186,IF(N186="QS Qty x Factor",E186*R186*(1+IF(V186="",0,V186))*Y186,IF(N186="Direct Qty",S186*(1+IF(V186="",0,V186))*Y186,IF(N186="Lump Sum / Quote",S186*Y186,0)))))</x:f>
      </x:c>
      <x:c r="AA186" s="81" t="str">
        <x:f>IFERROR(INDEX('Resource Rate Library'!$N$5:$N$85,MATCH(P186,'Resource Rate Library'!$A$5:$A$85,0)),"")</x:f>
      </x:c>
      <x:c r="AB186" s="53"/>
      <x:c r="AC186" s="59"/>
      <x:c r="AD186" s="81" t="str">
        <x:f>IFERROR(INDEX('Resource Rate Library'!$G$5:$G$85,MATCH(P186,'Resource Rate Library'!$A$5:$A$85,0)),"")</x:f>
      </x:c>
      <x:c r="AE186" s="81" t="str">
        <x:f>IFERROR(INDEX('Resource Rate Library'!$H$5:$H$85,MATCH(P186,'Resource Rate Library'!$A$5:$A$85,0)),"")</x:f>
      </x:c>
      <x:c r="AF186" s="53"/>
      <x:c r="AG186" s="53"/>
      <x:c r="AH186" s="53"/>
      <x:c r="AI186" s="81" t="str">
        <x:f t="shared" si="17">IF(B186="","",IF(AND(P186="",N186&lt;&gt;"Lump Sum / Quote"),"RESOURCE CODE",IF(Y186=0,"RATE MISSING",IF(AND(O186="Plant",AD186="Yes",COUNTIFS($B$7:$B$306,B186,$O$7:$O$306,"Labour",$Q$7:$Q$306,"*Operator*")&gt;0),"OPERATOR DOUBLE-COUNT",IF(AND(O186="Plant",AE186="Yes",COUNTIFS($B$7:$B$306,B186,$Q$7:$Q$306,"*Fuel*")&gt;0),"FUEL DOUBLE-COUNT",IF(AH186&lt;&gt;"Yes","VERIFY","OK"))))))</x:f>
      </x:c>
      <x:c r="AJ186" s="54"/>
      <x:c r="AK186" s="473"/>
      <x:c r="AL186" s="473"/>
      <x:c r="AM186" s="473"/>
      <x:c r="AN186" s="500" t="n">
        <x:f>IF(AND(AK186="Yes",OR(O186="Labour",O186="Plant")),Z186,0)</x:f>
        <x:v>0</x:v>
      </x:c>
    </x:row>
    <x:row r="187">
      <x:c r="A187" s="80" t="str">
        <x:f>IF(B187="","",B187&amp;"-"&amp;TEXT(COUNTIF($B$7:B187,B187),"000"))</x:f>
      </x:c>
      <x:c r="B187" s="53"/>
      <x:c r="C187" s="81" t="str">
        <x:f>IFERROR(INDEX('QS Takeoff'!$A$3:$A$194,MATCH(B187,'QS Takeoff'!$B$3:$B$194,0)),"")</x:f>
      </x:c>
      <x:c r="D187" s="81" t="str">
        <x:f>IFERROR(INDEX('QS Takeoff'!$C$3:$C$194,MATCH(B187,'QS Takeoff'!$B$3:$B$194,0)),"")</x:f>
      </x:c>
      <x:c r="E187" s="81" t="str">
        <x:f>IFERROR(INDEX('QS Takeoff'!$E$3:$E$194,MATCH(B187,'QS Takeoff'!$B$3:$B$194,0)),"")</x:f>
      </x:c>
      <x:c r="F187" s="81" t="str">
        <x:f>IFERROR(INDEX('QS Takeoff'!$D$3:$D$194,MATCH(B187,'QS Takeoff'!$B$3:$B$194,0)),"")</x:f>
      </x:c>
      <x:c r="G187" s="81" t="str">
        <x:f>IFERROR(INDEX('QS Takeoff'!$J$3:$J$194,MATCH(B187,'QS Takeoff'!$B$3:$B$194,0)),"")</x:f>
      </x:c>
      <x:c r="H187" s="53"/>
      <x:c r="I187" s="60"/>
      <x:c r="J187" s="60"/>
      <x:c r="K187" s="82" t="str">
        <x:f t="shared" si="12">IF(OR(B187="",I187="",I187=0),"",E187/I187)</x:f>
      </x:c>
      <x:c r="L187" s="60"/>
      <x:c r="M187" s="82" t="str">
        <x:f t="shared" si="13">IF(L187&gt;0,L187,K187)</x:f>
      </x:c>
      <x:c r="N187" s="53"/>
      <x:c r="O187" s="53"/>
      <x:c r="P187" s="53"/>
      <x:c r="Q187" s="81" t="str">
        <x:f>IFERROR(INDEX('Resource Rate Library'!$C$5:$C$85,MATCH(P187,'Resource Rate Library'!$A$5:$A$85,0)),"")</x:f>
      </x:c>
      <x:c r="R187" s="53"/>
      <x:c r="S187" s="53"/>
      <x:c r="T187" s="81" t="str">
        <x:f>IFERROR(INDEX('Resource Rate Library'!$E$5:$E$85,MATCH(P187,'Resource Rate Library'!$A$5:$A$85,0)),"")</x:f>
      </x:c>
      <x:c r="U187" s="62"/>
      <x:c r="V187" s="62"/>
      <x:c r="W187" s="83" t="n">
        <x:f>IFERROR(INDEX('Resource Rate Library'!$I$5:$I$85,MATCH(P187,'Resource Rate Library'!$A$5:$A$85,0)),0)</x:f>
        <x:v>0</x:v>
      </x:c>
      <x:c r="X187" s="52"/>
      <x:c r="Y187" s="83" t="n">
        <x:f t="shared" si="14">IF(X187&gt;0,X187,W187)</x:f>
        <x:v>0</x:v>
      </x:c>
      <x:c r="Z187" s="83" t="str">
        <x:f t="shared" si="15">IF(B187="","",IF(N187="Time x Count",M187*R187*IF(U187="",1,U187)*Y187,IF(N187="QS Qty x Factor",E187*R187*(1+IF(V187="",0,V187))*Y187,IF(N187="Direct Qty",S187*(1+IF(V187="",0,V187))*Y187,IF(N187="Lump Sum / Quote",S187*Y187,0)))))</x:f>
      </x:c>
      <x:c r="AA187" s="81" t="str">
        <x:f>IFERROR(INDEX('Resource Rate Library'!$N$5:$N$85,MATCH(P187,'Resource Rate Library'!$A$5:$A$85,0)),"")</x:f>
      </x:c>
      <x:c r="AB187" s="53"/>
      <x:c r="AC187" s="59"/>
      <x:c r="AD187" s="81" t="str">
        <x:f>IFERROR(INDEX('Resource Rate Library'!$G$5:$G$85,MATCH(P187,'Resource Rate Library'!$A$5:$A$85,0)),"")</x:f>
      </x:c>
      <x:c r="AE187" s="81" t="str">
        <x:f>IFERROR(INDEX('Resource Rate Library'!$H$5:$H$85,MATCH(P187,'Resource Rate Library'!$A$5:$A$85,0)),"")</x:f>
      </x:c>
      <x:c r="AF187" s="53"/>
      <x:c r="AG187" s="53"/>
      <x:c r="AH187" s="53"/>
      <x:c r="AI187" s="81" t="str">
        <x:f t="shared" si="17">IF(B187="","",IF(AND(P187="",N187&lt;&gt;"Lump Sum / Quote"),"RESOURCE CODE",IF(Y187=0,"RATE MISSING",IF(AND(O187="Plant",AD187="Yes",COUNTIFS($B$7:$B$306,B187,$O$7:$O$306,"Labour",$Q$7:$Q$306,"*Operator*")&gt;0),"OPERATOR DOUBLE-COUNT",IF(AND(O187="Plant",AE187="Yes",COUNTIFS($B$7:$B$306,B187,$Q$7:$Q$306,"*Fuel*")&gt;0),"FUEL DOUBLE-COUNT",IF(AH187&lt;&gt;"Yes","VERIFY","OK"))))))</x:f>
      </x:c>
      <x:c r="AJ187" s="54"/>
      <x:c r="AK187" s="473"/>
      <x:c r="AL187" s="473"/>
      <x:c r="AM187" s="473"/>
      <x:c r="AN187" s="500" t="n">
        <x:f>IF(AND(AK187="Yes",OR(O187="Labour",O187="Plant")),Z187,0)</x:f>
        <x:v>0</x:v>
      </x:c>
    </x:row>
    <x:row r="188">
      <x:c r="A188" s="80" t="str">
        <x:f>IF(B188="","",B188&amp;"-"&amp;TEXT(COUNTIF($B$7:B188,B188),"000"))</x:f>
      </x:c>
      <x:c r="B188" s="53"/>
      <x:c r="C188" s="81" t="str">
        <x:f>IFERROR(INDEX('QS Takeoff'!$A$3:$A$194,MATCH(B188,'QS Takeoff'!$B$3:$B$194,0)),"")</x:f>
      </x:c>
      <x:c r="D188" s="81" t="str">
        <x:f>IFERROR(INDEX('QS Takeoff'!$C$3:$C$194,MATCH(B188,'QS Takeoff'!$B$3:$B$194,0)),"")</x:f>
      </x:c>
      <x:c r="E188" s="81" t="str">
        <x:f>IFERROR(INDEX('QS Takeoff'!$E$3:$E$194,MATCH(B188,'QS Takeoff'!$B$3:$B$194,0)),"")</x:f>
      </x:c>
      <x:c r="F188" s="81" t="str">
        <x:f>IFERROR(INDEX('QS Takeoff'!$D$3:$D$194,MATCH(B188,'QS Takeoff'!$B$3:$B$194,0)),"")</x:f>
      </x:c>
      <x:c r="G188" s="81" t="str">
        <x:f>IFERROR(INDEX('QS Takeoff'!$J$3:$J$194,MATCH(B188,'QS Takeoff'!$B$3:$B$194,0)),"")</x:f>
      </x:c>
      <x:c r="H188" s="53"/>
      <x:c r="I188" s="60"/>
      <x:c r="J188" s="60"/>
      <x:c r="K188" s="82" t="str">
        <x:f t="shared" si="12">IF(OR(B188="",I188="",I188=0),"",E188/I188)</x:f>
      </x:c>
      <x:c r="L188" s="60"/>
      <x:c r="M188" s="82" t="str">
        <x:f t="shared" si="13">IF(L188&gt;0,L188,K188)</x:f>
      </x:c>
      <x:c r="N188" s="53"/>
      <x:c r="O188" s="53"/>
      <x:c r="P188" s="53"/>
      <x:c r="Q188" s="81" t="str">
        <x:f>IFERROR(INDEX('Resource Rate Library'!$C$5:$C$85,MATCH(P188,'Resource Rate Library'!$A$5:$A$85,0)),"")</x:f>
      </x:c>
      <x:c r="R188" s="53"/>
      <x:c r="S188" s="53"/>
      <x:c r="T188" s="81" t="str">
        <x:f>IFERROR(INDEX('Resource Rate Library'!$E$5:$E$85,MATCH(P188,'Resource Rate Library'!$A$5:$A$85,0)),"")</x:f>
      </x:c>
      <x:c r="U188" s="62"/>
      <x:c r="V188" s="62"/>
      <x:c r="W188" s="83" t="n">
        <x:f>IFERROR(INDEX('Resource Rate Library'!$I$5:$I$85,MATCH(P188,'Resource Rate Library'!$A$5:$A$85,0)),0)</x:f>
        <x:v>0</x:v>
      </x:c>
      <x:c r="X188" s="52"/>
      <x:c r="Y188" s="83" t="n">
        <x:f t="shared" si="14">IF(X188&gt;0,X188,W188)</x:f>
        <x:v>0</x:v>
      </x:c>
      <x:c r="Z188" s="83" t="str">
        <x:f t="shared" si="15">IF(B188="","",IF(N188="Time x Count",M188*R188*IF(U188="",1,U188)*Y188,IF(N188="QS Qty x Factor",E188*R188*(1+IF(V188="",0,V188))*Y188,IF(N188="Direct Qty",S188*(1+IF(V188="",0,V188))*Y188,IF(N188="Lump Sum / Quote",S188*Y188,0)))))</x:f>
      </x:c>
      <x:c r="AA188" s="81" t="str">
        <x:f>IFERROR(INDEX('Resource Rate Library'!$N$5:$N$85,MATCH(P188,'Resource Rate Library'!$A$5:$A$85,0)),"")</x:f>
      </x:c>
      <x:c r="AB188" s="53"/>
      <x:c r="AC188" s="59"/>
      <x:c r="AD188" s="81" t="str">
        <x:f>IFERROR(INDEX('Resource Rate Library'!$G$5:$G$85,MATCH(P188,'Resource Rate Library'!$A$5:$A$85,0)),"")</x:f>
      </x:c>
      <x:c r="AE188" s="81" t="str">
        <x:f>IFERROR(INDEX('Resource Rate Library'!$H$5:$H$85,MATCH(P188,'Resource Rate Library'!$A$5:$A$85,0)),"")</x:f>
      </x:c>
      <x:c r="AF188" s="53"/>
      <x:c r="AG188" s="53"/>
      <x:c r="AH188" s="53"/>
      <x:c r="AI188" s="81" t="str">
        <x:f t="shared" si="17">IF(B188="","",IF(AND(P188="",N188&lt;&gt;"Lump Sum / Quote"),"RESOURCE CODE",IF(Y188=0,"RATE MISSING",IF(AND(O188="Plant",AD188="Yes",COUNTIFS($B$7:$B$306,B188,$O$7:$O$306,"Labour",$Q$7:$Q$306,"*Operator*")&gt;0),"OPERATOR DOUBLE-COUNT",IF(AND(O188="Plant",AE188="Yes",COUNTIFS($B$7:$B$306,B188,$Q$7:$Q$306,"*Fuel*")&gt;0),"FUEL DOUBLE-COUNT",IF(AH188&lt;&gt;"Yes","VERIFY","OK"))))))</x:f>
      </x:c>
      <x:c r="AJ188" s="54"/>
      <x:c r="AK188" s="473"/>
      <x:c r="AL188" s="473"/>
      <x:c r="AM188" s="473"/>
      <x:c r="AN188" s="500" t="n">
        <x:f>IF(AND(AK188="Yes",OR(O188="Labour",O188="Plant")),Z188,0)</x:f>
        <x:v>0</x:v>
      </x:c>
    </x:row>
    <x:row r="189">
      <x:c r="A189" s="80" t="str">
        <x:f>IF(B189="","",B189&amp;"-"&amp;TEXT(COUNTIF($B$7:B189,B189),"000"))</x:f>
      </x:c>
      <x:c r="B189" s="53"/>
      <x:c r="C189" s="81" t="str">
        <x:f>IFERROR(INDEX('QS Takeoff'!$A$3:$A$194,MATCH(B189,'QS Takeoff'!$B$3:$B$194,0)),"")</x:f>
      </x:c>
      <x:c r="D189" s="81" t="str">
        <x:f>IFERROR(INDEX('QS Takeoff'!$C$3:$C$194,MATCH(B189,'QS Takeoff'!$B$3:$B$194,0)),"")</x:f>
      </x:c>
      <x:c r="E189" s="81" t="str">
        <x:f>IFERROR(INDEX('QS Takeoff'!$E$3:$E$194,MATCH(B189,'QS Takeoff'!$B$3:$B$194,0)),"")</x:f>
      </x:c>
      <x:c r="F189" s="81" t="str">
        <x:f>IFERROR(INDEX('QS Takeoff'!$D$3:$D$194,MATCH(B189,'QS Takeoff'!$B$3:$B$194,0)),"")</x:f>
      </x:c>
      <x:c r="G189" s="81" t="str">
        <x:f>IFERROR(INDEX('QS Takeoff'!$J$3:$J$194,MATCH(B189,'QS Takeoff'!$B$3:$B$194,0)),"")</x:f>
      </x:c>
      <x:c r="H189" s="53"/>
      <x:c r="I189" s="60"/>
      <x:c r="J189" s="60"/>
      <x:c r="K189" s="82" t="str">
        <x:f t="shared" si="12">IF(OR(B189="",I189="",I189=0),"",E189/I189)</x:f>
      </x:c>
      <x:c r="L189" s="60"/>
      <x:c r="M189" s="82" t="str">
        <x:f t="shared" si="13">IF(L189&gt;0,L189,K189)</x:f>
      </x:c>
      <x:c r="N189" s="53"/>
      <x:c r="O189" s="53"/>
      <x:c r="P189" s="53"/>
      <x:c r="Q189" s="81" t="str">
        <x:f>IFERROR(INDEX('Resource Rate Library'!$C$5:$C$85,MATCH(P189,'Resource Rate Library'!$A$5:$A$85,0)),"")</x:f>
      </x:c>
      <x:c r="R189" s="53"/>
      <x:c r="S189" s="53"/>
      <x:c r="T189" s="81" t="str">
        <x:f>IFERROR(INDEX('Resource Rate Library'!$E$5:$E$85,MATCH(P189,'Resource Rate Library'!$A$5:$A$85,0)),"")</x:f>
      </x:c>
      <x:c r="U189" s="62"/>
      <x:c r="V189" s="62"/>
      <x:c r="W189" s="83" t="n">
        <x:f>IFERROR(INDEX('Resource Rate Library'!$I$5:$I$85,MATCH(P189,'Resource Rate Library'!$A$5:$A$85,0)),0)</x:f>
        <x:v>0</x:v>
      </x:c>
      <x:c r="X189" s="52"/>
      <x:c r="Y189" s="83" t="n">
        <x:f t="shared" si="14">IF(X189&gt;0,X189,W189)</x:f>
        <x:v>0</x:v>
      </x:c>
      <x:c r="Z189" s="83" t="str">
        <x:f t="shared" si="15">IF(B189="","",IF(N189="Time x Count",M189*R189*IF(U189="",1,U189)*Y189,IF(N189="QS Qty x Factor",E189*R189*(1+IF(V189="",0,V189))*Y189,IF(N189="Direct Qty",S189*(1+IF(V189="",0,V189))*Y189,IF(N189="Lump Sum / Quote",S189*Y189,0)))))</x:f>
      </x:c>
      <x:c r="AA189" s="81" t="str">
        <x:f>IFERROR(INDEX('Resource Rate Library'!$N$5:$N$85,MATCH(P189,'Resource Rate Library'!$A$5:$A$85,0)),"")</x:f>
      </x:c>
      <x:c r="AB189" s="53"/>
      <x:c r="AC189" s="59"/>
      <x:c r="AD189" s="81" t="str">
        <x:f>IFERROR(INDEX('Resource Rate Library'!$G$5:$G$85,MATCH(P189,'Resource Rate Library'!$A$5:$A$85,0)),"")</x:f>
      </x:c>
      <x:c r="AE189" s="81" t="str">
        <x:f>IFERROR(INDEX('Resource Rate Library'!$H$5:$H$85,MATCH(P189,'Resource Rate Library'!$A$5:$A$85,0)),"")</x:f>
      </x:c>
      <x:c r="AF189" s="53"/>
      <x:c r="AG189" s="53"/>
      <x:c r="AH189" s="53"/>
      <x:c r="AI189" s="81" t="str">
        <x:f t="shared" si="17">IF(B189="","",IF(AND(P189="",N189&lt;&gt;"Lump Sum / Quote"),"RESOURCE CODE",IF(Y189=0,"RATE MISSING",IF(AND(O189="Plant",AD189="Yes",COUNTIFS($B$7:$B$306,B189,$O$7:$O$306,"Labour",$Q$7:$Q$306,"*Operator*")&gt;0),"OPERATOR DOUBLE-COUNT",IF(AND(O189="Plant",AE189="Yes",COUNTIFS($B$7:$B$306,B189,$Q$7:$Q$306,"*Fuel*")&gt;0),"FUEL DOUBLE-COUNT",IF(AH189&lt;&gt;"Yes","VERIFY","OK"))))))</x:f>
      </x:c>
      <x:c r="AJ189" s="54"/>
      <x:c r="AK189" s="473"/>
      <x:c r="AL189" s="473"/>
      <x:c r="AM189" s="473"/>
      <x:c r="AN189" s="500" t="n">
        <x:f>IF(AND(AK189="Yes",OR(O189="Labour",O189="Plant")),Z189,0)</x:f>
        <x:v>0</x:v>
      </x:c>
    </x:row>
    <x:row r="190">
      <x:c r="A190" s="80" t="str">
        <x:f>IF(B190="","",B190&amp;"-"&amp;TEXT(COUNTIF($B$7:B190,B190),"000"))</x:f>
      </x:c>
      <x:c r="B190" s="53"/>
      <x:c r="C190" s="81" t="str">
        <x:f>IFERROR(INDEX('QS Takeoff'!$A$3:$A$194,MATCH(B190,'QS Takeoff'!$B$3:$B$194,0)),"")</x:f>
      </x:c>
      <x:c r="D190" s="81" t="str">
        <x:f>IFERROR(INDEX('QS Takeoff'!$C$3:$C$194,MATCH(B190,'QS Takeoff'!$B$3:$B$194,0)),"")</x:f>
      </x:c>
      <x:c r="E190" s="81" t="str">
        <x:f>IFERROR(INDEX('QS Takeoff'!$E$3:$E$194,MATCH(B190,'QS Takeoff'!$B$3:$B$194,0)),"")</x:f>
      </x:c>
      <x:c r="F190" s="81" t="str">
        <x:f>IFERROR(INDEX('QS Takeoff'!$D$3:$D$194,MATCH(B190,'QS Takeoff'!$B$3:$B$194,0)),"")</x:f>
      </x:c>
      <x:c r="G190" s="81" t="str">
        <x:f>IFERROR(INDEX('QS Takeoff'!$J$3:$J$194,MATCH(B190,'QS Takeoff'!$B$3:$B$194,0)),"")</x:f>
      </x:c>
      <x:c r="H190" s="53"/>
      <x:c r="I190" s="60"/>
      <x:c r="J190" s="60"/>
      <x:c r="K190" s="82" t="str">
        <x:f t="shared" si="12">IF(OR(B190="",I190="",I190=0),"",E190/I190)</x:f>
      </x:c>
      <x:c r="L190" s="60"/>
      <x:c r="M190" s="82" t="str">
        <x:f t="shared" si="13">IF(L190&gt;0,L190,K190)</x:f>
      </x:c>
      <x:c r="N190" s="53"/>
      <x:c r="O190" s="53"/>
      <x:c r="P190" s="53"/>
      <x:c r="Q190" s="81" t="str">
        <x:f>IFERROR(INDEX('Resource Rate Library'!$C$5:$C$85,MATCH(P190,'Resource Rate Library'!$A$5:$A$85,0)),"")</x:f>
      </x:c>
      <x:c r="R190" s="53"/>
      <x:c r="S190" s="53"/>
      <x:c r="T190" s="81" t="str">
        <x:f>IFERROR(INDEX('Resource Rate Library'!$E$5:$E$85,MATCH(P190,'Resource Rate Library'!$A$5:$A$85,0)),"")</x:f>
      </x:c>
      <x:c r="U190" s="62"/>
      <x:c r="V190" s="62"/>
      <x:c r="W190" s="83" t="n">
        <x:f>IFERROR(INDEX('Resource Rate Library'!$I$5:$I$85,MATCH(P190,'Resource Rate Library'!$A$5:$A$85,0)),0)</x:f>
        <x:v>0</x:v>
      </x:c>
      <x:c r="X190" s="52"/>
      <x:c r="Y190" s="83" t="n">
        <x:f t="shared" si="14">IF(X190&gt;0,X190,W190)</x:f>
        <x:v>0</x:v>
      </x:c>
      <x:c r="Z190" s="83" t="str">
        <x:f t="shared" si="15">IF(B190="","",IF(N190="Time x Count",M190*R190*IF(U190="",1,U190)*Y190,IF(N190="QS Qty x Factor",E190*R190*(1+IF(V190="",0,V190))*Y190,IF(N190="Direct Qty",S190*(1+IF(V190="",0,V190))*Y190,IF(N190="Lump Sum / Quote",S190*Y190,0)))))</x:f>
      </x:c>
      <x:c r="AA190" s="81" t="str">
        <x:f>IFERROR(INDEX('Resource Rate Library'!$N$5:$N$85,MATCH(P190,'Resource Rate Library'!$A$5:$A$85,0)),"")</x:f>
      </x:c>
      <x:c r="AB190" s="53"/>
      <x:c r="AC190" s="59"/>
      <x:c r="AD190" s="81" t="str">
        <x:f>IFERROR(INDEX('Resource Rate Library'!$G$5:$G$85,MATCH(P190,'Resource Rate Library'!$A$5:$A$85,0)),"")</x:f>
      </x:c>
      <x:c r="AE190" s="81" t="str">
        <x:f>IFERROR(INDEX('Resource Rate Library'!$H$5:$H$85,MATCH(P190,'Resource Rate Library'!$A$5:$A$85,0)),"")</x:f>
      </x:c>
      <x:c r="AF190" s="53"/>
      <x:c r="AG190" s="53"/>
      <x:c r="AH190" s="53"/>
      <x:c r="AI190" s="81" t="str">
        <x:f t="shared" si="17">IF(B190="","",IF(AND(P190="",N190&lt;&gt;"Lump Sum / Quote"),"RESOURCE CODE",IF(Y190=0,"RATE MISSING",IF(AND(O190="Plant",AD190="Yes",COUNTIFS($B$7:$B$306,B190,$O$7:$O$306,"Labour",$Q$7:$Q$306,"*Operator*")&gt;0),"OPERATOR DOUBLE-COUNT",IF(AND(O190="Plant",AE190="Yes",COUNTIFS($B$7:$B$306,B190,$Q$7:$Q$306,"*Fuel*")&gt;0),"FUEL DOUBLE-COUNT",IF(AH190&lt;&gt;"Yes","VERIFY","OK"))))))</x:f>
      </x:c>
      <x:c r="AJ190" s="54"/>
      <x:c r="AK190" s="473"/>
      <x:c r="AL190" s="473"/>
      <x:c r="AM190" s="473"/>
      <x:c r="AN190" s="500" t="n">
        <x:f>IF(AND(AK190="Yes",OR(O190="Labour",O190="Plant")),Z190,0)</x:f>
        <x:v>0</x:v>
      </x:c>
    </x:row>
    <x:row r="191">
      <x:c r="A191" s="80" t="str">
        <x:f>IF(B191="","",B191&amp;"-"&amp;TEXT(COUNTIF($B$7:B191,B191),"000"))</x:f>
      </x:c>
      <x:c r="B191" s="53"/>
      <x:c r="C191" s="81" t="str">
        <x:f>IFERROR(INDEX('QS Takeoff'!$A$3:$A$194,MATCH(B191,'QS Takeoff'!$B$3:$B$194,0)),"")</x:f>
      </x:c>
      <x:c r="D191" s="81" t="str">
        <x:f>IFERROR(INDEX('QS Takeoff'!$C$3:$C$194,MATCH(B191,'QS Takeoff'!$B$3:$B$194,0)),"")</x:f>
      </x:c>
      <x:c r="E191" s="81" t="str">
        <x:f>IFERROR(INDEX('QS Takeoff'!$E$3:$E$194,MATCH(B191,'QS Takeoff'!$B$3:$B$194,0)),"")</x:f>
      </x:c>
      <x:c r="F191" s="81" t="str">
        <x:f>IFERROR(INDEX('QS Takeoff'!$D$3:$D$194,MATCH(B191,'QS Takeoff'!$B$3:$B$194,0)),"")</x:f>
      </x:c>
      <x:c r="G191" s="81" t="str">
        <x:f>IFERROR(INDEX('QS Takeoff'!$J$3:$J$194,MATCH(B191,'QS Takeoff'!$B$3:$B$194,0)),"")</x:f>
      </x:c>
      <x:c r="H191" s="53"/>
      <x:c r="I191" s="60"/>
      <x:c r="J191" s="60"/>
      <x:c r="K191" s="82" t="str">
        <x:f t="shared" si="12">IF(OR(B191="",I191="",I191=0),"",E191/I191)</x:f>
      </x:c>
      <x:c r="L191" s="60"/>
      <x:c r="M191" s="82" t="str">
        <x:f t="shared" si="13">IF(L191&gt;0,L191,K191)</x:f>
      </x:c>
      <x:c r="N191" s="53"/>
      <x:c r="O191" s="53"/>
      <x:c r="P191" s="53"/>
      <x:c r="Q191" s="81" t="str">
        <x:f>IFERROR(INDEX('Resource Rate Library'!$C$5:$C$85,MATCH(P191,'Resource Rate Library'!$A$5:$A$85,0)),"")</x:f>
      </x:c>
      <x:c r="R191" s="53"/>
      <x:c r="S191" s="53"/>
      <x:c r="T191" s="81" t="str">
        <x:f>IFERROR(INDEX('Resource Rate Library'!$E$5:$E$85,MATCH(P191,'Resource Rate Library'!$A$5:$A$85,0)),"")</x:f>
      </x:c>
      <x:c r="U191" s="62"/>
      <x:c r="V191" s="62"/>
      <x:c r="W191" s="83" t="n">
        <x:f>IFERROR(INDEX('Resource Rate Library'!$I$5:$I$85,MATCH(P191,'Resource Rate Library'!$A$5:$A$85,0)),0)</x:f>
        <x:v>0</x:v>
      </x:c>
      <x:c r="X191" s="52"/>
      <x:c r="Y191" s="83" t="n">
        <x:f t="shared" si="14">IF(X191&gt;0,X191,W191)</x:f>
        <x:v>0</x:v>
      </x:c>
      <x:c r="Z191" s="83" t="str">
        <x:f t="shared" si="15">IF(B191="","",IF(N191="Time x Count",M191*R191*IF(U191="",1,U191)*Y191,IF(N191="QS Qty x Factor",E191*R191*(1+IF(V191="",0,V191))*Y191,IF(N191="Direct Qty",S191*(1+IF(V191="",0,V191))*Y191,IF(N191="Lump Sum / Quote",S191*Y191,0)))))</x:f>
      </x:c>
      <x:c r="AA191" s="81" t="str">
        <x:f>IFERROR(INDEX('Resource Rate Library'!$N$5:$N$85,MATCH(P191,'Resource Rate Library'!$A$5:$A$85,0)),"")</x:f>
      </x:c>
      <x:c r="AB191" s="53"/>
      <x:c r="AC191" s="59"/>
      <x:c r="AD191" s="81" t="str">
        <x:f>IFERROR(INDEX('Resource Rate Library'!$G$5:$G$85,MATCH(P191,'Resource Rate Library'!$A$5:$A$85,0)),"")</x:f>
      </x:c>
      <x:c r="AE191" s="81" t="str">
        <x:f>IFERROR(INDEX('Resource Rate Library'!$H$5:$H$85,MATCH(P191,'Resource Rate Library'!$A$5:$A$85,0)),"")</x:f>
      </x:c>
      <x:c r="AF191" s="53"/>
      <x:c r="AG191" s="53"/>
      <x:c r="AH191" s="53"/>
      <x:c r="AI191" s="81" t="str">
        <x:f t="shared" si="17">IF(B191="","",IF(AND(P191="",N191&lt;&gt;"Lump Sum / Quote"),"RESOURCE CODE",IF(Y191=0,"RATE MISSING",IF(AND(O191="Plant",AD191="Yes",COUNTIFS($B$7:$B$306,B191,$O$7:$O$306,"Labour",$Q$7:$Q$306,"*Operator*")&gt;0),"OPERATOR DOUBLE-COUNT",IF(AND(O191="Plant",AE191="Yes",COUNTIFS($B$7:$B$306,B191,$Q$7:$Q$306,"*Fuel*")&gt;0),"FUEL DOUBLE-COUNT",IF(AH191&lt;&gt;"Yes","VERIFY","OK"))))))</x:f>
      </x:c>
      <x:c r="AJ191" s="54"/>
      <x:c r="AK191" s="473"/>
      <x:c r="AL191" s="473"/>
      <x:c r="AM191" s="473"/>
      <x:c r="AN191" s="500" t="n">
        <x:f>IF(AND(AK191="Yes",OR(O191="Labour",O191="Plant")),Z191,0)</x:f>
        <x:v>0</x:v>
      </x:c>
    </x:row>
    <x:row r="192">
      <x:c r="A192" s="80" t="str">
        <x:f>IF(B192="","",B192&amp;"-"&amp;TEXT(COUNTIF($B$7:B192,B192),"000"))</x:f>
      </x:c>
      <x:c r="B192" s="53"/>
      <x:c r="C192" s="81" t="str">
        <x:f>IFERROR(INDEX('QS Takeoff'!$A$3:$A$194,MATCH(B192,'QS Takeoff'!$B$3:$B$194,0)),"")</x:f>
      </x:c>
      <x:c r="D192" s="81" t="str">
        <x:f>IFERROR(INDEX('QS Takeoff'!$C$3:$C$194,MATCH(B192,'QS Takeoff'!$B$3:$B$194,0)),"")</x:f>
      </x:c>
      <x:c r="E192" s="81" t="str">
        <x:f>IFERROR(INDEX('QS Takeoff'!$E$3:$E$194,MATCH(B192,'QS Takeoff'!$B$3:$B$194,0)),"")</x:f>
      </x:c>
      <x:c r="F192" s="81" t="str">
        <x:f>IFERROR(INDEX('QS Takeoff'!$D$3:$D$194,MATCH(B192,'QS Takeoff'!$B$3:$B$194,0)),"")</x:f>
      </x:c>
      <x:c r="G192" s="81" t="str">
        <x:f>IFERROR(INDEX('QS Takeoff'!$J$3:$J$194,MATCH(B192,'QS Takeoff'!$B$3:$B$194,0)),"")</x:f>
      </x:c>
      <x:c r="H192" s="53"/>
      <x:c r="I192" s="60"/>
      <x:c r="J192" s="60"/>
      <x:c r="K192" s="82" t="str">
        <x:f t="shared" si="12">IF(OR(B192="",I192="",I192=0),"",E192/I192)</x:f>
      </x:c>
      <x:c r="L192" s="60"/>
      <x:c r="M192" s="82" t="str">
        <x:f t="shared" si="13">IF(L192&gt;0,L192,K192)</x:f>
      </x:c>
      <x:c r="N192" s="53"/>
      <x:c r="O192" s="53"/>
      <x:c r="P192" s="53"/>
      <x:c r="Q192" s="81" t="str">
        <x:f>IFERROR(INDEX('Resource Rate Library'!$C$5:$C$85,MATCH(P192,'Resource Rate Library'!$A$5:$A$85,0)),"")</x:f>
      </x:c>
      <x:c r="R192" s="53"/>
      <x:c r="S192" s="53"/>
      <x:c r="T192" s="81" t="str">
        <x:f>IFERROR(INDEX('Resource Rate Library'!$E$5:$E$85,MATCH(P192,'Resource Rate Library'!$A$5:$A$85,0)),"")</x:f>
      </x:c>
      <x:c r="U192" s="62"/>
      <x:c r="V192" s="62"/>
      <x:c r="W192" s="83" t="n">
        <x:f>IFERROR(INDEX('Resource Rate Library'!$I$5:$I$85,MATCH(P192,'Resource Rate Library'!$A$5:$A$85,0)),0)</x:f>
        <x:v>0</x:v>
      </x:c>
      <x:c r="X192" s="52"/>
      <x:c r="Y192" s="83" t="n">
        <x:f t="shared" si="14">IF(X192&gt;0,X192,W192)</x:f>
        <x:v>0</x:v>
      </x:c>
      <x:c r="Z192" s="83" t="str">
        <x:f t="shared" si="15">IF(B192="","",IF(N192="Time x Count",M192*R192*IF(U192="",1,U192)*Y192,IF(N192="QS Qty x Factor",E192*R192*(1+IF(V192="",0,V192))*Y192,IF(N192="Direct Qty",S192*(1+IF(V192="",0,V192))*Y192,IF(N192="Lump Sum / Quote",S192*Y192,0)))))</x:f>
      </x:c>
      <x:c r="AA192" s="81" t="str">
        <x:f>IFERROR(INDEX('Resource Rate Library'!$N$5:$N$85,MATCH(P192,'Resource Rate Library'!$A$5:$A$85,0)),"")</x:f>
      </x:c>
      <x:c r="AB192" s="53"/>
      <x:c r="AC192" s="59"/>
      <x:c r="AD192" s="81" t="str">
        <x:f>IFERROR(INDEX('Resource Rate Library'!$G$5:$G$85,MATCH(P192,'Resource Rate Library'!$A$5:$A$85,0)),"")</x:f>
      </x:c>
      <x:c r="AE192" s="81" t="str">
        <x:f>IFERROR(INDEX('Resource Rate Library'!$H$5:$H$85,MATCH(P192,'Resource Rate Library'!$A$5:$A$85,0)),"")</x:f>
      </x:c>
      <x:c r="AF192" s="53"/>
      <x:c r="AG192" s="53"/>
      <x:c r="AH192" s="53"/>
      <x:c r="AI192" s="81" t="str">
        <x:f t="shared" si="17">IF(B192="","",IF(AND(P192="",N192&lt;&gt;"Lump Sum / Quote"),"RESOURCE CODE",IF(Y192=0,"RATE MISSING",IF(AND(O192="Plant",AD192="Yes",COUNTIFS($B$7:$B$306,B192,$O$7:$O$306,"Labour",$Q$7:$Q$306,"*Operator*")&gt;0),"OPERATOR DOUBLE-COUNT",IF(AND(O192="Plant",AE192="Yes",COUNTIFS($B$7:$B$306,B192,$Q$7:$Q$306,"*Fuel*")&gt;0),"FUEL DOUBLE-COUNT",IF(AH192&lt;&gt;"Yes","VERIFY","OK"))))))</x:f>
      </x:c>
      <x:c r="AJ192" s="54"/>
      <x:c r="AK192" s="473"/>
      <x:c r="AL192" s="473"/>
      <x:c r="AM192" s="473"/>
      <x:c r="AN192" s="500" t="n">
        <x:f>IF(AND(AK192="Yes",OR(O192="Labour",O192="Plant")),Z192,0)</x:f>
        <x:v>0</x:v>
      </x:c>
    </x:row>
    <x:row r="193">
      <x:c r="A193" s="80" t="str">
        <x:f>IF(B193="","",B193&amp;"-"&amp;TEXT(COUNTIF($B$7:B193,B193),"000"))</x:f>
      </x:c>
      <x:c r="B193" s="53"/>
      <x:c r="C193" s="81" t="str">
        <x:f>IFERROR(INDEX('QS Takeoff'!$A$3:$A$194,MATCH(B193,'QS Takeoff'!$B$3:$B$194,0)),"")</x:f>
      </x:c>
      <x:c r="D193" s="81" t="str">
        <x:f>IFERROR(INDEX('QS Takeoff'!$C$3:$C$194,MATCH(B193,'QS Takeoff'!$B$3:$B$194,0)),"")</x:f>
      </x:c>
      <x:c r="E193" s="81" t="str">
        <x:f>IFERROR(INDEX('QS Takeoff'!$E$3:$E$194,MATCH(B193,'QS Takeoff'!$B$3:$B$194,0)),"")</x:f>
      </x:c>
      <x:c r="F193" s="81" t="str">
        <x:f>IFERROR(INDEX('QS Takeoff'!$D$3:$D$194,MATCH(B193,'QS Takeoff'!$B$3:$B$194,0)),"")</x:f>
      </x:c>
      <x:c r="G193" s="81" t="str">
        <x:f>IFERROR(INDEX('QS Takeoff'!$J$3:$J$194,MATCH(B193,'QS Takeoff'!$B$3:$B$194,0)),"")</x:f>
      </x:c>
      <x:c r="H193" s="53"/>
      <x:c r="I193" s="60"/>
      <x:c r="J193" s="60"/>
      <x:c r="K193" s="82" t="str">
        <x:f t="shared" si="12">IF(OR(B193="",I193="",I193=0),"",E193/I193)</x:f>
      </x:c>
      <x:c r="L193" s="60"/>
      <x:c r="M193" s="82" t="str">
        <x:f t="shared" si="13">IF(L193&gt;0,L193,K193)</x:f>
      </x:c>
      <x:c r="N193" s="53"/>
      <x:c r="O193" s="53"/>
      <x:c r="P193" s="53"/>
      <x:c r="Q193" s="81" t="str">
        <x:f>IFERROR(INDEX('Resource Rate Library'!$C$5:$C$85,MATCH(P193,'Resource Rate Library'!$A$5:$A$85,0)),"")</x:f>
      </x:c>
      <x:c r="R193" s="53"/>
      <x:c r="S193" s="53"/>
      <x:c r="T193" s="81" t="str">
        <x:f>IFERROR(INDEX('Resource Rate Library'!$E$5:$E$85,MATCH(P193,'Resource Rate Library'!$A$5:$A$85,0)),"")</x:f>
      </x:c>
      <x:c r="U193" s="62"/>
      <x:c r="V193" s="62"/>
      <x:c r="W193" s="83" t="n">
        <x:f>IFERROR(INDEX('Resource Rate Library'!$I$5:$I$85,MATCH(P193,'Resource Rate Library'!$A$5:$A$85,0)),0)</x:f>
        <x:v>0</x:v>
      </x:c>
      <x:c r="X193" s="52"/>
      <x:c r="Y193" s="83" t="n">
        <x:f t="shared" si="14">IF(X193&gt;0,X193,W193)</x:f>
        <x:v>0</x:v>
      </x:c>
      <x:c r="Z193" s="83" t="str">
        <x:f t="shared" si="15">IF(B193="","",IF(N193="Time x Count",M193*R193*IF(U193="",1,U193)*Y193,IF(N193="QS Qty x Factor",E193*R193*(1+IF(V193="",0,V193))*Y193,IF(N193="Direct Qty",S193*(1+IF(V193="",0,V193))*Y193,IF(N193="Lump Sum / Quote",S193*Y193,0)))))</x:f>
      </x:c>
      <x:c r="AA193" s="81" t="str">
        <x:f>IFERROR(INDEX('Resource Rate Library'!$N$5:$N$85,MATCH(P193,'Resource Rate Library'!$A$5:$A$85,0)),"")</x:f>
      </x:c>
      <x:c r="AB193" s="53"/>
      <x:c r="AC193" s="59"/>
      <x:c r="AD193" s="81" t="str">
        <x:f>IFERROR(INDEX('Resource Rate Library'!$G$5:$G$85,MATCH(P193,'Resource Rate Library'!$A$5:$A$85,0)),"")</x:f>
      </x:c>
      <x:c r="AE193" s="81" t="str">
        <x:f>IFERROR(INDEX('Resource Rate Library'!$H$5:$H$85,MATCH(P193,'Resource Rate Library'!$A$5:$A$85,0)),"")</x:f>
      </x:c>
      <x:c r="AF193" s="53"/>
      <x:c r="AG193" s="53"/>
      <x:c r="AH193" s="53"/>
      <x:c r="AI193" s="81" t="str">
        <x:f t="shared" si="17">IF(B193="","",IF(AND(P193="",N193&lt;&gt;"Lump Sum / Quote"),"RESOURCE CODE",IF(Y193=0,"RATE MISSING",IF(AND(O193="Plant",AD193="Yes",COUNTIFS($B$7:$B$306,B193,$O$7:$O$306,"Labour",$Q$7:$Q$306,"*Operator*")&gt;0),"OPERATOR DOUBLE-COUNT",IF(AND(O193="Plant",AE193="Yes",COUNTIFS($B$7:$B$306,B193,$Q$7:$Q$306,"*Fuel*")&gt;0),"FUEL DOUBLE-COUNT",IF(AH193&lt;&gt;"Yes","VERIFY","OK"))))))</x:f>
      </x:c>
      <x:c r="AJ193" s="54"/>
      <x:c r="AK193" s="473"/>
      <x:c r="AL193" s="473"/>
      <x:c r="AM193" s="473"/>
      <x:c r="AN193" s="500" t="n">
        <x:f>IF(AND(AK193="Yes",OR(O193="Labour",O193="Plant")),Z193,0)</x:f>
        <x:v>0</x:v>
      </x:c>
    </x:row>
    <x:row r="194">
      <x:c r="A194" s="80" t="str">
        <x:f>IF(B194="","",B194&amp;"-"&amp;TEXT(COUNTIF($B$7:B194,B194),"000"))</x:f>
      </x:c>
      <x:c r="B194" s="53"/>
      <x:c r="C194" s="81" t="str">
        <x:f>IFERROR(INDEX('QS Takeoff'!$A$3:$A$194,MATCH(B194,'QS Takeoff'!$B$3:$B$194,0)),"")</x:f>
      </x:c>
      <x:c r="D194" s="81" t="str">
        <x:f>IFERROR(INDEX('QS Takeoff'!$C$3:$C$194,MATCH(B194,'QS Takeoff'!$B$3:$B$194,0)),"")</x:f>
      </x:c>
      <x:c r="E194" s="81" t="str">
        <x:f>IFERROR(INDEX('QS Takeoff'!$E$3:$E$194,MATCH(B194,'QS Takeoff'!$B$3:$B$194,0)),"")</x:f>
      </x:c>
      <x:c r="F194" s="81" t="str">
        <x:f>IFERROR(INDEX('QS Takeoff'!$D$3:$D$194,MATCH(B194,'QS Takeoff'!$B$3:$B$194,0)),"")</x:f>
      </x:c>
      <x:c r="G194" s="81" t="str">
        <x:f>IFERROR(INDEX('QS Takeoff'!$J$3:$J$194,MATCH(B194,'QS Takeoff'!$B$3:$B$194,0)),"")</x:f>
      </x:c>
      <x:c r="H194" s="53"/>
      <x:c r="I194" s="60"/>
      <x:c r="J194" s="60"/>
      <x:c r="K194" s="82" t="str">
        <x:f t="shared" si="12">IF(OR(B194="",I194="",I194=0),"",E194/I194)</x:f>
      </x:c>
      <x:c r="L194" s="60"/>
      <x:c r="M194" s="82" t="str">
        <x:f t="shared" si="13">IF(L194&gt;0,L194,K194)</x:f>
      </x:c>
      <x:c r="N194" s="53"/>
      <x:c r="O194" s="53"/>
      <x:c r="P194" s="53"/>
      <x:c r="Q194" s="81" t="str">
        <x:f>IFERROR(INDEX('Resource Rate Library'!$C$5:$C$85,MATCH(P194,'Resource Rate Library'!$A$5:$A$85,0)),"")</x:f>
      </x:c>
      <x:c r="R194" s="53"/>
      <x:c r="S194" s="53"/>
      <x:c r="T194" s="81" t="str">
        <x:f>IFERROR(INDEX('Resource Rate Library'!$E$5:$E$85,MATCH(P194,'Resource Rate Library'!$A$5:$A$85,0)),"")</x:f>
      </x:c>
      <x:c r="U194" s="62"/>
      <x:c r="V194" s="62"/>
      <x:c r="W194" s="83" t="n">
        <x:f>IFERROR(INDEX('Resource Rate Library'!$I$5:$I$85,MATCH(P194,'Resource Rate Library'!$A$5:$A$85,0)),0)</x:f>
        <x:v>0</x:v>
      </x:c>
      <x:c r="X194" s="52"/>
      <x:c r="Y194" s="83" t="n">
        <x:f t="shared" si="14">IF(X194&gt;0,X194,W194)</x:f>
        <x:v>0</x:v>
      </x:c>
      <x:c r="Z194" s="83" t="str">
        <x:f t="shared" si="15">IF(B194="","",IF(N194="Time x Count",M194*R194*IF(U194="",1,U194)*Y194,IF(N194="QS Qty x Factor",E194*R194*(1+IF(V194="",0,V194))*Y194,IF(N194="Direct Qty",S194*(1+IF(V194="",0,V194))*Y194,IF(N194="Lump Sum / Quote",S194*Y194,0)))))</x:f>
      </x:c>
      <x:c r="AA194" s="81" t="str">
        <x:f>IFERROR(INDEX('Resource Rate Library'!$N$5:$N$85,MATCH(P194,'Resource Rate Library'!$A$5:$A$85,0)),"")</x:f>
      </x:c>
      <x:c r="AB194" s="53"/>
      <x:c r="AC194" s="59"/>
      <x:c r="AD194" s="81" t="str">
        <x:f>IFERROR(INDEX('Resource Rate Library'!$G$5:$G$85,MATCH(P194,'Resource Rate Library'!$A$5:$A$85,0)),"")</x:f>
      </x:c>
      <x:c r="AE194" s="81" t="str">
        <x:f>IFERROR(INDEX('Resource Rate Library'!$H$5:$H$85,MATCH(P194,'Resource Rate Library'!$A$5:$A$85,0)),"")</x:f>
      </x:c>
      <x:c r="AF194" s="53"/>
      <x:c r="AG194" s="53"/>
      <x:c r="AH194" s="53"/>
      <x:c r="AI194" s="81" t="str">
        <x:f t="shared" si="17">IF(B194="","",IF(AND(P194="",N194&lt;&gt;"Lump Sum / Quote"),"RESOURCE CODE",IF(Y194=0,"RATE MISSING",IF(AND(O194="Plant",AD194="Yes",COUNTIFS($B$7:$B$306,B194,$O$7:$O$306,"Labour",$Q$7:$Q$306,"*Operator*")&gt;0),"OPERATOR DOUBLE-COUNT",IF(AND(O194="Plant",AE194="Yes",COUNTIFS($B$7:$B$306,B194,$Q$7:$Q$306,"*Fuel*")&gt;0),"FUEL DOUBLE-COUNT",IF(AH194&lt;&gt;"Yes","VERIFY","OK"))))))</x:f>
      </x:c>
      <x:c r="AJ194" s="54"/>
      <x:c r="AK194" s="473"/>
      <x:c r="AL194" s="473"/>
      <x:c r="AM194" s="473"/>
      <x:c r="AN194" s="500" t="n">
        <x:f>IF(AND(AK194="Yes",OR(O194="Labour",O194="Plant")),Z194,0)</x:f>
        <x:v>0</x:v>
      </x:c>
    </x:row>
    <x:row r="195">
      <x:c r="A195" s="80" t="str">
        <x:f>IF(B195="","",B195&amp;"-"&amp;TEXT(COUNTIF($B$7:B195,B195),"000"))</x:f>
      </x:c>
      <x:c r="B195" s="53"/>
      <x:c r="C195" s="81" t="str">
        <x:f>IFERROR(INDEX('QS Takeoff'!$A$3:$A$194,MATCH(B195,'QS Takeoff'!$B$3:$B$194,0)),"")</x:f>
      </x:c>
      <x:c r="D195" s="81" t="str">
        <x:f>IFERROR(INDEX('QS Takeoff'!$C$3:$C$194,MATCH(B195,'QS Takeoff'!$B$3:$B$194,0)),"")</x:f>
      </x:c>
      <x:c r="E195" s="81" t="str">
        <x:f>IFERROR(INDEX('QS Takeoff'!$E$3:$E$194,MATCH(B195,'QS Takeoff'!$B$3:$B$194,0)),"")</x:f>
      </x:c>
      <x:c r="F195" s="81" t="str">
        <x:f>IFERROR(INDEX('QS Takeoff'!$D$3:$D$194,MATCH(B195,'QS Takeoff'!$B$3:$B$194,0)),"")</x:f>
      </x:c>
      <x:c r="G195" s="81" t="str">
        <x:f>IFERROR(INDEX('QS Takeoff'!$J$3:$J$194,MATCH(B195,'QS Takeoff'!$B$3:$B$194,0)),"")</x:f>
      </x:c>
      <x:c r="H195" s="53"/>
      <x:c r="I195" s="60"/>
      <x:c r="J195" s="60"/>
      <x:c r="K195" s="82" t="str">
        <x:f t="shared" si="12">IF(OR(B195="",I195="",I195=0),"",E195/I195)</x:f>
      </x:c>
      <x:c r="L195" s="60"/>
      <x:c r="M195" s="82" t="str">
        <x:f t="shared" si="13">IF(L195&gt;0,L195,K195)</x:f>
      </x:c>
      <x:c r="N195" s="53"/>
      <x:c r="O195" s="53"/>
      <x:c r="P195" s="53"/>
      <x:c r="Q195" s="81" t="str">
        <x:f>IFERROR(INDEX('Resource Rate Library'!$C$5:$C$85,MATCH(P195,'Resource Rate Library'!$A$5:$A$85,0)),"")</x:f>
      </x:c>
      <x:c r="R195" s="53"/>
      <x:c r="S195" s="53"/>
      <x:c r="T195" s="81" t="str">
        <x:f>IFERROR(INDEX('Resource Rate Library'!$E$5:$E$85,MATCH(P195,'Resource Rate Library'!$A$5:$A$85,0)),"")</x:f>
      </x:c>
      <x:c r="U195" s="62"/>
      <x:c r="V195" s="62"/>
      <x:c r="W195" s="83" t="n">
        <x:f>IFERROR(INDEX('Resource Rate Library'!$I$5:$I$85,MATCH(P195,'Resource Rate Library'!$A$5:$A$85,0)),0)</x:f>
        <x:v>0</x:v>
      </x:c>
      <x:c r="X195" s="52"/>
      <x:c r="Y195" s="83" t="n">
        <x:f t="shared" si="14">IF(X195&gt;0,X195,W195)</x:f>
        <x:v>0</x:v>
      </x:c>
      <x:c r="Z195" s="83" t="str">
        <x:f t="shared" si="15">IF(B195="","",IF(N195="Time x Count",M195*R195*IF(U195="",1,U195)*Y195,IF(N195="QS Qty x Factor",E195*R195*(1+IF(V195="",0,V195))*Y195,IF(N195="Direct Qty",S195*(1+IF(V195="",0,V195))*Y195,IF(N195="Lump Sum / Quote",S195*Y195,0)))))</x:f>
      </x:c>
      <x:c r="AA195" s="81" t="str">
        <x:f>IFERROR(INDEX('Resource Rate Library'!$N$5:$N$85,MATCH(P195,'Resource Rate Library'!$A$5:$A$85,0)),"")</x:f>
      </x:c>
      <x:c r="AB195" s="53"/>
      <x:c r="AC195" s="59"/>
      <x:c r="AD195" s="81" t="str">
        <x:f>IFERROR(INDEX('Resource Rate Library'!$G$5:$G$85,MATCH(P195,'Resource Rate Library'!$A$5:$A$85,0)),"")</x:f>
      </x:c>
      <x:c r="AE195" s="81" t="str">
        <x:f>IFERROR(INDEX('Resource Rate Library'!$H$5:$H$85,MATCH(P195,'Resource Rate Library'!$A$5:$A$85,0)),"")</x:f>
      </x:c>
      <x:c r="AF195" s="53"/>
      <x:c r="AG195" s="53"/>
      <x:c r="AH195" s="53"/>
      <x:c r="AI195" s="81" t="str">
        <x:f t="shared" si="17">IF(B195="","",IF(AND(P195="",N195&lt;&gt;"Lump Sum / Quote"),"RESOURCE CODE",IF(Y195=0,"RATE MISSING",IF(AND(O195="Plant",AD195="Yes",COUNTIFS($B$7:$B$306,B195,$O$7:$O$306,"Labour",$Q$7:$Q$306,"*Operator*")&gt;0),"OPERATOR DOUBLE-COUNT",IF(AND(O195="Plant",AE195="Yes",COUNTIFS($B$7:$B$306,B195,$Q$7:$Q$306,"*Fuel*")&gt;0),"FUEL DOUBLE-COUNT",IF(AH195&lt;&gt;"Yes","VERIFY","OK"))))))</x:f>
      </x:c>
      <x:c r="AJ195" s="54"/>
      <x:c r="AK195" s="473"/>
      <x:c r="AL195" s="473"/>
      <x:c r="AM195" s="473"/>
      <x:c r="AN195" s="500" t="n">
        <x:f>IF(AND(AK195="Yes",OR(O195="Labour",O195="Plant")),Z195,0)</x:f>
        <x:v>0</x:v>
      </x:c>
    </x:row>
    <x:row r="196">
      <x:c r="A196" s="80" t="str">
        <x:f>IF(B196="","",B196&amp;"-"&amp;TEXT(COUNTIF($B$7:B196,B196),"000"))</x:f>
      </x:c>
      <x:c r="B196" s="53"/>
      <x:c r="C196" s="81" t="str">
        <x:f>IFERROR(INDEX('QS Takeoff'!$A$3:$A$194,MATCH(B196,'QS Takeoff'!$B$3:$B$194,0)),"")</x:f>
      </x:c>
      <x:c r="D196" s="81" t="str">
        <x:f>IFERROR(INDEX('QS Takeoff'!$C$3:$C$194,MATCH(B196,'QS Takeoff'!$B$3:$B$194,0)),"")</x:f>
      </x:c>
      <x:c r="E196" s="81" t="str">
        <x:f>IFERROR(INDEX('QS Takeoff'!$E$3:$E$194,MATCH(B196,'QS Takeoff'!$B$3:$B$194,0)),"")</x:f>
      </x:c>
      <x:c r="F196" s="81" t="str">
        <x:f>IFERROR(INDEX('QS Takeoff'!$D$3:$D$194,MATCH(B196,'QS Takeoff'!$B$3:$B$194,0)),"")</x:f>
      </x:c>
      <x:c r="G196" s="81" t="str">
        <x:f>IFERROR(INDEX('QS Takeoff'!$J$3:$J$194,MATCH(B196,'QS Takeoff'!$B$3:$B$194,0)),"")</x:f>
      </x:c>
      <x:c r="H196" s="53"/>
      <x:c r="I196" s="60"/>
      <x:c r="J196" s="60"/>
      <x:c r="K196" s="82" t="str">
        <x:f t="shared" si="12">IF(OR(B196="",I196="",I196=0),"",E196/I196)</x:f>
      </x:c>
      <x:c r="L196" s="60"/>
      <x:c r="M196" s="82" t="str">
        <x:f t="shared" si="13">IF(L196&gt;0,L196,K196)</x:f>
      </x:c>
      <x:c r="N196" s="53"/>
      <x:c r="O196" s="53"/>
      <x:c r="P196" s="53"/>
      <x:c r="Q196" s="81" t="str">
        <x:f>IFERROR(INDEX('Resource Rate Library'!$C$5:$C$85,MATCH(P196,'Resource Rate Library'!$A$5:$A$85,0)),"")</x:f>
      </x:c>
      <x:c r="R196" s="53"/>
      <x:c r="S196" s="53"/>
      <x:c r="T196" s="81" t="str">
        <x:f>IFERROR(INDEX('Resource Rate Library'!$E$5:$E$85,MATCH(P196,'Resource Rate Library'!$A$5:$A$85,0)),"")</x:f>
      </x:c>
      <x:c r="U196" s="62"/>
      <x:c r="V196" s="62"/>
      <x:c r="W196" s="83" t="n">
        <x:f>IFERROR(INDEX('Resource Rate Library'!$I$5:$I$85,MATCH(P196,'Resource Rate Library'!$A$5:$A$85,0)),0)</x:f>
        <x:v>0</x:v>
      </x:c>
      <x:c r="X196" s="52"/>
      <x:c r="Y196" s="83" t="n">
        <x:f t="shared" si="14">IF(X196&gt;0,X196,W196)</x:f>
        <x:v>0</x:v>
      </x:c>
      <x:c r="Z196" s="83" t="str">
        <x:f t="shared" si="15">IF(B196="","",IF(N196="Time x Count",M196*R196*IF(U196="",1,U196)*Y196,IF(N196="QS Qty x Factor",E196*R196*(1+IF(V196="",0,V196))*Y196,IF(N196="Direct Qty",S196*(1+IF(V196="",0,V196))*Y196,IF(N196="Lump Sum / Quote",S196*Y196,0)))))</x:f>
      </x:c>
      <x:c r="AA196" s="81" t="str">
        <x:f>IFERROR(INDEX('Resource Rate Library'!$N$5:$N$85,MATCH(P196,'Resource Rate Library'!$A$5:$A$85,0)),"")</x:f>
      </x:c>
      <x:c r="AB196" s="53"/>
      <x:c r="AC196" s="59"/>
      <x:c r="AD196" s="81" t="str">
        <x:f>IFERROR(INDEX('Resource Rate Library'!$G$5:$G$85,MATCH(P196,'Resource Rate Library'!$A$5:$A$85,0)),"")</x:f>
      </x:c>
      <x:c r="AE196" s="81" t="str">
        <x:f>IFERROR(INDEX('Resource Rate Library'!$H$5:$H$85,MATCH(P196,'Resource Rate Library'!$A$5:$A$85,0)),"")</x:f>
      </x:c>
      <x:c r="AF196" s="53"/>
      <x:c r="AG196" s="53"/>
      <x:c r="AH196" s="53"/>
      <x:c r="AI196" s="81" t="str">
        <x:f t="shared" si="17">IF(B196="","",IF(AND(P196="",N196&lt;&gt;"Lump Sum / Quote"),"RESOURCE CODE",IF(Y196=0,"RATE MISSING",IF(AND(O196="Plant",AD196="Yes",COUNTIFS($B$7:$B$306,B196,$O$7:$O$306,"Labour",$Q$7:$Q$306,"*Operator*")&gt;0),"OPERATOR DOUBLE-COUNT",IF(AND(O196="Plant",AE196="Yes",COUNTIFS($B$7:$B$306,B196,$Q$7:$Q$306,"*Fuel*")&gt;0),"FUEL DOUBLE-COUNT",IF(AH196&lt;&gt;"Yes","VERIFY","OK"))))))</x:f>
      </x:c>
      <x:c r="AJ196" s="54"/>
      <x:c r="AK196" s="473"/>
      <x:c r="AL196" s="473"/>
      <x:c r="AM196" s="473"/>
      <x:c r="AN196" s="500" t="n">
        <x:f>IF(AND(AK196="Yes",OR(O196="Labour",O196="Plant")),Z196,0)</x:f>
        <x:v>0</x:v>
      </x:c>
    </x:row>
    <x:row r="197">
      <x:c r="A197" s="80" t="str">
        <x:f>IF(B197="","",B197&amp;"-"&amp;TEXT(COUNTIF($B$7:B197,B197),"000"))</x:f>
      </x:c>
      <x:c r="B197" s="53"/>
      <x:c r="C197" s="81" t="str">
        <x:f>IFERROR(INDEX('QS Takeoff'!$A$3:$A$194,MATCH(B197,'QS Takeoff'!$B$3:$B$194,0)),"")</x:f>
      </x:c>
      <x:c r="D197" s="81" t="str">
        <x:f>IFERROR(INDEX('QS Takeoff'!$C$3:$C$194,MATCH(B197,'QS Takeoff'!$B$3:$B$194,0)),"")</x:f>
      </x:c>
      <x:c r="E197" s="81" t="str">
        <x:f>IFERROR(INDEX('QS Takeoff'!$E$3:$E$194,MATCH(B197,'QS Takeoff'!$B$3:$B$194,0)),"")</x:f>
      </x:c>
      <x:c r="F197" s="81" t="str">
        <x:f>IFERROR(INDEX('QS Takeoff'!$D$3:$D$194,MATCH(B197,'QS Takeoff'!$B$3:$B$194,0)),"")</x:f>
      </x:c>
      <x:c r="G197" s="81" t="str">
        <x:f>IFERROR(INDEX('QS Takeoff'!$J$3:$J$194,MATCH(B197,'QS Takeoff'!$B$3:$B$194,0)),"")</x:f>
      </x:c>
      <x:c r="H197" s="53"/>
      <x:c r="I197" s="60"/>
      <x:c r="J197" s="60"/>
      <x:c r="K197" s="82" t="str">
        <x:f t="shared" si="12">IF(OR(B197="",I197="",I197=0),"",E197/I197)</x:f>
      </x:c>
      <x:c r="L197" s="60"/>
      <x:c r="M197" s="82" t="str">
        <x:f t="shared" si="13">IF(L197&gt;0,L197,K197)</x:f>
      </x:c>
      <x:c r="N197" s="53"/>
      <x:c r="O197" s="53"/>
      <x:c r="P197" s="53"/>
      <x:c r="Q197" s="81" t="str">
        <x:f>IFERROR(INDEX('Resource Rate Library'!$C$5:$C$85,MATCH(P197,'Resource Rate Library'!$A$5:$A$85,0)),"")</x:f>
      </x:c>
      <x:c r="R197" s="53"/>
      <x:c r="S197" s="53"/>
      <x:c r="T197" s="81" t="str">
        <x:f>IFERROR(INDEX('Resource Rate Library'!$E$5:$E$85,MATCH(P197,'Resource Rate Library'!$A$5:$A$85,0)),"")</x:f>
      </x:c>
      <x:c r="U197" s="62"/>
      <x:c r="V197" s="62"/>
      <x:c r="W197" s="83" t="n">
        <x:f>IFERROR(INDEX('Resource Rate Library'!$I$5:$I$85,MATCH(P197,'Resource Rate Library'!$A$5:$A$85,0)),0)</x:f>
        <x:v>0</x:v>
      </x:c>
      <x:c r="X197" s="52"/>
      <x:c r="Y197" s="83" t="n">
        <x:f t="shared" si="14">IF(X197&gt;0,X197,W197)</x:f>
        <x:v>0</x:v>
      </x:c>
      <x:c r="Z197" s="83" t="str">
        <x:f t="shared" si="15">IF(B197="","",IF(N197="Time x Count",M197*R197*IF(U197="",1,U197)*Y197,IF(N197="QS Qty x Factor",E197*R197*(1+IF(V197="",0,V197))*Y197,IF(N197="Direct Qty",S197*(1+IF(V197="",0,V197))*Y197,IF(N197="Lump Sum / Quote",S197*Y197,0)))))</x:f>
      </x:c>
      <x:c r="AA197" s="81" t="str">
        <x:f>IFERROR(INDEX('Resource Rate Library'!$N$5:$N$85,MATCH(P197,'Resource Rate Library'!$A$5:$A$85,0)),"")</x:f>
      </x:c>
      <x:c r="AB197" s="53"/>
      <x:c r="AC197" s="59"/>
      <x:c r="AD197" s="81" t="str">
        <x:f>IFERROR(INDEX('Resource Rate Library'!$G$5:$G$85,MATCH(P197,'Resource Rate Library'!$A$5:$A$85,0)),"")</x:f>
      </x:c>
      <x:c r="AE197" s="81" t="str">
        <x:f>IFERROR(INDEX('Resource Rate Library'!$H$5:$H$85,MATCH(P197,'Resource Rate Library'!$A$5:$A$85,0)),"")</x:f>
      </x:c>
      <x:c r="AF197" s="53"/>
      <x:c r="AG197" s="53"/>
      <x:c r="AH197" s="53"/>
      <x:c r="AI197" s="81" t="str">
        <x:f t="shared" si="17">IF(B197="","",IF(AND(P197="",N197&lt;&gt;"Lump Sum / Quote"),"RESOURCE CODE",IF(Y197=0,"RATE MISSING",IF(AND(O197="Plant",AD197="Yes",COUNTIFS($B$7:$B$306,B197,$O$7:$O$306,"Labour",$Q$7:$Q$306,"*Operator*")&gt;0),"OPERATOR DOUBLE-COUNT",IF(AND(O197="Plant",AE197="Yes",COUNTIFS($B$7:$B$306,B197,$Q$7:$Q$306,"*Fuel*")&gt;0),"FUEL DOUBLE-COUNT",IF(AH197&lt;&gt;"Yes","VERIFY","OK"))))))</x:f>
      </x:c>
      <x:c r="AJ197" s="54"/>
      <x:c r="AK197" s="473"/>
      <x:c r="AL197" s="473"/>
      <x:c r="AM197" s="473"/>
      <x:c r="AN197" s="500" t="n">
        <x:f>IF(AND(AK197="Yes",OR(O197="Labour",O197="Plant")),Z197,0)</x:f>
        <x:v>0</x:v>
      </x:c>
    </x:row>
    <x:row r="198">
      <x:c r="A198" s="80" t="str">
        <x:f>IF(B198="","",B198&amp;"-"&amp;TEXT(COUNTIF($B$7:B198,B198),"000"))</x:f>
      </x:c>
      <x:c r="B198" s="53"/>
      <x:c r="C198" s="81" t="str">
        <x:f>IFERROR(INDEX('QS Takeoff'!$A$3:$A$194,MATCH(B198,'QS Takeoff'!$B$3:$B$194,0)),"")</x:f>
      </x:c>
      <x:c r="D198" s="81" t="str">
        <x:f>IFERROR(INDEX('QS Takeoff'!$C$3:$C$194,MATCH(B198,'QS Takeoff'!$B$3:$B$194,0)),"")</x:f>
      </x:c>
      <x:c r="E198" s="81" t="str">
        <x:f>IFERROR(INDEX('QS Takeoff'!$E$3:$E$194,MATCH(B198,'QS Takeoff'!$B$3:$B$194,0)),"")</x:f>
      </x:c>
      <x:c r="F198" s="81" t="str">
        <x:f>IFERROR(INDEX('QS Takeoff'!$D$3:$D$194,MATCH(B198,'QS Takeoff'!$B$3:$B$194,0)),"")</x:f>
      </x:c>
      <x:c r="G198" s="81" t="str">
        <x:f>IFERROR(INDEX('QS Takeoff'!$J$3:$J$194,MATCH(B198,'QS Takeoff'!$B$3:$B$194,0)),"")</x:f>
      </x:c>
      <x:c r="H198" s="53"/>
      <x:c r="I198" s="60"/>
      <x:c r="J198" s="60"/>
      <x:c r="K198" s="82" t="str">
        <x:f t="shared" si="12">IF(OR(B198="",I198="",I198=0),"",E198/I198)</x:f>
      </x:c>
      <x:c r="L198" s="60"/>
      <x:c r="M198" s="82" t="str">
        <x:f t="shared" si="13">IF(L198&gt;0,L198,K198)</x:f>
      </x:c>
      <x:c r="N198" s="53"/>
      <x:c r="O198" s="53"/>
      <x:c r="P198" s="53"/>
      <x:c r="Q198" s="81" t="str">
        <x:f>IFERROR(INDEX('Resource Rate Library'!$C$5:$C$85,MATCH(P198,'Resource Rate Library'!$A$5:$A$85,0)),"")</x:f>
      </x:c>
      <x:c r="R198" s="53"/>
      <x:c r="S198" s="53"/>
      <x:c r="T198" s="81" t="str">
        <x:f>IFERROR(INDEX('Resource Rate Library'!$E$5:$E$85,MATCH(P198,'Resource Rate Library'!$A$5:$A$85,0)),"")</x:f>
      </x:c>
      <x:c r="U198" s="62"/>
      <x:c r="V198" s="62"/>
      <x:c r="W198" s="83" t="n">
        <x:f>IFERROR(INDEX('Resource Rate Library'!$I$5:$I$85,MATCH(P198,'Resource Rate Library'!$A$5:$A$85,0)),0)</x:f>
        <x:v>0</x:v>
      </x:c>
      <x:c r="X198" s="52"/>
      <x:c r="Y198" s="83" t="n">
        <x:f t="shared" si="14">IF(X198&gt;0,X198,W198)</x:f>
        <x:v>0</x:v>
      </x:c>
      <x:c r="Z198" s="83" t="str">
        <x:f t="shared" si="15">IF(B198="","",IF(N198="Time x Count",M198*R198*IF(U198="",1,U198)*Y198,IF(N198="QS Qty x Factor",E198*R198*(1+IF(V198="",0,V198))*Y198,IF(N198="Direct Qty",S198*(1+IF(V198="",0,V198))*Y198,IF(N198="Lump Sum / Quote",S198*Y198,0)))))</x:f>
      </x:c>
      <x:c r="AA198" s="81" t="str">
        <x:f>IFERROR(INDEX('Resource Rate Library'!$N$5:$N$85,MATCH(P198,'Resource Rate Library'!$A$5:$A$85,0)),"")</x:f>
      </x:c>
      <x:c r="AB198" s="53"/>
      <x:c r="AC198" s="59"/>
      <x:c r="AD198" s="81" t="str">
        <x:f>IFERROR(INDEX('Resource Rate Library'!$G$5:$G$85,MATCH(P198,'Resource Rate Library'!$A$5:$A$85,0)),"")</x:f>
      </x:c>
      <x:c r="AE198" s="81" t="str">
        <x:f>IFERROR(INDEX('Resource Rate Library'!$H$5:$H$85,MATCH(P198,'Resource Rate Library'!$A$5:$A$85,0)),"")</x:f>
      </x:c>
      <x:c r="AF198" s="53"/>
      <x:c r="AG198" s="53"/>
      <x:c r="AH198" s="53"/>
      <x:c r="AI198" s="81" t="str">
        <x:f t="shared" si="17">IF(B198="","",IF(AND(P198="",N198&lt;&gt;"Lump Sum / Quote"),"RESOURCE CODE",IF(Y198=0,"RATE MISSING",IF(AND(O198="Plant",AD198="Yes",COUNTIFS($B$7:$B$306,B198,$O$7:$O$306,"Labour",$Q$7:$Q$306,"*Operator*")&gt;0),"OPERATOR DOUBLE-COUNT",IF(AND(O198="Plant",AE198="Yes",COUNTIFS($B$7:$B$306,B198,$Q$7:$Q$306,"*Fuel*")&gt;0),"FUEL DOUBLE-COUNT",IF(AH198&lt;&gt;"Yes","VERIFY","OK"))))))</x:f>
      </x:c>
      <x:c r="AJ198" s="54"/>
      <x:c r="AK198" s="473"/>
      <x:c r="AL198" s="473"/>
      <x:c r="AM198" s="473"/>
      <x:c r="AN198" s="500" t="n">
        <x:f>IF(AND(AK198="Yes",OR(O198="Labour",O198="Plant")),Z198,0)</x:f>
        <x:v>0</x:v>
      </x:c>
    </x:row>
    <x:row r="199">
      <x:c r="A199" s="80" t="str">
        <x:f>IF(B199="","",B199&amp;"-"&amp;TEXT(COUNTIF($B$7:B199,B199),"000"))</x:f>
      </x:c>
      <x:c r="B199" s="53"/>
      <x:c r="C199" s="81" t="str">
        <x:f>IFERROR(INDEX('QS Takeoff'!$A$3:$A$194,MATCH(B199,'QS Takeoff'!$B$3:$B$194,0)),"")</x:f>
      </x:c>
      <x:c r="D199" s="81" t="str">
        <x:f>IFERROR(INDEX('QS Takeoff'!$C$3:$C$194,MATCH(B199,'QS Takeoff'!$B$3:$B$194,0)),"")</x:f>
      </x:c>
      <x:c r="E199" s="81" t="str">
        <x:f>IFERROR(INDEX('QS Takeoff'!$E$3:$E$194,MATCH(B199,'QS Takeoff'!$B$3:$B$194,0)),"")</x:f>
      </x:c>
      <x:c r="F199" s="81" t="str">
        <x:f>IFERROR(INDEX('QS Takeoff'!$D$3:$D$194,MATCH(B199,'QS Takeoff'!$B$3:$B$194,0)),"")</x:f>
      </x:c>
      <x:c r="G199" s="81" t="str">
        <x:f>IFERROR(INDEX('QS Takeoff'!$J$3:$J$194,MATCH(B199,'QS Takeoff'!$B$3:$B$194,0)),"")</x:f>
      </x:c>
      <x:c r="H199" s="53"/>
      <x:c r="I199" s="60"/>
      <x:c r="J199" s="60"/>
      <x:c r="K199" s="82" t="str">
        <x:f t="shared" ref="K199:K262" si="18">IF(OR(B199="",I199="",I199=0),"",E199/I199)</x:f>
      </x:c>
      <x:c r="L199" s="60"/>
      <x:c r="M199" s="82" t="str">
        <x:f t="shared" ref="M199:M262" si="19">IF(L199&gt;0,L199,K199)</x:f>
      </x:c>
      <x:c r="N199" s="53"/>
      <x:c r="O199" s="53"/>
      <x:c r="P199" s="53"/>
      <x:c r="Q199" s="81" t="str">
        <x:f>IFERROR(INDEX('Resource Rate Library'!$C$5:$C$85,MATCH(P199,'Resource Rate Library'!$A$5:$A$85,0)),"")</x:f>
      </x:c>
      <x:c r="R199" s="53"/>
      <x:c r="S199" s="53"/>
      <x:c r="T199" s="81" t="str">
        <x:f>IFERROR(INDEX('Resource Rate Library'!$E$5:$E$85,MATCH(P199,'Resource Rate Library'!$A$5:$A$85,0)),"")</x:f>
      </x:c>
      <x:c r="U199" s="62"/>
      <x:c r="V199" s="62"/>
      <x:c r="W199" s="83" t="n">
        <x:f>IFERROR(INDEX('Resource Rate Library'!$I$5:$I$85,MATCH(P199,'Resource Rate Library'!$A$5:$A$85,0)),0)</x:f>
        <x:v>0</x:v>
      </x:c>
      <x:c r="X199" s="52"/>
      <x:c r="Y199" s="83" t="n">
        <x:f t="shared" ref="Y199:Y262" si="20">IF(X199&gt;0,X199,W199)</x:f>
        <x:v>0</x:v>
      </x:c>
      <x:c r="Z199" s="83" t="str">
        <x:f t="shared" ref="Z199:Z262" si="21">IF(B199="","",IF(N199="Time x Count",M199*R199*IF(U199="",1,U199)*Y199,IF(N199="QS Qty x Factor",E199*R199*(1+IF(V199="",0,V199))*Y199,IF(N199="Direct Qty",S199*(1+IF(V199="",0,V199))*Y199,IF(N199="Lump Sum / Quote",S199*Y199,0)))))</x:f>
      </x:c>
      <x:c r="AA199" s="81" t="str">
        <x:f>IFERROR(INDEX('Resource Rate Library'!$N$5:$N$85,MATCH(P199,'Resource Rate Library'!$A$5:$A$85,0)),"")</x:f>
      </x:c>
      <x:c r="AB199" s="53"/>
      <x:c r="AC199" s="59"/>
      <x:c r="AD199" s="81" t="str">
        <x:f>IFERROR(INDEX('Resource Rate Library'!$G$5:$G$85,MATCH(P199,'Resource Rate Library'!$A$5:$A$85,0)),"")</x:f>
      </x:c>
      <x:c r="AE199" s="81" t="str">
        <x:f>IFERROR(INDEX('Resource Rate Library'!$H$5:$H$85,MATCH(P199,'Resource Rate Library'!$A$5:$A$85,0)),"")</x:f>
      </x:c>
      <x:c r="AF199" s="53"/>
      <x:c r="AG199" s="53"/>
      <x:c r="AH199" s="53"/>
      <x:c r="AI199" s="81" t="str">
        <x:f t="shared" si="17">IF(B199="","",IF(AND(P199="",N199&lt;&gt;"Lump Sum / Quote"),"RESOURCE CODE",IF(Y199=0,"RATE MISSING",IF(AND(O199="Plant",AD199="Yes",COUNTIFS($B$7:$B$306,B199,$O$7:$O$306,"Labour",$Q$7:$Q$306,"*Operator*")&gt;0),"OPERATOR DOUBLE-COUNT",IF(AND(O199="Plant",AE199="Yes",COUNTIFS($B$7:$B$306,B199,$Q$7:$Q$306,"*Fuel*")&gt;0),"FUEL DOUBLE-COUNT",IF(AH199&lt;&gt;"Yes","VERIFY","OK"))))))</x:f>
      </x:c>
      <x:c r="AJ199" s="54"/>
      <x:c r="AK199" s="473"/>
      <x:c r="AL199" s="473"/>
      <x:c r="AM199" s="473"/>
      <x:c r="AN199" s="500" t="n">
        <x:f>IF(AND(AK199="Yes",OR(O199="Labour",O199="Plant")),Z199,0)</x:f>
        <x:v>0</x:v>
      </x:c>
    </x:row>
    <x:row r="200">
      <x:c r="A200" s="80" t="str">
        <x:f>IF(B200="","",B200&amp;"-"&amp;TEXT(COUNTIF($B$7:B200,B200),"000"))</x:f>
      </x:c>
      <x:c r="B200" s="53"/>
      <x:c r="C200" s="81" t="str">
        <x:f>IFERROR(INDEX('QS Takeoff'!$A$3:$A$194,MATCH(B200,'QS Takeoff'!$B$3:$B$194,0)),"")</x:f>
      </x:c>
      <x:c r="D200" s="81" t="str">
        <x:f>IFERROR(INDEX('QS Takeoff'!$C$3:$C$194,MATCH(B200,'QS Takeoff'!$B$3:$B$194,0)),"")</x:f>
      </x:c>
      <x:c r="E200" s="81" t="str">
        <x:f>IFERROR(INDEX('QS Takeoff'!$E$3:$E$194,MATCH(B200,'QS Takeoff'!$B$3:$B$194,0)),"")</x:f>
      </x:c>
      <x:c r="F200" s="81" t="str">
        <x:f>IFERROR(INDEX('QS Takeoff'!$D$3:$D$194,MATCH(B200,'QS Takeoff'!$B$3:$B$194,0)),"")</x:f>
      </x:c>
      <x:c r="G200" s="81" t="str">
        <x:f>IFERROR(INDEX('QS Takeoff'!$J$3:$J$194,MATCH(B200,'QS Takeoff'!$B$3:$B$194,0)),"")</x:f>
      </x:c>
      <x:c r="H200" s="53"/>
      <x:c r="I200" s="60"/>
      <x:c r="J200" s="60"/>
      <x:c r="K200" s="82" t="str">
        <x:f t="shared" si="18">IF(OR(B200="",I200="",I200=0),"",E200/I200)</x:f>
      </x:c>
      <x:c r="L200" s="60"/>
      <x:c r="M200" s="82" t="str">
        <x:f t="shared" si="19">IF(L200&gt;0,L200,K200)</x:f>
      </x:c>
      <x:c r="N200" s="53"/>
      <x:c r="O200" s="53"/>
      <x:c r="P200" s="53"/>
      <x:c r="Q200" s="81" t="str">
        <x:f>IFERROR(INDEX('Resource Rate Library'!$C$5:$C$85,MATCH(P200,'Resource Rate Library'!$A$5:$A$85,0)),"")</x:f>
      </x:c>
      <x:c r="R200" s="53"/>
      <x:c r="S200" s="53"/>
      <x:c r="T200" s="81" t="str">
        <x:f>IFERROR(INDEX('Resource Rate Library'!$E$5:$E$85,MATCH(P200,'Resource Rate Library'!$A$5:$A$85,0)),"")</x:f>
      </x:c>
      <x:c r="U200" s="62"/>
      <x:c r="V200" s="62"/>
      <x:c r="W200" s="83" t="n">
        <x:f>IFERROR(INDEX('Resource Rate Library'!$I$5:$I$85,MATCH(P200,'Resource Rate Library'!$A$5:$A$85,0)),0)</x:f>
        <x:v>0</x:v>
      </x:c>
      <x:c r="X200" s="52"/>
      <x:c r="Y200" s="83" t="n">
        <x:f t="shared" si="20">IF(X200&gt;0,X200,W200)</x:f>
        <x:v>0</x:v>
      </x:c>
      <x:c r="Z200" s="83" t="str">
        <x:f t="shared" si="21">IF(B200="","",IF(N200="Time x Count",M200*R200*IF(U200="",1,U200)*Y200,IF(N200="QS Qty x Factor",E200*R200*(1+IF(V200="",0,V200))*Y200,IF(N200="Direct Qty",S200*(1+IF(V200="",0,V200))*Y200,IF(N200="Lump Sum / Quote",S200*Y200,0)))))</x:f>
      </x:c>
      <x:c r="AA200" s="81" t="str">
        <x:f>IFERROR(INDEX('Resource Rate Library'!$N$5:$N$85,MATCH(P200,'Resource Rate Library'!$A$5:$A$85,0)),"")</x:f>
      </x:c>
      <x:c r="AB200" s="53"/>
      <x:c r="AC200" s="59"/>
      <x:c r="AD200" s="81" t="str">
        <x:f>IFERROR(INDEX('Resource Rate Library'!$G$5:$G$85,MATCH(P200,'Resource Rate Library'!$A$5:$A$85,0)),"")</x:f>
      </x:c>
      <x:c r="AE200" s="81" t="str">
        <x:f>IFERROR(INDEX('Resource Rate Library'!$H$5:$H$85,MATCH(P200,'Resource Rate Library'!$A$5:$A$85,0)),"")</x:f>
      </x:c>
      <x:c r="AF200" s="53"/>
      <x:c r="AG200" s="53"/>
      <x:c r="AH200" s="53"/>
      <x:c r="AI200" s="81" t="str">
        <x:f t="shared" si="17">IF(B200="","",IF(AND(P200="",N200&lt;&gt;"Lump Sum / Quote"),"RESOURCE CODE",IF(Y200=0,"RATE MISSING",IF(AND(O200="Plant",AD200="Yes",COUNTIFS($B$7:$B$306,B200,$O$7:$O$306,"Labour",$Q$7:$Q$306,"*Operator*")&gt;0),"OPERATOR DOUBLE-COUNT",IF(AND(O200="Plant",AE200="Yes",COUNTIFS($B$7:$B$306,B200,$Q$7:$Q$306,"*Fuel*")&gt;0),"FUEL DOUBLE-COUNT",IF(AH200&lt;&gt;"Yes","VERIFY","OK"))))))</x:f>
      </x:c>
      <x:c r="AJ200" s="54"/>
      <x:c r="AK200" s="473"/>
      <x:c r="AL200" s="473"/>
      <x:c r="AM200" s="473"/>
      <x:c r="AN200" s="500" t="n">
        <x:f>IF(AND(AK200="Yes",OR(O200="Labour",O200="Plant")),Z200,0)</x:f>
        <x:v>0</x:v>
      </x:c>
    </x:row>
    <x:row r="201">
      <x:c r="A201" s="80" t="str">
        <x:f>IF(B201="","",B201&amp;"-"&amp;TEXT(COUNTIF($B$7:B201,B201),"000"))</x:f>
      </x:c>
      <x:c r="B201" s="53"/>
      <x:c r="C201" s="81" t="str">
        <x:f>IFERROR(INDEX('QS Takeoff'!$A$3:$A$194,MATCH(B201,'QS Takeoff'!$B$3:$B$194,0)),"")</x:f>
      </x:c>
      <x:c r="D201" s="81" t="str">
        <x:f>IFERROR(INDEX('QS Takeoff'!$C$3:$C$194,MATCH(B201,'QS Takeoff'!$B$3:$B$194,0)),"")</x:f>
      </x:c>
      <x:c r="E201" s="81" t="str">
        <x:f>IFERROR(INDEX('QS Takeoff'!$E$3:$E$194,MATCH(B201,'QS Takeoff'!$B$3:$B$194,0)),"")</x:f>
      </x:c>
      <x:c r="F201" s="81" t="str">
        <x:f>IFERROR(INDEX('QS Takeoff'!$D$3:$D$194,MATCH(B201,'QS Takeoff'!$B$3:$B$194,0)),"")</x:f>
      </x:c>
      <x:c r="G201" s="81" t="str">
        <x:f>IFERROR(INDEX('QS Takeoff'!$J$3:$J$194,MATCH(B201,'QS Takeoff'!$B$3:$B$194,0)),"")</x:f>
      </x:c>
      <x:c r="H201" s="53"/>
      <x:c r="I201" s="60"/>
      <x:c r="J201" s="60"/>
      <x:c r="K201" s="82" t="str">
        <x:f t="shared" si="18">IF(OR(B201="",I201="",I201=0),"",E201/I201)</x:f>
      </x:c>
      <x:c r="L201" s="60"/>
      <x:c r="M201" s="82" t="str">
        <x:f t="shared" si="19">IF(L201&gt;0,L201,K201)</x:f>
      </x:c>
      <x:c r="N201" s="53"/>
      <x:c r="O201" s="53"/>
      <x:c r="P201" s="53"/>
      <x:c r="Q201" s="81" t="str">
        <x:f>IFERROR(INDEX('Resource Rate Library'!$C$5:$C$85,MATCH(P201,'Resource Rate Library'!$A$5:$A$85,0)),"")</x:f>
      </x:c>
      <x:c r="R201" s="53"/>
      <x:c r="S201" s="53"/>
      <x:c r="T201" s="81" t="str">
        <x:f>IFERROR(INDEX('Resource Rate Library'!$E$5:$E$85,MATCH(P201,'Resource Rate Library'!$A$5:$A$85,0)),"")</x:f>
      </x:c>
      <x:c r="U201" s="62"/>
      <x:c r="V201" s="62"/>
      <x:c r="W201" s="83" t="n">
        <x:f>IFERROR(INDEX('Resource Rate Library'!$I$5:$I$85,MATCH(P201,'Resource Rate Library'!$A$5:$A$85,0)),0)</x:f>
        <x:v>0</x:v>
      </x:c>
      <x:c r="X201" s="52"/>
      <x:c r="Y201" s="83" t="n">
        <x:f t="shared" si="20">IF(X201&gt;0,X201,W201)</x:f>
        <x:v>0</x:v>
      </x:c>
      <x:c r="Z201" s="83" t="str">
        <x:f t="shared" si="21">IF(B201="","",IF(N201="Time x Count",M201*R201*IF(U201="",1,U201)*Y201,IF(N201="QS Qty x Factor",E201*R201*(1+IF(V201="",0,V201))*Y201,IF(N201="Direct Qty",S201*(1+IF(V201="",0,V201))*Y201,IF(N201="Lump Sum / Quote",S201*Y201,0)))))</x:f>
      </x:c>
      <x:c r="AA201" s="81" t="str">
        <x:f>IFERROR(INDEX('Resource Rate Library'!$N$5:$N$85,MATCH(P201,'Resource Rate Library'!$A$5:$A$85,0)),"")</x:f>
      </x:c>
      <x:c r="AB201" s="53"/>
      <x:c r="AC201" s="59"/>
      <x:c r="AD201" s="81" t="str">
        <x:f>IFERROR(INDEX('Resource Rate Library'!$G$5:$G$85,MATCH(P201,'Resource Rate Library'!$A$5:$A$85,0)),"")</x:f>
      </x:c>
      <x:c r="AE201" s="81" t="str">
        <x:f>IFERROR(INDEX('Resource Rate Library'!$H$5:$H$85,MATCH(P201,'Resource Rate Library'!$A$5:$A$85,0)),"")</x:f>
      </x:c>
      <x:c r="AF201" s="53"/>
      <x:c r="AG201" s="53"/>
      <x:c r="AH201" s="53"/>
      <x:c r="AI201" s="81" t="str">
        <x:f t="shared" si="17">IF(B201="","",IF(AND(P201="",N201&lt;&gt;"Lump Sum / Quote"),"RESOURCE CODE",IF(Y201=0,"RATE MISSING",IF(AND(O201="Plant",AD201="Yes",COUNTIFS($B$7:$B$306,B201,$O$7:$O$306,"Labour",$Q$7:$Q$306,"*Operator*")&gt;0),"OPERATOR DOUBLE-COUNT",IF(AND(O201="Plant",AE201="Yes",COUNTIFS($B$7:$B$306,B201,$Q$7:$Q$306,"*Fuel*")&gt;0),"FUEL DOUBLE-COUNT",IF(AH201&lt;&gt;"Yes","VERIFY","OK"))))))</x:f>
      </x:c>
      <x:c r="AJ201" s="54"/>
      <x:c r="AK201" s="473"/>
      <x:c r="AL201" s="473"/>
      <x:c r="AM201" s="473"/>
      <x:c r="AN201" s="500" t="n">
        <x:f>IF(AND(AK201="Yes",OR(O201="Labour",O201="Plant")),Z201,0)</x:f>
        <x:v>0</x:v>
      </x:c>
    </x:row>
    <x:row r="202">
      <x:c r="A202" s="80" t="str">
        <x:f>IF(B202="","",B202&amp;"-"&amp;TEXT(COUNTIF($B$7:B202,B202),"000"))</x:f>
      </x:c>
      <x:c r="B202" s="53"/>
      <x:c r="C202" s="81" t="str">
        <x:f>IFERROR(INDEX('QS Takeoff'!$A$3:$A$194,MATCH(B202,'QS Takeoff'!$B$3:$B$194,0)),"")</x:f>
      </x:c>
      <x:c r="D202" s="81" t="str">
        <x:f>IFERROR(INDEX('QS Takeoff'!$C$3:$C$194,MATCH(B202,'QS Takeoff'!$B$3:$B$194,0)),"")</x:f>
      </x:c>
      <x:c r="E202" s="81" t="str">
        <x:f>IFERROR(INDEX('QS Takeoff'!$E$3:$E$194,MATCH(B202,'QS Takeoff'!$B$3:$B$194,0)),"")</x:f>
      </x:c>
      <x:c r="F202" s="81" t="str">
        <x:f>IFERROR(INDEX('QS Takeoff'!$D$3:$D$194,MATCH(B202,'QS Takeoff'!$B$3:$B$194,0)),"")</x:f>
      </x:c>
      <x:c r="G202" s="81" t="str">
        <x:f>IFERROR(INDEX('QS Takeoff'!$J$3:$J$194,MATCH(B202,'QS Takeoff'!$B$3:$B$194,0)),"")</x:f>
      </x:c>
      <x:c r="H202" s="53"/>
      <x:c r="I202" s="60"/>
      <x:c r="J202" s="60"/>
      <x:c r="K202" s="82" t="str">
        <x:f t="shared" si="18">IF(OR(B202="",I202="",I202=0),"",E202/I202)</x:f>
      </x:c>
      <x:c r="L202" s="60"/>
      <x:c r="M202" s="82" t="str">
        <x:f t="shared" si="19">IF(L202&gt;0,L202,K202)</x:f>
      </x:c>
      <x:c r="N202" s="53"/>
      <x:c r="O202" s="53"/>
      <x:c r="P202" s="53"/>
      <x:c r="Q202" s="81" t="str">
        <x:f>IFERROR(INDEX('Resource Rate Library'!$C$5:$C$85,MATCH(P202,'Resource Rate Library'!$A$5:$A$85,0)),"")</x:f>
      </x:c>
      <x:c r="R202" s="53"/>
      <x:c r="S202" s="53"/>
      <x:c r="T202" s="81" t="str">
        <x:f>IFERROR(INDEX('Resource Rate Library'!$E$5:$E$85,MATCH(P202,'Resource Rate Library'!$A$5:$A$85,0)),"")</x:f>
      </x:c>
      <x:c r="U202" s="62"/>
      <x:c r="V202" s="62"/>
      <x:c r="W202" s="83" t="n">
        <x:f>IFERROR(INDEX('Resource Rate Library'!$I$5:$I$85,MATCH(P202,'Resource Rate Library'!$A$5:$A$85,0)),0)</x:f>
        <x:v>0</x:v>
      </x:c>
      <x:c r="X202" s="52"/>
      <x:c r="Y202" s="83" t="n">
        <x:f t="shared" si="20">IF(X202&gt;0,X202,W202)</x:f>
        <x:v>0</x:v>
      </x:c>
      <x:c r="Z202" s="83" t="str">
        <x:f t="shared" si="21">IF(B202="","",IF(N202="Time x Count",M202*R202*IF(U202="",1,U202)*Y202,IF(N202="QS Qty x Factor",E202*R202*(1+IF(V202="",0,V202))*Y202,IF(N202="Direct Qty",S202*(1+IF(V202="",0,V202))*Y202,IF(N202="Lump Sum / Quote",S202*Y202,0)))))</x:f>
      </x:c>
      <x:c r="AA202" s="81" t="str">
        <x:f>IFERROR(INDEX('Resource Rate Library'!$N$5:$N$85,MATCH(P202,'Resource Rate Library'!$A$5:$A$85,0)),"")</x:f>
      </x:c>
      <x:c r="AB202" s="53"/>
      <x:c r="AC202" s="59"/>
      <x:c r="AD202" s="81" t="str">
        <x:f>IFERROR(INDEX('Resource Rate Library'!$G$5:$G$85,MATCH(P202,'Resource Rate Library'!$A$5:$A$85,0)),"")</x:f>
      </x:c>
      <x:c r="AE202" s="81" t="str">
        <x:f>IFERROR(INDEX('Resource Rate Library'!$H$5:$H$85,MATCH(P202,'Resource Rate Library'!$A$5:$A$85,0)),"")</x:f>
      </x:c>
      <x:c r="AF202" s="53"/>
      <x:c r="AG202" s="53"/>
      <x:c r="AH202" s="53"/>
      <x:c r="AI202" s="81" t="str">
        <x:f t="shared" si="17">IF(B202="","",IF(AND(P202="",N202&lt;&gt;"Lump Sum / Quote"),"RESOURCE CODE",IF(Y202=0,"RATE MISSING",IF(AND(O202="Plant",AD202="Yes",COUNTIFS($B$7:$B$306,B202,$O$7:$O$306,"Labour",$Q$7:$Q$306,"*Operator*")&gt;0),"OPERATOR DOUBLE-COUNT",IF(AND(O202="Plant",AE202="Yes",COUNTIFS($B$7:$B$306,B202,$Q$7:$Q$306,"*Fuel*")&gt;0),"FUEL DOUBLE-COUNT",IF(AH202&lt;&gt;"Yes","VERIFY","OK"))))))</x:f>
      </x:c>
      <x:c r="AJ202" s="54"/>
      <x:c r="AK202" s="473"/>
      <x:c r="AL202" s="473"/>
      <x:c r="AM202" s="473"/>
      <x:c r="AN202" s="500" t="n">
        <x:f>IF(AND(AK202="Yes",OR(O202="Labour",O202="Plant")),Z202,0)</x:f>
        <x:v>0</x:v>
      </x:c>
    </x:row>
    <x:row r="203">
      <x:c r="A203" s="80" t="str">
        <x:f>IF(B203="","",B203&amp;"-"&amp;TEXT(COUNTIF($B$7:B203,B203),"000"))</x:f>
      </x:c>
      <x:c r="B203" s="53"/>
      <x:c r="C203" s="81" t="str">
        <x:f>IFERROR(INDEX('QS Takeoff'!$A$3:$A$194,MATCH(B203,'QS Takeoff'!$B$3:$B$194,0)),"")</x:f>
      </x:c>
      <x:c r="D203" s="81" t="str">
        <x:f>IFERROR(INDEX('QS Takeoff'!$C$3:$C$194,MATCH(B203,'QS Takeoff'!$B$3:$B$194,0)),"")</x:f>
      </x:c>
      <x:c r="E203" s="81" t="str">
        <x:f>IFERROR(INDEX('QS Takeoff'!$E$3:$E$194,MATCH(B203,'QS Takeoff'!$B$3:$B$194,0)),"")</x:f>
      </x:c>
      <x:c r="F203" s="81" t="str">
        <x:f>IFERROR(INDEX('QS Takeoff'!$D$3:$D$194,MATCH(B203,'QS Takeoff'!$B$3:$B$194,0)),"")</x:f>
      </x:c>
      <x:c r="G203" s="81" t="str">
        <x:f>IFERROR(INDEX('QS Takeoff'!$J$3:$J$194,MATCH(B203,'QS Takeoff'!$B$3:$B$194,0)),"")</x:f>
      </x:c>
      <x:c r="H203" s="53"/>
      <x:c r="I203" s="60"/>
      <x:c r="J203" s="60"/>
      <x:c r="K203" s="82" t="str">
        <x:f t="shared" si="18">IF(OR(B203="",I203="",I203=0),"",E203/I203)</x:f>
      </x:c>
      <x:c r="L203" s="60"/>
      <x:c r="M203" s="82" t="str">
        <x:f t="shared" si="19">IF(L203&gt;0,L203,K203)</x:f>
      </x:c>
      <x:c r="N203" s="53"/>
      <x:c r="O203" s="53"/>
      <x:c r="P203" s="53"/>
      <x:c r="Q203" s="81" t="str">
        <x:f>IFERROR(INDEX('Resource Rate Library'!$C$5:$C$85,MATCH(P203,'Resource Rate Library'!$A$5:$A$85,0)),"")</x:f>
      </x:c>
      <x:c r="R203" s="53"/>
      <x:c r="S203" s="53"/>
      <x:c r="T203" s="81" t="str">
        <x:f>IFERROR(INDEX('Resource Rate Library'!$E$5:$E$85,MATCH(P203,'Resource Rate Library'!$A$5:$A$85,0)),"")</x:f>
      </x:c>
      <x:c r="U203" s="62"/>
      <x:c r="V203" s="62"/>
      <x:c r="W203" s="83" t="n">
        <x:f>IFERROR(INDEX('Resource Rate Library'!$I$5:$I$85,MATCH(P203,'Resource Rate Library'!$A$5:$A$85,0)),0)</x:f>
        <x:v>0</x:v>
      </x:c>
      <x:c r="X203" s="52"/>
      <x:c r="Y203" s="83" t="n">
        <x:f t="shared" si="20">IF(X203&gt;0,X203,W203)</x:f>
        <x:v>0</x:v>
      </x:c>
      <x:c r="Z203" s="83" t="str">
        <x:f t="shared" si="21">IF(B203="","",IF(N203="Time x Count",M203*R203*IF(U203="",1,U203)*Y203,IF(N203="QS Qty x Factor",E203*R203*(1+IF(V203="",0,V203))*Y203,IF(N203="Direct Qty",S203*(1+IF(V203="",0,V203))*Y203,IF(N203="Lump Sum / Quote",S203*Y203,0)))))</x:f>
      </x:c>
      <x:c r="AA203" s="81" t="str">
        <x:f>IFERROR(INDEX('Resource Rate Library'!$N$5:$N$85,MATCH(P203,'Resource Rate Library'!$A$5:$A$85,0)),"")</x:f>
      </x:c>
      <x:c r="AB203" s="53"/>
      <x:c r="AC203" s="59"/>
      <x:c r="AD203" s="81" t="str">
        <x:f>IFERROR(INDEX('Resource Rate Library'!$G$5:$G$85,MATCH(P203,'Resource Rate Library'!$A$5:$A$85,0)),"")</x:f>
      </x:c>
      <x:c r="AE203" s="81" t="str">
        <x:f>IFERROR(INDEX('Resource Rate Library'!$H$5:$H$85,MATCH(P203,'Resource Rate Library'!$A$5:$A$85,0)),"")</x:f>
      </x:c>
      <x:c r="AF203" s="53"/>
      <x:c r="AG203" s="53"/>
      <x:c r="AH203" s="53"/>
      <x:c r="AI203" s="81" t="str">
        <x:f t="shared" si="17">IF(B203="","",IF(AND(P203="",N203&lt;&gt;"Lump Sum / Quote"),"RESOURCE CODE",IF(Y203=0,"RATE MISSING",IF(AND(O203="Plant",AD203="Yes",COUNTIFS($B$7:$B$306,B203,$O$7:$O$306,"Labour",$Q$7:$Q$306,"*Operator*")&gt;0),"OPERATOR DOUBLE-COUNT",IF(AND(O203="Plant",AE203="Yes",COUNTIFS($B$7:$B$306,B203,$Q$7:$Q$306,"*Fuel*")&gt;0),"FUEL DOUBLE-COUNT",IF(AH203&lt;&gt;"Yes","VERIFY","OK"))))))</x:f>
      </x:c>
      <x:c r="AJ203" s="54"/>
      <x:c r="AK203" s="473"/>
      <x:c r="AL203" s="473"/>
      <x:c r="AM203" s="473"/>
      <x:c r="AN203" s="500" t="n">
        <x:f>IF(AND(AK203="Yes",OR(O203="Labour",O203="Plant")),Z203,0)</x:f>
        <x:v>0</x:v>
      </x:c>
    </x:row>
    <x:row r="204">
      <x:c r="A204" s="80" t="str">
        <x:f>IF(B204="","",B204&amp;"-"&amp;TEXT(COUNTIF($B$7:B204,B204),"000"))</x:f>
      </x:c>
      <x:c r="B204" s="53"/>
      <x:c r="C204" s="81" t="str">
        <x:f>IFERROR(INDEX('QS Takeoff'!$A$3:$A$194,MATCH(B204,'QS Takeoff'!$B$3:$B$194,0)),"")</x:f>
      </x:c>
      <x:c r="D204" s="81" t="str">
        <x:f>IFERROR(INDEX('QS Takeoff'!$C$3:$C$194,MATCH(B204,'QS Takeoff'!$B$3:$B$194,0)),"")</x:f>
      </x:c>
      <x:c r="E204" s="81" t="str">
        <x:f>IFERROR(INDEX('QS Takeoff'!$E$3:$E$194,MATCH(B204,'QS Takeoff'!$B$3:$B$194,0)),"")</x:f>
      </x:c>
      <x:c r="F204" s="81" t="str">
        <x:f>IFERROR(INDEX('QS Takeoff'!$D$3:$D$194,MATCH(B204,'QS Takeoff'!$B$3:$B$194,0)),"")</x:f>
      </x:c>
      <x:c r="G204" s="81" t="str">
        <x:f>IFERROR(INDEX('QS Takeoff'!$J$3:$J$194,MATCH(B204,'QS Takeoff'!$B$3:$B$194,0)),"")</x:f>
      </x:c>
      <x:c r="H204" s="53"/>
      <x:c r="I204" s="60"/>
      <x:c r="J204" s="60"/>
      <x:c r="K204" s="82" t="str">
        <x:f t="shared" si="18">IF(OR(B204="",I204="",I204=0),"",E204/I204)</x:f>
      </x:c>
      <x:c r="L204" s="60"/>
      <x:c r="M204" s="82" t="str">
        <x:f t="shared" si="19">IF(L204&gt;0,L204,K204)</x:f>
      </x:c>
      <x:c r="N204" s="53"/>
      <x:c r="O204" s="53"/>
      <x:c r="P204" s="53"/>
      <x:c r="Q204" s="81" t="str">
        <x:f>IFERROR(INDEX('Resource Rate Library'!$C$5:$C$85,MATCH(P204,'Resource Rate Library'!$A$5:$A$85,0)),"")</x:f>
      </x:c>
      <x:c r="R204" s="53"/>
      <x:c r="S204" s="53"/>
      <x:c r="T204" s="81" t="str">
        <x:f>IFERROR(INDEX('Resource Rate Library'!$E$5:$E$85,MATCH(P204,'Resource Rate Library'!$A$5:$A$85,0)),"")</x:f>
      </x:c>
      <x:c r="U204" s="62"/>
      <x:c r="V204" s="62"/>
      <x:c r="W204" s="83" t="n">
        <x:f>IFERROR(INDEX('Resource Rate Library'!$I$5:$I$85,MATCH(P204,'Resource Rate Library'!$A$5:$A$85,0)),0)</x:f>
        <x:v>0</x:v>
      </x:c>
      <x:c r="X204" s="52"/>
      <x:c r="Y204" s="83" t="n">
        <x:f t="shared" si="20">IF(X204&gt;0,X204,W204)</x:f>
        <x:v>0</x:v>
      </x:c>
      <x:c r="Z204" s="83" t="str">
        <x:f t="shared" si="21">IF(B204="","",IF(N204="Time x Count",M204*R204*IF(U204="",1,U204)*Y204,IF(N204="QS Qty x Factor",E204*R204*(1+IF(V204="",0,V204))*Y204,IF(N204="Direct Qty",S204*(1+IF(V204="",0,V204))*Y204,IF(N204="Lump Sum / Quote",S204*Y204,0)))))</x:f>
      </x:c>
      <x:c r="AA204" s="81" t="str">
        <x:f>IFERROR(INDEX('Resource Rate Library'!$N$5:$N$85,MATCH(P204,'Resource Rate Library'!$A$5:$A$85,0)),"")</x:f>
      </x:c>
      <x:c r="AB204" s="53"/>
      <x:c r="AC204" s="59"/>
      <x:c r="AD204" s="81" t="str">
        <x:f>IFERROR(INDEX('Resource Rate Library'!$G$5:$G$85,MATCH(P204,'Resource Rate Library'!$A$5:$A$85,0)),"")</x:f>
      </x:c>
      <x:c r="AE204" s="81" t="str">
        <x:f>IFERROR(INDEX('Resource Rate Library'!$H$5:$H$85,MATCH(P204,'Resource Rate Library'!$A$5:$A$85,0)),"")</x:f>
      </x:c>
      <x:c r="AF204" s="53"/>
      <x:c r="AG204" s="53"/>
      <x:c r="AH204" s="53"/>
      <x:c r="AI204" s="81" t="str">
        <x:f t="shared" si="17">IF(B204="","",IF(AND(P204="",N204&lt;&gt;"Lump Sum / Quote"),"RESOURCE CODE",IF(Y204=0,"RATE MISSING",IF(AND(O204="Plant",AD204="Yes",COUNTIFS($B$7:$B$306,B204,$O$7:$O$306,"Labour",$Q$7:$Q$306,"*Operator*")&gt;0),"OPERATOR DOUBLE-COUNT",IF(AND(O204="Plant",AE204="Yes",COUNTIFS($B$7:$B$306,B204,$Q$7:$Q$306,"*Fuel*")&gt;0),"FUEL DOUBLE-COUNT",IF(AH204&lt;&gt;"Yes","VERIFY","OK"))))))</x:f>
      </x:c>
      <x:c r="AJ204" s="54"/>
      <x:c r="AK204" s="473"/>
      <x:c r="AL204" s="473"/>
      <x:c r="AM204" s="473"/>
      <x:c r="AN204" s="500" t="n">
        <x:f>IF(AND(AK204="Yes",OR(O204="Labour",O204="Plant")),Z204,0)</x:f>
        <x:v>0</x:v>
      </x:c>
    </x:row>
    <x:row r="205">
      <x:c r="A205" s="80" t="str">
        <x:f>IF(B205="","",B205&amp;"-"&amp;TEXT(COUNTIF($B$7:B205,B205),"000"))</x:f>
      </x:c>
      <x:c r="B205" s="53"/>
      <x:c r="C205" s="81" t="str">
        <x:f>IFERROR(INDEX('QS Takeoff'!$A$3:$A$194,MATCH(B205,'QS Takeoff'!$B$3:$B$194,0)),"")</x:f>
      </x:c>
      <x:c r="D205" s="81" t="str">
        <x:f>IFERROR(INDEX('QS Takeoff'!$C$3:$C$194,MATCH(B205,'QS Takeoff'!$B$3:$B$194,0)),"")</x:f>
      </x:c>
      <x:c r="E205" s="81" t="str">
        <x:f>IFERROR(INDEX('QS Takeoff'!$E$3:$E$194,MATCH(B205,'QS Takeoff'!$B$3:$B$194,0)),"")</x:f>
      </x:c>
      <x:c r="F205" s="81" t="str">
        <x:f>IFERROR(INDEX('QS Takeoff'!$D$3:$D$194,MATCH(B205,'QS Takeoff'!$B$3:$B$194,0)),"")</x:f>
      </x:c>
      <x:c r="G205" s="81" t="str">
        <x:f>IFERROR(INDEX('QS Takeoff'!$J$3:$J$194,MATCH(B205,'QS Takeoff'!$B$3:$B$194,0)),"")</x:f>
      </x:c>
      <x:c r="H205" s="53"/>
      <x:c r="I205" s="60"/>
      <x:c r="J205" s="60"/>
      <x:c r="K205" s="82" t="str">
        <x:f t="shared" si="18">IF(OR(B205="",I205="",I205=0),"",E205/I205)</x:f>
      </x:c>
      <x:c r="L205" s="60"/>
      <x:c r="M205" s="82" t="str">
        <x:f t="shared" si="19">IF(L205&gt;0,L205,K205)</x:f>
      </x:c>
      <x:c r="N205" s="53"/>
      <x:c r="O205" s="53"/>
      <x:c r="P205" s="53"/>
      <x:c r="Q205" s="81" t="str">
        <x:f>IFERROR(INDEX('Resource Rate Library'!$C$5:$C$85,MATCH(P205,'Resource Rate Library'!$A$5:$A$85,0)),"")</x:f>
      </x:c>
      <x:c r="R205" s="53"/>
      <x:c r="S205" s="53"/>
      <x:c r="T205" s="81" t="str">
        <x:f>IFERROR(INDEX('Resource Rate Library'!$E$5:$E$85,MATCH(P205,'Resource Rate Library'!$A$5:$A$85,0)),"")</x:f>
      </x:c>
      <x:c r="U205" s="62"/>
      <x:c r="V205" s="62"/>
      <x:c r="W205" s="83" t="n">
        <x:f>IFERROR(INDEX('Resource Rate Library'!$I$5:$I$85,MATCH(P205,'Resource Rate Library'!$A$5:$A$85,0)),0)</x:f>
        <x:v>0</x:v>
      </x:c>
      <x:c r="X205" s="52"/>
      <x:c r="Y205" s="83" t="n">
        <x:f t="shared" si="20">IF(X205&gt;0,X205,W205)</x:f>
        <x:v>0</x:v>
      </x:c>
      <x:c r="Z205" s="83" t="str">
        <x:f t="shared" si="21">IF(B205="","",IF(N205="Time x Count",M205*R205*IF(U205="",1,U205)*Y205,IF(N205="QS Qty x Factor",E205*R205*(1+IF(V205="",0,V205))*Y205,IF(N205="Direct Qty",S205*(1+IF(V205="",0,V205))*Y205,IF(N205="Lump Sum / Quote",S205*Y205,0)))))</x:f>
      </x:c>
      <x:c r="AA205" s="81" t="str">
        <x:f>IFERROR(INDEX('Resource Rate Library'!$N$5:$N$85,MATCH(P205,'Resource Rate Library'!$A$5:$A$85,0)),"")</x:f>
      </x:c>
      <x:c r="AB205" s="53"/>
      <x:c r="AC205" s="59"/>
      <x:c r="AD205" s="81" t="str">
        <x:f>IFERROR(INDEX('Resource Rate Library'!$G$5:$G$85,MATCH(P205,'Resource Rate Library'!$A$5:$A$85,0)),"")</x:f>
      </x:c>
      <x:c r="AE205" s="81" t="str">
        <x:f>IFERROR(INDEX('Resource Rate Library'!$H$5:$H$85,MATCH(P205,'Resource Rate Library'!$A$5:$A$85,0)),"")</x:f>
      </x:c>
      <x:c r="AF205" s="53"/>
      <x:c r="AG205" s="53"/>
      <x:c r="AH205" s="53"/>
      <x:c r="AI205" s="81" t="str">
        <x:f t="shared" si="17">IF(B205="","",IF(AND(P205="",N205&lt;&gt;"Lump Sum / Quote"),"RESOURCE CODE",IF(Y205=0,"RATE MISSING",IF(AND(O205="Plant",AD205="Yes",COUNTIFS($B$7:$B$306,B205,$O$7:$O$306,"Labour",$Q$7:$Q$306,"*Operator*")&gt;0),"OPERATOR DOUBLE-COUNT",IF(AND(O205="Plant",AE205="Yes",COUNTIFS($B$7:$B$306,B205,$Q$7:$Q$306,"*Fuel*")&gt;0),"FUEL DOUBLE-COUNT",IF(AH205&lt;&gt;"Yes","VERIFY","OK"))))))</x:f>
      </x:c>
      <x:c r="AJ205" s="54"/>
      <x:c r="AK205" s="473"/>
      <x:c r="AL205" s="473"/>
      <x:c r="AM205" s="473"/>
      <x:c r="AN205" s="500" t="n">
        <x:f>IF(AND(AK205="Yes",OR(O205="Labour",O205="Plant")),Z205,0)</x:f>
        <x:v>0</x:v>
      </x:c>
    </x:row>
    <x:row r="206">
      <x:c r="A206" s="80" t="str">
        <x:f>IF(B206="","",B206&amp;"-"&amp;TEXT(COUNTIF($B$7:B206,B206),"000"))</x:f>
      </x:c>
      <x:c r="B206" s="53"/>
      <x:c r="C206" s="81" t="str">
        <x:f>IFERROR(INDEX('QS Takeoff'!$A$3:$A$194,MATCH(B206,'QS Takeoff'!$B$3:$B$194,0)),"")</x:f>
      </x:c>
      <x:c r="D206" s="81" t="str">
        <x:f>IFERROR(INDEX('QS Takeoff'!$C$3:$C$194,MATCH(B206,'QS Takeoff'!$B$3:$B$194,0)),"")</x:f>
      </x:c>
      <x:c r="E206" s="81" t="str">
        <x:f>IFERROR(INDEX('QS Takeoff'!$E$3:$E$194,MATCH(B206,'QS Takeoff'!$B$3:$B$194,0)),"")</x:f>
      </x:c>
      <x:c r="F206" s="81" t="str">
        <x:f>IFERROR(INDEX('QS Takeoff'!$D$3:$D$194,MATCH(B206,'QS Takeoff'!$B$3:$B$194,0)),"")</x:f>
      </x:c>
      <x:c r="G206" s="81" t="str">
        <x:f>IFERROR(INDEX('QS Takeoff'!$J$3:$J$194,MATCH(B206,'QS Takeoff'!$B$3:$B$194,0)),"")</x:f>
      </x:c>
      <x:c r="H206" s="53"/>
      <x:c r="I206" s="60"/>
      <x:c r="J206" s="60"/>
      <x:c r="K206" s="82" t="str">
        <x:f t="shared" si="18">IF(OR(B206="",I206="",I206=0),"",E206/I206)</x:f>
      </x:c>
      <x:c r="L206" s="60"/>
      <x:c r="M206" s="82" t="str">
        <x:f t="shared" si="19">IF(L206&gt;0,L206,K206)</x:f>
      </x:c>
      <x:c r="N206" s="53"/>
      <x:c r="O206" s="53"/>
      <x:c r="P206" s="53"/>
      <x:c r="Q206" s="81" t="str">
        <x:f>IFERROR(INDEX('Resource Rate Library'!$C$5:$C$85,MATCH(P206,'Resource Rate Library'!$A$5:$A$85,0)),"")</x:f>
      </x:c>
      <x:c r="R206" s="53"/>
      <x:c r="S206" s="53"/>
      <x:c r="T206" s="81" t="str">
        <x:f>IFERROR(INDEX('Resource Rate Library'!$E$5:$E$85,MATCH(P206,'Resource Rate Library'!$A$5:$A$85,0)),"")</x:f>
      </x:c>
      <x:c r="U206" s="62"/>
      <x:c r="V206" s="62"/>
      <x:c r="W206" s="83" t="n">
        <x:f>IFERROR(INDEX('Resource Rate Library'!$I$5:$I$85,MATCH(P206,'Resource Rate Library'!$A$5:$A$85,0)),0)</x:f>
        <x:v>0</x:v>
      </x:c>
      <x:c r="X206" s="52"/>
      <x:c r="Y206" s="83" t="n">
        <x:f t="shared" si="20">IF(X206&gt;0,X206,W206)</x:f>
        <x:v>0</x:v>
      </x:c>
      <x:c r="Z206" s="83" t="str">
        <x:f t="shared" si="21">IF(B206="","",IF(N206="Time x Count",M206*R206*IF(U206="",1,U206)*Y206,IF(N206="QS Qty x Factor",E206*R206*(1+IF(V206="",0,V206))*Y206,IF(N206="Direct Qty",S206*(1+IF(V206="",0,V206))*Y206,IF(N206="Lump Sum / Quote",S206*Y206,0)))))</x:f>
      </x:c>
      <x:c r="AA206" s="81" t="str">
        <x:f>IFERROR(INDEX('Resource Rate Library'!$N$5:$N$85,MATCH(P206,'Resource Rate Library'!$A$5:$A$85,0)),"")</x:f>
      </x:c>
      <x:c r="AB206" s="53"/>
      <x:c r="AC206" s="59"/>
      <x:c r="AD206" s="81" t="str">
        <x:f>IFERROR(INDEX('Resource Rate Library'!$G$5:$G$85,MATCH(P206,'Resource Rate Library'!$A$5:$A$85,0)),"")</x:f>
      </x:c>
      <x:c r="AE206" s="81" t="str">
        <x:f>IFERROR(INDEX('Resource Rate Library'!$H$5:$H$85,MATCH(P206,'Resource Rate Library'!$A$5:$A$85,0)),"")</x:f>
      </x:c>
      <x:c r="AF206" s="53"/>
      <x:c r="AG206" s="53"/>
      <x:c r="AH206" s="53"/>
      <x:c r="AI206" s="81" t="str">
        <x:f t="shared" si="17">IF(B206="","",IF(AND(P206="",N206&lt;&gt;"Lump Sum / Quote"),"RESOURCE CODE",IF(Y206=0,"RATE MISSING",IF(AND(O206="Plant",AD206="Yes",COUNTIFS($B$7:$B$306,B206,$O$7:$O$306,"Labour",$Q$7:$Q$306,"*Operator*")&gt;0),"OPERATOR DOUBLE-COUNT",IF(AND(O206="Plant",AE206="Yes",COUNTIFS($B$7:$B$306,B206,$Q$7:$Q$306,"*Fuel*")&gt;0),"FUEL DOUBLE-COUNT",IF(AH206&lt;&gt;"Yes","VERIFY","OK"))))))</x:f>
      </x:c>
      <x:c r="AJ206" s="54"/>
      <x:c r="AK206" s="473"/>
      <x:c r="AL206" s="473"/>
      <x:c r="AM206" s="473"/>
      <x:c r="AN206" s="500" t="n">
        <x:f>IF(AND(AK206="Yes",OR(O206="Labour",O206="Plant")),Z206,0)</x:f>
        <x:v>0</x:v>
      </x:c>
    </x:row>
    <x:row r="207">
      <x:c r="A207" s="80" t="str">
        <x:f>IF(B207="","",B207&amp;"-"&amp;TEXT(COUNTIF($B$7:B207,B207),"000"))</x:f>
      </x:c>
      <x:c r="B207" s="53"/>
      <x:c r="C207" s="81" t="str">
        <x:f>IFERROR(INDEX('QS Takeoff'!$A$3:$A$194,MATCH(B207,'QS Takeoff'!$B$3:$B$194,0)),"")</x:f>
      </x:c>
      <x:c r="D207" s="81" t="str">
        <x:f>IFERROR(INDEX('QS Takeoff'!$C$3:$C$194,MATCH(B207,'QS Takeoff'!$B$3:$B$194,0)),"")</x:f>
      </x:c>
      <x:c r="E207" s="81" t="str">
        <x:f>IFERROR(INDEX('QS Takeoff'!$E$3:$E$194,MATCH(B207,'QS Takeoff'!$B$3:$B$194,0)),"")</x:f>
      </x:c>
      <x:c r="F207" s="81" t="str">
        <x:f>IFERROR(INDEX('QS Takeoff'!$D$3:$D$194,MATCH(B207,'QS Takeoff'!$B$3:$B$194,0)),"")</x:f>
      </x:c>
      <x:c r="G207" s="81" t="str">
        <x:f>IFERROR(INDEX('QS Takeoff'!$J$3:$J$194,MATCH(B207,'QS Takeoff'!$B$3:$B$194,0)),"")</x:f>
      </x:c>
      <x:c r="H207" s="53"/>
      <x:c r="I207" s="60"/>
      <x:c r="J207" s="60"/>
      <x:c r="K207" s="82" t="str">
        <x:f t="shared" si="18">IF(OR(B207="",I207="",I207=0),"",E207/I207)</x:f>
      </x:c>
      <x:c r="L207" s="60"/>
      <x:c r="M207" s="82" t="str">
        <x:f t="shared" si="19">IF(L207&gt;0,L207,K207)</x:f>
      </x:c>
      <x:c r="N207" s="53"/>
      <x:c r="O207" s="53"/>
      <x:c r="P207" s="53"/>
      <x:c r="Q207" s="81" t="str">
        <x:f>IFERROR(INDEX('Resource Rate Library'!$C$5:$C$85,MATCH(P207,'Resource Rate Library'!$A$5:$A$85,0)),"")</x:f>
      </x:c>
      <x:c r="R207" s="53"/>
      <x:c r="S207" s="53"/>
      <x:c r="T207" s="81" t="str">
        <x:f>IFERROR(INDEX('Resource Rate Library'!$E$5:$E$85,MATCH(P207,'Resource Rate Library'!$A$5:$A$85,0)),"")</x:f>
      </x:c>
      <x:c r="U207" s="62"/>
      <x:c r="V207" s="62"/>
      <x:c r="W207" s="83" t="n">
        <x:f>IFERROR(INDEX('Resource Rate Library'!$I$5:$I$85,MATCH(P207,'Resource Rate Library'!$A$5:$A$85,0)),0)</x:f>
        <x:v>0</x:v>
      </x:c>
      <x:c r="X207" s="52"/>
      <x:c r="Y207" s="83" t="n">
        <x:f t="shared" si="20">IF(X207&gt;0,X207,W207)</x:f>
        <x:v>0</x:v>
      </x:c>
      <x:c r="Z207" s="83" t="str">
        <x:f t="shared" si="21">IF(B207="","",IF(N207="Time x Count",M207*R207*IF(U207="",1,U207)*Y207,IF(N207="QS Qty x Factor",E207*R207*(1+IF(V207="",0,V207))*Y207,IF(N207="Direct Qty",S207*(1+IF(V207="",0,V207))*Y207,IF(N207="Lump Sum / Quote",S207*Y207,0)))))</x:f>
      </x:c>
      <x:c r="AA207" s="81" t="str">
        <x:f>IFERROR(INDEX('Resource Rate Library'!$N$5:$N$85,MATCH(P207,'Resource Rate Library'!$A$5:$A$85,0)),"")</x:f>
      </x:c>
      <x:c r="AB207" s="53"/>
      <x:c r="AC207" s="59"/>
      <x:c r="AD207" s="81" t="str">
        <x:f>IFERROR(INDEX('Resource Rate Library'!$G$5:$G$85,MATCH(P207,'Resource Rate Library'!$A$5:$A$85,0)),"")</x:f>
      </x:c>
      <x:c r="AE207" s="81" t="str">
        <x:f>IFERROR(INDEX('Resource Rate Library'!$H$5:$H$85,MATCH(P207,'Resource Rate Library'!$A$5:$A$85,0)),"")</x:f>
      </x:c>
      <x:c r="AF207" s="53"/>
      <x:c r="AG207" s="53"/>
      <x:c r="AH207" s="53"/>
      <x:c r="AI207" s="81" t="str">
        <x:f t="shared" si="17">IF(B207="","",IF(AND(P207="",N207&lt;&gt;"Lump Sum / Quote"),"RESOURCE CODE",IF(Y207=0,"RATE MISSING",IF(AND(O207="Plant",AD207="Yes",COUNTIFS($B$7:$B$306,B207,$O$7:$O$306,"Labour",$Q$7:$Q$306,"*Operator*")&gt;0),"OPERATOR DOUBLE-COUNT",IF(AND(O207="Plant",AE207="Yes",COUNTIFS($B$7:$B$306,B207,$Q$7:$Q$306,"*Fuel*")&gt;0),"FUEL DOUBLE-COUNT",IF(AH207&lt;&gt;"Yes","VERIFY","OK"))))))</x:f>
      </x:c>
      <x:c r="AJ207" s="54"/>
      <x:c r="AK207" s="473"/>
      <x:c r="AL207" s="473"/>
      <x:c r="AM207" s="473"/>
      <x:c r="AN207" s="500" t="n">
        <x:f>IF(AND(AK207="Yes",OR(O207="Labour",O207="Plant")),Z207,0)</x:f>
        <x:v>0</x:v>
      </x:c>
    </x:row>
    <x:row r="208">
      <x:c r="A208" s="80" t="str">
        <x:f>IF(B208="","",B208&amp;"-"&amp;TEXT(COUNTIF($B$7:B208,B208),"000"))</x:f>
      </x:c>
      <x:c r="B208" s="53"/>
      <x:c r="C208" s="81" t="str">
        <x:f>IFERROR(INDEX('QS Takeoff'!$A$3:$A$194,MATCH(B208,'QS Takeoff'!$B$3:$B$194,0)),"")</x:f>
      </x:c>
      <x:c r="D208" s="81" t="str">
        <x:f>IFERROR(INDEX('QS Takeoff'!$C$3:$C$194,MATCH(B208,'QS Takeoff'!$B$3:$B$194,0)),"")</x:f>
      </x:c>
      <x:c r="E208" s="81" t="str">
        <x:f>IFERROR(INDEX('QS Takeoff'!$E$3:$E$194,MATCH(B208,'QS Takeoff'!$B$3:$B$194,0)),"")</x:f>
      </x:c>
      <x:c r="F208" s="81" t="str">
        <x:f>IFERROR(INDEX('QS Takeoff'!$D$3:$D$194,MATCH(B208,'QS Takeoff'!$B$3:$B$194,0)),"")</x:f>
      </x:c>
      <x:c r="G208" s="81" t="str">
        <x:f>IFERROR(INDEX('QS Takeoff'!$J$3:$J$194,MATCH(B208,'QS Takeoff'!$B$3:$B$194,0)),"")</x:f>
      </x:c>
      <x:c r="H208" s="53"/>
      <x:c r="I208" s="60"/>
      <x:c r="J208" s="60"/>
      <x:c r="K208" s="82" t="str">
        <x:f t="shared" si="18">IF(OR(B208="",I208="",I208=0),"",E208/I208)</x:f>
      </x:c>
      <x:c r="L208" s="60"/>
      <x:c r="M208" s="82" t="str">
        <x:f t="shared" si="19">IF(L208&gt;0,L208,K208)</x:f>
      </x:c>
      <x:c r="N208" s="53"/>
      <x:c r="O208" s="53"/>
      <x:c r="P208" s="53"/>
      <x:c r="Q208" s="81" t="str">
        <x:f>IFERROR(INDEX('Resource Rate Library'!$C$5:$C$85,MATCH(P208,'Resource Rate Library'!$A$5:$A$85,0)),"")</x:f>
      </x:c>
      <x:c r="R208" s="53"/>
      <x:c r="S208" s="53"/>
      <x:c r="T208" s="81" t="str">
        <x:f>IFERROR(INDEX('Resource Rate Library'!$E$5:$E$85,MATCH(P208,'Resource Rate Library'!$A$5:$A$85,0)),"")</x:f>
      </x:c>
      <x:c r="U208" s="62"/>
      <x:c r="V208" s="62"/>
      <x:c r="W208" s="83" t="n">
        <x:f>IFERROR(INDEX('Resource Rate Library'!$I$5:$I$85,MATCH(P208,'Resource Rate Library'!$A$5:$A$85,0)),0)</x:f>
        <x:v>0</x:v>
      </x:c>
      <x:c r="X208" s="52"/>
      <x:c r="Y208" s="83" t="n">
        <x:f t="shared" si="20">IF(X208&gt;0,X208,W208)</x:f>
        <x:v>0</x:v>
      </x:c>
      <x:c r="Z208" s="83" t="str">
        <x:f t="shared" si="21">IF(B208="","",IF(N208="Time x Count",M208*R208*IF(U208="",1,U208)*Y208,IF(N208="QS Qty x Factor",E208*R208*(1+IF(V208="",0,V208))*Y208,IF(N208="Direct Qty",S208*(1+IF(V208="",0,V208))*Y208,IF(N208="Lump Sum / Quote",S208*Y208,0)))))</x:f>
      </x:c>
      <x:c r="AA208" s="81" t="str">
        <x:f>IFERROR(INDEX('Resource Rate Library'!$N$5:$N$85,MATCH(P208,'Resource Rate Library'!$A$5:$A$85,0)),"")</x:f>
      </x:c>
      <x:c r="AB208" s="53"/>
      <x:c r="AC208" s="59"/>
      <x:c r="AD208" s="81" t="str">
        <x:f>IFERROR(INDEX('Resource Rate Library'!$G$5:$G$85,MATCH(P208,'Resource Rate Library'!$A$5:$A$85,0)),"")</x:f>
      </x:c>
      <x:c r="AE208" s="81" t="str">
        <x:f>IFERROR(INDEX('Resource Rate Library'!$H$5:$H$85,MATCH(P208,'Resource Rate Library'!$A$5:$A$85,0)),"")</x:f>
      </x:c>
      <x:c r="AF208" s="53"/>
      <x:c r="AG208" s="53"/>
      <x:c r="AH208" s="53"/>
      <x:c r="AI208" s="81" t="str">
        <x:f t="shared" si="17">IF(B208="","",IF(AND(P208="",N208&lt;&gt;"Lump Sum / Quote"),"RESOURCE CODE",IF(Y208=0,"RATE MISSING",IF(AND(O208="Plant",AD208="Yes",COUNTIFS($B$7:$B$306,B208,$O$7:$O$306,"Labour",$Q$7:$Q$306,"*Operator*")&gt;0),"OPERATOR DOUBLE-COUNT",IF(AND(O208="Plant",AE208="Yes",COUNTIFS($B$7:$B$306,B208,$Q$7:$Q$306,"*Fuel*")&gt;0),"FUEL DOUBLE-COUNT",IF(AH208&lt;&gt;"Yes","VERIFY","OK"))))))</x:f>
      </x:c>
      <x:c r="AJ208" s="54"/>
      <x:c r="AK208" s="473"/>
      <x:c r="AL208" s="473"/>
      <x:c r="AM208" s="473"/>
      <x:c r="AN208" s="500" t="n">
        <x:f>IF(AND(AK208="Yes",OR(O208="Labour",O208="Plant")),Z208,0)</x:f>
        <x:v>0</x:v>
      </x:c>
    </x:row>
    <x:row r="209">
      <x:c r="A209" s="80" t="str">
        <x:f>IF(B209="","",B209&amp;"-"&amp;TEXT(COUNTIF($B$7:B209,B209),"000"))</x:f>
      </x:c>
      <x:c r="B209" s="53"/>
      <x:c r="C209" s="81" t="str">
        <x:f>IFERROR(INDEX('QS Takeoff'!$A$3:$A$194,MATCH(B209,'QS Takeoff'!$B$3:$B$194,0)),"")</x:f>
      </x:c>
      <x:c r="D209" s="81" t="str">
        <x:f>IFERROR(INDEX('QS Takeoff'!$C$3:$C$194,MATCH(B209,'QS Takeoff'!$B$3:$B$194,0)),"")</x:f>
      </x:c>
      <x:c r="E209" s="81" t="str">
        <x:f>IFERROR(INDEX('QS Takeoff'!$E$3:$E$194,MATCH(B209,'QS Takeoff'!$B$3:$B$194,0)),"")</x:f>
      </x:c>
      <x:c r="F209" s="81" t="str">
        <x:f>IFERROR(INDEX('QS Takeoff'!$D$3:$D$194,MATCH(B209,'QS Takeoff'!$B$3:$B$194,0)),"")</x:f>
      </x:c>
      <x:c r="G209" s="81" t="str">
        <x:f>IFERROR(INDEX('QS Takeoff'!$J$3:$J$194,MATCH(B209,'QS Takeoff'!$B$3:$B$194,0)),"")</x:f>
      </x:c>
      <x:c r="H209" s="53"/>
      <x:c r="I209" s="60"/>
      <x:c r="J209" s="60"/>
      <x:c r="K209" s="82" t="str">
        <x:f t="shared" si="18">IF(OR(B209="",I209="",I209=0),"",E209/I209)</x:f>
      </x:c>
      <x:c r="L209" s="60"/>
      <x:c r="M209" s="82" t="str">
        <x:f t="shared" si="19">IF(L209&gt;0,L209,K209)</x:f>
      </x:c>
      <x:c r="N209" s="53"/>
      <x:c r="O209" s="53"/>
      <x:c r="P209" s="53"/>
      <x:c r="Q209" s="81" t="str">
        <x:f>IFERROR(INDEX('Resource Rate Library'!$C$5:$C$85,MATCH(P209,'Resource Rate Library'!$A$5:$A$85,0)),"")</x:f>
      </x:c>
      <x:c r="R209" s="53"/>
      <x:c r="S209" s="53"/>
      <x:c r="T209" s="81" t="str">
        <x:f>IFERROR(INDEX('Resource Rate Library'!$E$5:$E$85,MATCH(P209,'Resource Rate Library'!$A$5:$A$85,0)),"")</x:f>
      </x:c>
      <x:c r="U209" s="62"/>
      <x:c r="V209" s="62"/>
      <x:c r="W209" s="83" t="n">
        <x:f>IFERROR(INDEX('Resource Rate Library'!$I$5:$I$85,MATCH(P209,'Resource Rate Library'!$A$5:$A$85,0)),0)</x:f>
        <x:v>0</x:v>
      </x:c>
      <x:c r="X209" s="52"/>
      <x:c r="Y209" s="83" t="n">
        <x:f t="shared" si="20">IF(X209&gt;0,X209,W209)</x:f>
        <x:v>0</x:v>
      </x:c>
      <x:c r="Z209" s="83" t="str">
        <x:f t="shared" si="21">IF(B209="","",IF(N209="Time x Count",M209*R209*IF(U209="",1,U209)*Y209,IF(N209="QS Qty x Factor",E209*R209*(1+IF(V209="",0,V209))*Y209,IF(N209="Direct Qty",S209*(1+IF(V209="",0,V209))*Y209,IF(N209="Lump Sum / Quote",S209*Y209,0)))))</x:f>
      </x:c>
      <x:c r="AA209" s="81" t="str">
        <x:f>IFERROR(INDEX('Resource Rate Library'!$N$5:$N$85,MATCH(P209,'Resource Rate Library'!$A$5:$A$85,0)),"")</x:f>
      </x:c>
      <x:c r="AB209" s="53"/>
      <x:c r="AC209" s="59"/>
      <x:c r="AD209" s="81" t="str">
        <x:f>IFERROR(INDEX('Resource Rate Library'!$G$5:$G$85,MATCH(P209,'Resource Rate Library'!$A$5:$A$85,0)),"")</x:f>
      </x:c>
      <x:c r="AE209" s="81" t="str">
        <x:f>IFERROR(INDEX('Resource Rate Library'!$H$5:$H$85,MATCH(P209,'Resource Rate Library'!$A$5:$A$85,0)),"")</x:f>
      </x:c>
      <x:c r="AF209" s="53"/>
      <x:c r="AG209" s="53"/>
      <x:c r="AH209" s="53"/>
      <x:c r="AI209" s="81" t="str">
        <x:f t="shared" si="17">IF(B209="","",IF(AND(P209="",N209&lt;&gt;"Lump Sum / Quote"),"RESOURCE CODE",IF(Y209=0,"RATE MISSING",IF(AND(O209="Plant",AD209="Yes",COUNTIFS($B$7:$B$306,B209,$O$7:$O$306,"Labour",$Q$7:$Q$306,"*Operator*")&gt;0),"OPERATOR DOUBLE-COUNT",IF(AND(O209="Plant",AE209="Yes",COUNTIFS($B$7:$B$306,B209,$Q$7:$Q$306,"*Fuel*")&gt;0),"FUEL DOUBLE-COUNT",IF(AH209&lt;&gt;"Yes","VERIFY","OK"))))))</x:f>
      </x:c>
      <x:c r="AJ209" s="54"/>
      <x:c r="AK209" s="473"/>
      <x:c r="AL209" s="473"/>
      <x:c r="AM209" s="473"/>
      <x:c r="AN209" s="500" t="n">
        <x:f>IF(AND(AK209="Yes",OR(O209="Labour",O209="Plant")),Z209,0)</x:f>
        <x:v>0</x:v>
      </x:c>
    </x:row>
    <x:row r="210">
      <x:c r="A210" s="80" t="str">
        <x:f>IF(B210="","",B210&amp;"-"&amp;TEXT(COUNTIF($B$7:B210,B210),"000"))</x:f>
      </x:c>
      <x:c r="B210" s="53"/>
      <x:c r="C210" s="81" t="str">
        <x:f>IFERROR(INDEX('QS Takeoff'!$A$3:$A$194,MATCH(B210,'QS Takeoff'!$B$3:$B$194,0)),"")</x:f>
      </x:c>
      <x:c r="D210" s="81" t="str">
        <x:f>IFERROR(INDEX('QS Takeoff'!$C$3:$C$194,MATCH(B210,'QS Takeoff'!$B$3:$B$194,0)),"")</x:f>
      </x:c>
      <x:c r="E210" s="81" t="str">
        <x:f>IFERROR(INDEX('QS Takeoff'!$E$3:$E$194,MATCH(B210,'QS Takeoff'!$B$3:$B$194,0)),"")</x:f>
      </x:c>
      <x:c r="F210" s="81" t="str">
        <x:f>IFERROR(INDEX('QS Takeoff'!$D$3:$D$194,MATCH(B210,'QS Takeoff'!$B$3:$B$194,0)),"")</x:f>
      </x:c>
      <x:c r="G210" s="81" t="str">
        <x:f>IFERROR(INDEX('QS Takeoff'!$J$3:$J$194,MATCH(B210,'QS Takeoff'!$B$3:$B$194,0)),"")</x:f>
      </x:c>
      <x:c r="H210" s="53"/>
      <x:c r="I210" s="60"/>
      <x:c r="J210" s="60"/>
      <x:c r="K210" s="82" t="str">
        <x:f t="shared" si="18">IF(OR(B210="",I210="",I210=0),"",E210/I210)</x:f>
      </x:c>
      <x:c r="L210" s="60"/>
      <x:c r="M210" s="82" t="str">
        <x:f t="shared" si="19">IF(L210&gt;0,L210,K210)</x:f>
      </x:c>
      <x:c r="N210" s="53"/>
      <x:c r="O210" s="53"/>
      <x:c r="P210" s="53"/>
      <x:c r="Q210" s="81" t="str">
        <x:f>IFERROR(INDEX('Resource Rate Library'!$C$5:$C$85,MATCH(P210,'Resource Rate Library'!$A$5:$A$85,0)),"")</x:f>
      </x:c>
      <x:c r="R210" s="53"/>
      <x:c r="S210" s="53"/>
      <x:c r="T210" s="81" t="str">
        <x:f>IFERROR(INDEX('Resource Rate Library'!$E$5:$E$85,MATCH(P210,'Resource Rate Library'!$A$5:$A$85,0)),"")</x:f>
      </x:c>
      <x:c r="U210" s="62"/>
      <x:c r="V210" s="62"/>
      <x:c r="W210" s="83" t="n">
        <x:f>IFERROR(INDEX('Resource Rate Library'!$I$5:$I$85,MATCH(P210,'Resource Rate Library'!$A$5:$A$85,0)),0)</x:f>
        <x:v>0</x:v>
      </x:c>
      <x:c r="X210" s="52"/>
      <x:c r="Y210" s="83" t="n">
        <x:f t="shared" si="20">IF(X210&gt;0,X210,W210)</x:f>
        <x:v>0</x:v>
      </x:c>
      <x:c r="Z210" s="83" t="str">
        <x:f t="shared" si="21">IF(B210="","",IF(N210="Time x Count",M210*R210*IF(U210="",1,U210)*Y210,IF(N210="QS Qty x Factor",E210*R210*(1+IF(V210="",0,V210))*Y210,IF(N210="Direct Qty",S210*(1+IF(V210="",0,V210))*Y210,IF(N210="Lump Sum / Quote",S210*Y210,0)))))</x:f>
      </x:c>
      <x:c r="AA210" s="81" t="str">
        <x:f>IFERROR(INDEX('Resource Rate Library'!$N$5:$N$85,MATCH(P210,'Resource Rate Library'!$A$5:$A$85,0)),"")</x:f>
      </x:c>
      <x:c r="AB210" s="53"/>
      <x:c r="AC210" s="59"/>
      <x:c r="AD210" s="81" t="str">
        <x:f>IFERROR(INDEX('Resource Rate Library'!$G$5:$G$85,MATCH(P210,'Resource Rate Library'!$A$5:$A$85,0)),"")</x:f>
      </x:c>
      <x:c r="AE210" s="81" t="str">
        <x:f>IFERROR(INDEX('Resource Rate Library'!$H$5:$H$85,MATCH(P210,'Resource Rate Library'!$A$5:$A$85,0)),"")</x:f>
      </x:c>
      <x:c r="AF210" s="53"/>
      <x:c r="AG210" s="53"/>
      <x:c r="AH210" s="53"/>
      <x:c r="AI210" s="81" t="str">
        <x:f t="shared" si="17">IF(B210="","",IF(AND(P210="",N210&lt;&gt;"Lump Sum / Quote"),"RESOURCE CODE",IF(Y210=0,"RATE MISSING",IF(AND(O210="Plant",AD210="Yes",COUNTIFS($B$7:$B$306,B210,$O$7:$O$306,"Labour",$Q$7:$Q$306,"*Operator*")&gt;0),"OPERATOR DOUBLE-COUNT",IF(AND(O210="Plant",AE210="Yes",COUNTIFS($B$7:$B$306,B210,$Q$7:$Q$306,"*Fuel*")&gt;0),"FUEL DOUBLE-COUNT",IF(AH210&lt;&gt;"Yes","VERIFY","OK"))))))</x:f>
      </x:c>
      <x:c r="AJ210" s="54"/>
      <x:c r="AK210" s="473"/>
      <x:c r="AL210" s="473"/>
      <x:c r="AM210" s="473"/>
      <x:c r="AN210" s="500" t="n">
        <x:f>IF(AND(AK210="Yes",OR(O210="Labour",O210="Plant")),Z210,0)</x:f>
        <x:v>0</x:v>
      </x:c>
    </x:row>
    <x:row r="211">
      <x:c r="A211" s="80" t="str">
        <x:f>IF(B211="","",B211&amp;"-"&amp;TEXT(COUNTIF($B$7:B211,B211),"000"))</x:f>
      </x:c>
      <x:c r="B211" s="53"/>
      <x:c r="C211" s="81" t="str">
        <x:f>IFERROR(INDEX('QS Takeoff'!$A$3:$A$194,MATCH(B211,'QS Takeoff'!$B$3:$B$194,0)),"")</x:f>
      </x:c>
      <x:c r="D211" s="81" t="str">
        <x:f>IFERROR(INDEX('QS Takeoff'!$C$3:$C$194,MATCH(B211,'QS Takeoff'!$B$3:$B$194,0)),"")</x:f>
      </x:c>
      <x:c r="E211" s="81" t="str">
        <x:f>IFERROR(INDEX('QS Takeoff'!$E$3:$E$194,MATCH(B211,'QS Takeoff'!$B$3:$B$194,0)),"")</x:f>
      </x:c>
      <x:c r="F211" s="81" t="str">
        <x:f>IFERROR(INDEX('QS Takeoff'!$D$3:$D$194,MATCH(B211,'QS Takeoff'!$B$3:$B$194,0)),"")</x:f>
      </x:c>
      <x:c r="G211" s="81" t="str">
        <x:f>IFERROR(INDEX('QS Takeoff'!$J$3:$J$194,MATCH(B211,'QS Takeoff'!$B$3:$B$194,0)),"")</x:f>
      </x:c>
      <x:c r="H211" s="53"/>
      <x:c r="I211" s="60"/>
      <x:c r="J211" s="60"/>
      <x:c r="K211" s="82" t="str">
        <x:f t="shared" si="18">IF(OR(B211="",I211="",I211=0),"",E211/I211)</x:f>
      </x:c>
      <x:c r="L211" s="60"/>
      <x:c r="M211" s="82" t="str">
        <x:f t="shared" si="19">IF(L211&gt;0,L211,K211)</x:f>
      </x:c>
      <x:c r="N211" s="53"/>
      <x:c r="O211" s="53"/>
      <x:c r="P211" s="53"/>
      <x:c r="Q211" s="81" t="str">
        <x:f>IFERROR(INDEX('Resource Rate Library'!$C$5:$C$85,MATCH(P211,'Resource Rate Library'!$A$5:$A$85,0)),"")</x:f>
      </x:c>
      <x:c r="R211" s="53"/>
      <x:c r="S211" s="53"/>
      <x:c r="T211" s="81" t="str">
        <x:f>IFERROR(INDEX('Resource Rate Library'!$E$5:$E$85,MATCH(P211,'Resource Rate Library'!$A$5:$A$85,0)),"")</x:f>
      </x:c>
      <x:c r="U211" s="62"/>
      <x:c r="V211" s="62"/>
      <x:c r="W211" s="83" t="n">
        <x:f>IFERROR(INDEX('Resource Rate Library'!$I$5:$I$85,MATCH(P211,'Resource Rate Library'!$A$5:$A$85,0)),0)</x:f>
        <x:v>0</x:v>
      </x:c>
      <x:c r="X211" s="52"/>
      <x:c r="Y211" s="83" t="n">
        <x:f t="shared" si="20">IF(X211&gt;0,X211,W211)</x:f>
        <x:v>0</x:v>
      </x:c>
      <x:c r="Z211" s="83" t="str">
        <x:f t="shared" si="21">IF(B211="","",IF(N211="Time x Count",M211*R211*IF(U211="",1,U211)*Y211,IF(N211="QS Qty x Factor",E211*R211*(1+IF(V211="",0,V211))*Y211,IF(N211="Direct Qty",S211*(1+IF(V211="",0,V211))*Y211,IF(N211="Lump Sum / Quote",S211*Y211,0)))))</x:f>
      </x:c>
      <x:c r="AA211" s="81" t="str">
        <x:f>IFERROR(INDEX('Resource Rate Library'!$N$5:$N$85,MATCH(P211,'Resource Rate Library'!$A$5:$A$85,0)),"")</x:f>
      </x:c>
      <x:c r="AB211" s="53"/>
      <x:c r="AC211" s="59"/>
      <x:c r="AD211" s="81" t="str">
        <x:f>IFERROR(INDEX('Resource Rate Library'!$G$5:$G$85,MATCH(P211,'Resource Rate Library'!$A$5:$A$85,0)),"")</x:f>
      </x:c>
      <x:c r="AE211" s="81" t="str">
        <x:f>IFERROR(INDEX('Resource Rate Library'!$H$5:$H$85,MATCH(P211,'Resource Rate Library'!$A$5:$A$85,0)),"")</x:f>
      </x:c>
      <x:c r="AF211" s="53"/>
      <x:c r="AG211" s="53"/>
      <x:c r="AH211" s="53"/>
      <x:c r="AI211" s="81" t="str">
        <x:f t="shared" si="17">IF(B211="","",IF(AND(P211="",N211&lt;&gt;"Lump Sum / Quote"),"RESOURCE CODE",IF(Y211=0,"RATE MISSING",IF(AND(O211="Plant",AD211="Yes",COUNTIFS($B$7:$B$306,B211,$O$7:$O$306,"Labour",$Q$7:$Q$306,"*Operator*")&gt;0),"OPERATOR DOUBLE-COUNT",IF(AND(O211="Plant",AE211="Yes",COUNTIFS($B$7:$B$306,B211,$Q$7:$Q$306,"*Fuel*")&gt;0),"FUEL DOUBLE-COUNT",IF(AH211&lt;&gt;"Yes","VERIFY","OK"))))))</x:f>
      </x:c>
      <x:c r="AJ211" s="54"/>
      <x:c r="AK211" s="473"/>
      <x:c r="AL211" s="473"/>
      <x:c r="AM211" s="473"/>
      <x:c r="AN211" s="500" t="n">
        <x:f>IF(AND(AK211="Yes",OR(O211="Labour",O211="Plant")),Z211,0)</x:f>
        <x:v>0</x:v>
      </x:c>
    </x:row>
    <x:row r="212">
      <x:c r="A212" s="80" t="str">
        <x:f>IF(B212="","",B212&amp;"-"&amp;TEXT(COUNTIF($B$7:B212,B212),"000"))</x:f>
      </x:c>
      <x:c r="B212" s="53"/>
      <x:c r="C212" s="81" t="str">
        <x:f>IFERROR(INDEX('QS Takeoff'!$A$3:$A$194,MATCH(B212,'QS Takeoff'!$B$3:$B$194,0)),"")</x:f>
      </x:c>
      <x:c r="D212" s="81" t="str">
        <x:f>IFERROR(INDEX('QS Takeoff'!$C$3:$C$194,MATCH(B212,'QS Takeoff'!$B$3:$B$194,0)),"")</x:f>
      </x:c>
      <x:c r="E212" s="81" t="str">
        <x:f>IFERROR(INDEX('QS Takeoff'!$E$3:$E$194,MATCH(B212,'QS Takeoff'!$B$3:$B$194,0)),"")</x:f>
      </x:c>
      <x:c r="F212" s="81" t="str">
        <x:f>IFERROR(INDEX('QS Takeoff'!$D$3:$D$194,MATCH(B212,'QS Takeoff'!$B$3:$B$194,0)),"")</x:f>
      </x:c>
      <x:c r="G212" s="81" t="str">
        <x:f>IFERROR(INDEX('QS Takeoff'!$J$3:$J$194,MATCH(B212,'QS Takeoff'!$B$3:$B$194,0)),"")</x:f>
      </x:c>
      <x:c r="H212" s="53"/>
      <x:c r="I212" s="60"/>
      <x:c r="J212" s="60"/>
      <x:c r="K212" s="82" t="str">
        <x:f t="shared" si="18">IF(OR(B212="",I212="",I212=0),"",E212/I212)</x:f>
      </x:c>
      <x:c r="L212" s="60"/>
      <x:c r="M212" s="82" t="str">
        <x:f t="shared" si="19">IF(L212&gt;0,L212,K212)</x:f>
      </x:c>
      <x:c r="N212" s="53"/>
      <x:c r="O212" s="53"/>
      <x:c r="P212" s="53"/>
      <x:c r="Q212" s="81" t="str">
        <x:f>IFERROR(INDEX('Resource Rate Library'!$C$5:$C$85,MATCH(P212,'Resource Rate Library'!$A$5:$A$85,0)),"")</x:f>
      </x:c>
      <x:c r="R212" s="53"/>
      <x:c r="S212" s="53"/>
      <x:c r="T212" s="81" t="str">
        <x:f>IFERROR(INDEX('Resource Rate Library'!$E$5:$E$85,MATCH(P212,'Resource Rate Library'!$A$5:$A$85,0)),"")</x:f>
      </x:c>
      <x:c r="U212" s="62"/>
      <x:c r="V212" s="62"/>
      <x:c r="W212" s="83" t="n">
        <x:f>IFERROR(INDEX('Resource Rate Library'!$I$5:$I$85,MATCH(P212,'Resource Rate Library'!$A$5:$A$85,0)),0)</x:f>
        <x:v>0</x:v>
      </x:c>
      <x:c r="X212" s="52"/>
      <x:c r="Y212" s="83" t="n">
        <x:f t="shared" si="20">IF(X212&gt;0,X212,W212)</x:f>
        <x:v>0</x:v>
      </x:c>
      <x:c r="Z212" s="83" t="str">
        <x:f t="shared" si="21">IF(B212="","",IF(N212="Time x Count",M212*R212*IF(U212="",1,U212)*Y212,IF(N212="QS Qty x Factor",E212*R212*(1+IF(V212="",0,V212))*Y212,IF(N212="Direct Qty",S212*(1+IF(V212="",0,V212))*Y212,IF(N212="Lump Sum / Quote",S212*Y212,0)))))</x:f>
      </x:c>
      <x:c r="AA212" s="81" t="str">
        <x:f>IFERROR(INDEX('Resource Rate Library'!$N$5:$N$85,MATCH(P212,'Resource Rate Library'!$A$5:$A$85,0)),"")</x:f>
      </x:c>
      <x:c r="AB212" s="53"/>
      <x:c r="AC212" s="59"/>
      <x:c r="AD212" s="81" t="str">
        <x:f>IFERROR(INDEX('Resource Rate Library'!$G$5:$G$85,MATCH(P212,'Resource Rate Library'!$A$5:$A$85,0)),"")</x:f>
      </x:c>
      <x:c r="AE212" s="81" t="str">
        <x:f>IFERROR(INDEX('Resource Rate Library'!$H$5:$H$85,MATCH(P212,'Resource Rate Library'!$A$5:$A$85,0)),"")</x:f>
      </x:c>
      <x:c r="AF212" s="53"/>
      <x:c r="AG212" s="53"/>
      <x:c r="AH212" s="53"/>
      <x:c r="AI212" s="81" t="str">
        <x:f t="shared" si="17">IF(B212="","",IF(AND(P212="",N212&lt;&gt;"Lump Sum / Quote"),"RESOURCE CODE",IF(Y212=0,"RATE MISSING",IF(AND(O212="Plant",AD212="Yes",COUNTIFS($B$7:$B$306,B212,$O$7:$O$306,"Labour",$Q$7:$Q$306,"*Operator*")&gt;0),"OPERATOR DOUBLE-COUNT",IF(AND(O212="Plant",AE212="Yes",COUNTIFS($B$7:$B$306,B212,$Q$7:$Q$306,"*Fuel*")&gt;0),"FUEL DOUBLE-COUNT",IF(AH212&lt;&gt;"Yes","VERIFY","OK"))))))</x:f>
      </x:c>
      <x:c r="AJ212" s="54"/>
      <x:c r="AK212" s="473"/>
      <x:c r="AL212" s="473"/>
      <x:c r="AM212" s="473"/>
      <x:c r="AN212" s="500" t="n">
        <x:f>IF(AND(AK212="Yes",OR(O212="Labour",O212="Plant")),Z212,0)</x:f>
        <x:v>0</x:v>
      </x:c>
    </x:row>
    <x:row r="213">
      <x:c r="A213" s="80" t="str">
        <x:f>IF(B213="","",B213&amp;"-"&amp;TEXT(COUNTIF($B$7:B213,B213),"000"))</x:f>
      </x:c>
      <x:c r="B213" s="53"/>
      <x:c r="C213" s="81" t="str">
        <x:f>IFERROR(INDEX('QS Takeoff'!$A$3:$A$194,MATCH(B213,'QS Takeoff'!$B$3:$B$194,0)),"")</x:f>
      </x:c>
      <x:c r="D213" s="81" t="str">
        <x:f>IFERROR(INDEX('QS Takeoff'!$C$3:$C$194,MATCH(B213,'QS Takeoff'!$B$3:$B$194,0)),"")</x:f>
      </x:c>
      <x:c r="E213" s="81" t="str">
        <x:f>IFERROR(INDEX('QS Takeoff'!$E$3:$E$194,MATCH(B213,'QS Takeoff'!$B$3:$B$194,0)),"")</x:f>
      </x:c>
      <x:c r="F213" s="81" t="str">
        <x:f>IFERROR(INDEX('QS Takeoff'!$D$3:$D$194,MATCH(B213,'QS Takeoff'!$B$3:$B$194,0)),"")</x:f>
      </x:c>
      <x:c r="G213" s="81" t="str">
        <x:f>IFERROR(INDEX('QS Takeoff'!$J$3:$J$194,MATCH(B213,'QS Takeoff'!$B$3:$B$194,0)),"")</x:f>
      </x:c>
      <x:c r="H213" s="53"/>
      <x:c r="I213" s="60"/>
      <x:c r="J213" s="60"/>
      <x:c r="K213" s="82" t="str">
        <x:f t="shared" si="18">IF(OR(B213="",I213="",I213=0),"",E213/I213)</x:f>
      </x:c>
      <x:c r="L213" s="60"/>
      <x:c r="M213" s="82" t="str">
        <x:f t="shared" si="19">IF(L213&gt;0,L213,K213)</x:f>
      </x:c>
      <x:c r="N213" s="53"/>
      <x:c r="O213" s="53"/>
      <x:c r="P213" s="53"/>
      <x:c r="Q213" s="81" t="str">
        <x:f>IFERROR(INDEX('Resource Rate Library'!$C$5:$C$85,MATCH(P213,'Resource Rate Library'!$A$5:$A$85,0)),"")</x:f>
      </x:c>
      <x:c r="R213" s="53"/>
      <x:c r="S213" s="53"/>
      <x:c r="T213" s="81" t="str">
        <x:f>IFERROR(INDEX('Resource Rate Library'!$E$5:$E$85,MATCH(P213,'Resource Rate Library'!$A$5:$A$85,0)),"")</x:f>
      </x:c>
      <x:c r="U213" s="62"/>
      <x:c r="V213" s="62"/>
      <x:c r="W213" s="83" t="n">
        <x:f>IFERROR(INDEX('Resource Rate Library'!$I$5:$I$85,MATCH(P213,'Resource Rate Library'!$A$5:$A$85,0)),0)</x:f>
        <x:v>0</x:v>
      </x:c>
      <x:c r="X213" s="52"/>
      <x:c r="Y213" s="83" t="n">
        <x:f t="shared" si="20">IF(X213&gt;0,X213,W213)</x:f>
        <x:v>0</x:v>
      </x:c>
      <x:c r="Z213" s="83" t="str">
        <x:f t="shared" si="21">IF(B213="","",IF(N213="Time x Count",M213*R213*IF(U213="",1,U213)*Y213,IF(N213="QS Qty x Factor",E213*R213*(1+IF(V213="",0,V213))*Y213,IF(N213="Direct Qty",S213*(1+IF(V213="",0,V213))*Y213,IF(N213="Lump Sum / Quote",S213*Y213,0)))))</x:f>
      </x:c>
      <x:c r="AA213" s="81" t="str">
        <x:f>IFERROR(INDEX('Resource Rate Library'!$N$5:$N$85,MATCH(P213,'Resource Rate Library'!$A$5:$A$85,0)),"")</x:f>
      </x:c>
      <x:c r="AB213" s="53"/>
      <x:c r="AC213" s="59"/>
      <x:c r="AD213" s="81" t="str">
        <x:f>IFERROR(INDEX('Resource Rate Library'!$G$5:$G$85,MATCH(P213,'Resource Rate Library'!$A$5:$A$85,0)),"")</x:f>
      </x:c>
      <x:c r="AE213" s="81" t="str">
        <x:f>IFERROR(INDEX('Resource Rate Library'!$H$5:$H$85,MATCH(P213,'Resource Rate Library'!$A$5:$A$85,0)),"")</x:f>
      </x:c>
      <x:c r="AF213" s="53"/>
      <x:c r="AG213" s="53"/>
      <x:c r="AH213" s="53"/>
      <x:c r="AI213" s="81" t="str">
        <x:f t="shared" si="17">IF(B213="","",IF(AND(P213="",N213&lt;&gt;"Lump Sum / Quote"),"RESOURCE CODE",IF(Y213=0,"RATE MISSING",IF(AND(O213="Plant",AD213="Yes",COUNTIFS($B$7:$B$306,B213,$O$7:$O$306,"Labour",$Q$7:$Q$306,"*Operator*")&gt;0),"OPERATOR DOUBLE-COUNT",IF(AND(O213="Plant",AE213="Yes",COUNTIFS($B$7:$B$306,B213,$Q$7:$Q$306,"*Fuel*")&gt;0),"FUEL DOUBLE-COUNT",IF(AH213&lt;&gt;"Yes","VERIFY","OK"))))))</x:f>
      </x:c>
      <x:c r="AJ213" s="54"/>
      <x:c r="AK213" s="473"/>
      <x:c r="AL213" s="473"/>
      <x:c r="AM213" s="473"/>
      <x:c r="AN213" s="500" t="n">
        <x:f>IF(AND(AK213="Yes",OR(O213="Labour",O213="Plant")),Z213,0)</x:f>
        <x:v>0</x:v>
      </x:c>
    </x:row>
    <x:row r="214">
      <x:c r="A214" s="80" t="str">
        <x:f>IF(B214="","",B214&amp;"-"&amp;TEXT(COUNTIF($B$7:B214,B214),"000"))</x:f>
      </x:c>
      <x:c r="B214" s="53"/>
      <x:c r="C214" s="81" t="str">
        <x:f>IFERROR(INDEX('QS Takeoff'!$A$3:$A$194,MATCH(B214,'QS Takeoff'!$B$3:$B$194,0)),"")</x:f>
      </x:c>
      <x:c r="D214" s="81" t="str">
        <x:f>IFERROR(INDEX('QS Takeoff'!$C$3:$C$194,MATCH(B214,'QS Takeoff'!$B$3:$B$194,0)),"")</x:f>
      </x:c>
      <x:c r="E214" s="81" t="str">
        <x:f>IFERROR(INDEX('QS Takeoff'!$E$3:$E$194,MATCH(B214,'QS Takeoff'!$B$3:$B$194,0)),"")</x:f>
      </x:c>
      <x:c r="F214" s="81" t="str">
        <x:f>IFERROR(INDEX('QS Takeoff'!$D$3:$D$194,MATCH(B214,'QS Takeoff'!$B$3:$B$194,0)),"")</x:f>
      </x:c>
      <x:c r="G214" s="81" t="str">
        <x:f>IFERROR(INDEX('QS Takeoff'!$J$3:$J$194,MATCH(B214,'QS Takeoff'!$B$3:$B$194,0)),"")</x:f>
      </x:c>
      <x:c r="H214" s="53"/>
      <x:c r="I214" s="60"/>
      <x:c r="J214" s="60"/>
      <x:c r="K214" s="82" t="str">
        <x:f t="shared" si="18">IF(OR(B214="",I214="",I214=0),"",E214/I214)</x:f>
      </x:c>
      <x:c r="L214" s="60"/>
      <x:c r="M214" s="82" t="str">
        <x:f t="shared" si="19">IF(L214&gt;0,L214,K214)</x:f>
      </x:c>
      <x:c r="N214" s="53"/>
      <x:c r="O214" s="53"/>
      <x:c r="P214" s="53"/>
      <x:c r="Q214" s="81" t="str">
        <x:f>IFERROR(INDEX('Resource Rate Library'!$C$5:$C$85,MATCH(P214,'Resource Rate Library'!$A$5:$A$85,0)),"")</x:f>
      </x:c>
      <x:c r="R214" s="53"/>
      <x:c r="S214" s="53"/>
      <x:c r="T214" s="81" t="str">
        <x:f>IFERROR(INDEX('Resource Rate Library'!$E$5:$E$85,MATCH(P214,'Resource Rate Library'!$A$5:$A$85,0)),"")</x:f>
      </x:c>
      <x:c r="U214" s="62"/>
      <x:c r="V214" s="62"/>
      <x:c r="W214" s="83" t="n">
        <x:f>IFERROR(INDEX('Resource Rate Library'!$I$5:$I$85,MATCH(P214,'Resource Rate Library'!$A$5:$A$85,0)),0)</x:f>
        <x:v>0</x:v>
      </x:c>
      <x:c r="X214" s="52"/>
      <x:c r="Y214" s="83" t="n">
        <x:f t="shared" si="20">IF(X214&gt;0,X214,W214)</x:f>
        <x:v>0</x:v>
      </x:c>
      <x:c r="Z214" s="83" t="str">
        <x:f t="shared" si="21">IF(B214="","",IF(N214="Time x Count",M214*R214*IF(U214="",1,U214)*Y214,IF(N214="QS Qty x Factor",E214*R214*(1+IF(V214="",0,V214))*Y214,IF(N214="Direct Qty",S214*(1+IF(V214="",0,V214))*Y214,IF(N214="Lump Sum / Quote",S214*Y214,0)))))</x:f>
      </x:c>
      <x:c r="AA214" s="81" t="str">
        <x:f>IFERROR(INDEX('Resource Rate Library'!$N$5:$N$85,MATCH(P214,'Resource Rate Library'!$A$5:$A$85,0)),"")</x:f>
      </x:c>
      <x:c r="AB214" s="53"/>
      <x:c r="AC214" s="59"/>
      <x:c r="AD214" s="81" t="str">
        <x:f>IFERROR(INDEX('Resource Rate Library'!$G$5:$G$85,MATCH(P214,'Resource Rate Library'!$A$5:$A$85,0)),"")</x:f>
      </x:c>
      <x:c r="AE214" s="81" t="str">
        <x:f>IFERROR(INDEX('Resource Rate Library'!$H$5:$H$85,MATCH(P214,'Resource Rate Library'!$A$5:$A$85,0)),"")</x:f>
      </x:c>
      <x:c r="AF214" s="53"/>
      <x:c r="AG214" s="53"/>
      <x:c r="AH214" s="53"/>
      <x:c r="AI214" s="81" t="str">
        <x:f t="shared" si="17">IF(B214="","",IF(AND(P214="",N214&lt;&gt;"Lump Sum / Quote"),"RESOURCE CODE",IF(Y214=0,"RATE MISSING",IF(AND(O214="Plant",AD214="Yes",COUNTIFS($B$7:$B$306,B214,$O$7:$O$306,"Labour",$Q$7:$Q$306,"*Operator*")&gt;0),"OPERATOR DOUBLE-COUNT",IF(AND(O214="Plant",AE214="Yes",COUNTIFS($B$7:$B$306,B214,$Q$7:$Q$306,"*Fuel*")&gt;0),"FUEL DOUBLE-COUNT",IF(AH214&lt;&gt;"Yes","VERIFY","OK"))))))</x:f>
      </x:c>
      <x:c r="AJ214" s="54"/>
      <x:c r="AK214" s="473"/>
      <x:c r="AL214" s="473"/>
      <x:c r="AM214" s="473"/>
      <x:c r="AN214" s="500" t="n">
        <x:f>IF(AND(AK214="Yes",OR(O214="Labour",O214="Plant")),Z214,0)</x:f>
        <x:v>0</x:v>
      </x:c>
    </x:row>
    <x:row r="215">
      <x:c r="A215" s="80" t="str">
        <x:f>IF(B215="","",B215&amp;"-"&amp;TEXT(COUNTIF($B$7:B215,B215),"000"))</x:f>
      </x:c>
      <x:c r="B215" s="53"/>
      <x:c r="C215" s="81" t="str">
        <x:f>IFERROR(INDEX('QS Takeoff'!$A$3:$A$194,MATCH(B215,'QS Takeoff'!$B$3:$B$194,0)),"")</x:f>
      </x:c>
      <x:c r="D215" s="81" t="str">
        <x:f>IFERROR(INDEX('QS Takeoff'!$C$3:$C$194,MATCH(B215,'QS Takeoff'!$B$3:$B$194,0)),"")</x:f>
      </x:c>
      <x:c r="E215" s="81" t="str">
        <x:f>IFERROR(INDEX('QS Takeoff'!$E$3:$E$194,MATCH(B215,'QS Takeoff'!$B$3:$B$194,0)),"")</x:f>
      </x:c>
      <x:c r="F215" s="81" t="str">
        <x:f>IFERROR(INDEX('QS Takeoff'!$D$3:$D$194,MATCH(B215,'QS Takeoff'!$B$3:$B$194,0)),"")</x:f>
      </x:c>
      <x:c r="G215" s="81" t="str">
        <x:f>IFERROR(INDEX('QS Takeoff'!$J$3:$J$194,MATCH(B215,'QS Takeoff'!$B$3:$B$194,0)),"")</x:f>
      </x:c>
      <x:c r="H215" s="53"/>
      <x:c r="I215" s="60"/>
      <x:c r="J215" s="60"/>
      <x:c r="K215" s="82" t="str">
        <x:f t="shared" si="18">IF(OR(B215="",I215="",I215=0),"",E215/I215)</x:f>
      </x:c>
      <x:c r="L215" s="60"/>
      <x:c r="M215" s="82" t="str">
        <x:f t="shared" si="19">IF(L215&gt;0,L215,K215)</x:f>
      </x:c>
      <x:c r="N215" s="53"/>
      <x:c r="O215" s="53"/>
      <x:c r="P215" s="53"/>
      <x:c r="Q215" s="81" t="str">
        <x:f>IFERROR(INDEX('Resource Rate Library'!$C$5:$C$85,MATCH(P215,'Resource Rate Library'!$A$5:$A$85,0)),"")</x:f>
      </x:c>
      <x:c r="R215" s="53"/>
      <x:c r="S215" s="53"/>
      <x:c r="T215" s="81" t="str">
        <x:f>IFERROR(INDEX('Resource Rate Library'!$E$5:$E$85,MATCH(P215,'Resource Rate Library'!$A$5:$A$85,0)),"")</x:f>
      </x:c>
      <x:c r="U215" s="62"/>
      <x:c r="V215" s="62"/>
      <x:c r="W215" s="83" t="n">
        <x:f>IFERROR(INDEX('Resource Rate Library'!$I$5:$I$85,MATCH(P215,'Resource Rate Library'!$A$5:$A$85,0)),0)</x:f>
        <x:v>0</x:v>
      </x:c>
      <x:c r="X215" s="52"/>
      <x:c r="Y215" s="83" t="n">
        <x:f t="shared" si="20">IF(X215&gt;0,X215,W215)</x:f>
        <x:v>0</x:v>
      </x:c>
      <x:c r="Z215" s="83" t="str">
        <x:f t="shared" si="21">IF(B215="","",IF(N215="Time x Count",M215*R215*IF(U215="",1,U215)*Y215,IF(N215="QS Qty x Factor",E215*R215*(1+IF(V215="",0,V215))*Y215,IF(N215="Direct Qty",S215*(1+IF(V215="",0,V215))*Y215,IF(N215="Lump Sum / Quote",S215*Y215,0)))))</x:f>
      </x:c>
      <x:c r="AA215" s="81" t="str">
        <x:f>IFERROR(INDEX('Resource Rate Library'!$N$5:$N$85,MATCH(P215,'Resource Rate Library'!$A$5:$A$85,0)),"")</x:f>
      </x:c>
      <x:c r="AB215" s="53"/>
      <x:c r="AC215" s="59"/>
      <x:c r="AD215" s="81" t="str">
        <x:f>IFERROR(INDEX('Resource Rate Library'!$G$5:$G$85,MATCH(P215,'Resource Rate Library'!$A$5:$A$85,0)),"")</x:f>
      </x:c>
      <x:c r="AE215" s="81" t="str">
        <x:f>IFERROR(INDEX('Resource Rate Library'!$H$5:$H$85,MATCH(P215,'Resource Rate Library'!$A$5:$A$85,0)),"")</x:f>
      </x:c>
      <x:c r="AF215" s="53"/>
      <x:c r="AG215" s="53"/>
      <x:c r="AH215" s="53"/>
      <x:c r="AI215" s="81" t="str">
        <x:f t="shared" si="17">IF(B215="","",IF(AND(P215="",N215&lt;&gt;"Lump Sum / Quote"),"RESOURCE CODE",IF(Y215=0,"RATE MISSING",IF(AND(O215="Plant",AD215="Yes",COUNTIFS($B$7:$B$306,B215,$O$7:$O$306,"Labour",$Q$7:$Q$306,"*Operator*")&gt;0),"OPERATOR DOUBLE-COUNT",IF(AND(O215="Plant",AE215="Yes",COUNTIFS($B$7:$B$306,B215,$Q$7:$Q$306,"*Fuel*")&gt;0),"FUEL DOUBLE-COUNT",IF(AH215&lt;&gt;"Yes","VERIFY","OK"))))))</x:f>
      </x:c>
      <x:c r="AJ215" s="54"/>
      <x:c r="AK215" s="473"/>
      <x:c r="AL215" s="473"/>
      <x:c r="AM215" s="473"/>
      <x:c r="AN215" s="500" t="n">
        <x:f>IF(AND(AK215="Yes",OR(O215="Labour",O215="Plant")),Z215,0)</x:f>
        <x:v>0</x:v>
      </x:c>
    </x:row>
    <x:row r="216">
      <x:c r="A216" s="80" t="str">
        <x:f>IF(B216="","",B216&amp;"-"&amp;TEXT(COUNTIF($B$7:B216,B216),"000"))</x:f>
      </x:c>
      <x:c r="B216" s="53"/>
      <x:c r="C216" s="81" t="str">
        <x:f>IFERROR(INDEX('QS Takeoff'!$A$3:$A$194,MATCH(B216,'QS Takeoff'!$B$3:$B$194,0)),"")</x:f>
      </x:c>
      <x:c r="D216" s="81" t="str">
        <x:f>IFERROR(INDEX('QS Takeoff'!$C$3:$C$194,MATCH(B216,'QS Takeoff'!$B$3:$B$194,0)),"")</x:f>
      </x:c>
      <x:c r="E216" s="81" t="str">
        <x:f>IFERROR(INDEX('QS Takeoff'!$E$3:$E$194,MATCH(B216,'QS Takeoff'!$B$3:$B$194,0)),"")</x:f>
      </x:c>
      <x:c r="F216" s="81" t="str">
        <x:f>IFERROR(INDEX('QS Takeoff'!$D$3:$D$194,MATCH(B216,'QS Takeoff'!$B$3:$B$194,0)),"")</x:f>
      </x:c>
      <x:c r="G216" s="81" t="str">
        <x:f>IFERROR(INDEX('QS Takeoff'!$J$3:$J$194,MATCH(B216,'QS Takeoff'!$B$3:$B$194,0)),"")</x:f>
      </x:c>
      <x:c r="H216" s="53"/>
      <x:c r="I216" s="60"/>
      <x:c r="J216" s="60"/>
      <x:c r="K216" s="82" t="str">
        <x:f t="shared" si="18">IF(OR(B216="",I216="",I216=0),"",E216/I216)</x:f>
      </x:c>
      <x:c r="L216" s="60"/>
      <x:c r="M216" s="82" t="str">
        <x:f t="shared" si="19">IF(L216&gt;0,L216,K216)</x:f>
      </x:c>
      <x:c r="N216" s="53"/>
      <x:c r="O216" s="53"/>
      <x:c r="P216" s="53"/>
      <x:c r="Q216" s="81" t="str">
        <x:f>IFERROR(INDEX('Resource Rate Library'!$C$5:$C$85,MATCH(P216,'Resource Rate Library'!$A$5:$A$85,0)),"")</x:f>
      </x:c>
      <x:c r="R216" s="53"/>
      <x:c r="S216" s="53"/>
      <x:c r="T216" s="81" t="str">
        <x:f>IFERROR(INDEX('Resource Rate Library'!$E$5:$E$85,MATCH(P216,'Resource Rate Library'!$A$5:$A$85,0)),"")</x:f>
      </x:c>
      <x:c r="U216" s="62"/>
      <x:c r="V216" s="62"/>
      <x:c r="W216" s="83" t="n">
        <x:f>IFERROR(INDEX('Resource Rate Library'!$I$5:$I$85,MATCH(P216,'Resource Rate Library'!$A$5:$A$85,0)),0)</x:f>
        <x:v>0</x:v>
      </x:c>
      <x:c r="X216" s="52"/>
      <x:c r="Y216" s="83" t="n">
        <x:f t="shared" si="20">IF(X216&gt;0,X216,W216)</x:f>
        <x:v>0</x:v>
      </x:c>
      <x:c r="Z216" s="83" t="str">
        <x:f t="shared" si="21">IF(B216="","",IF(N216="Time x Count",M216*R216*IF(U216="",1,U216)*Y216,IF(N216="QS Qty x Factor",E216*R216*(1+IF(V216="",0,V216))*Y216,IF(N216="Direct Qty",S216*(1+IF(V216="",0,V216))*Y216,IF(N216="Lump Sum / Quote",S216*Y216,0)))))</x:f>
      </x:c>
      <x:c r="AA216" s="81" t="str">
        <x:f>IFERROR(INDEX('Resource Rate Library'!$N$5:$N$85,MATCH(P216,'Resource Rate Library'!$A$5:$A$85,0)),"")</x:f>
      </x:c>
      <x:c r="AB216" s="53"/>
      <x:c r="AC216" s="59"/>
      <x:c r="AD216" s="81" t="str">
        <x:f>IFERROR(INDEX('Resource Rate Library'!$G$5:$G$85,MATCH(P216,'Resource Rate Library'!$A$5:$A$85,0)),"")</x:f>
      </x:c>
      <x:c r="AE216" s="81" t="str">
        <x:f>IFERROR(INDEX('Resource Rate Library'!$H$5:$H$85,MATCH(P216,'Resource Rate Library'!$A$5:$A$85,0)),"")</x:f>
      </x:c>
      <x:c r="AF216" s="53"/>
      <x:c r="AG216" s="53"/>
      <x:c r="AH216" s="53"/>
      <x:c r="AI216" s="81" t="str">
        <x:f t="shared" si="17">IF(B216="","",IF(AND(P216="",N216&lt;&gt;"Lump Sum / Quote"),"RESOURCE CODE",IF(Y216=0,"RATE MISSING",IF(AND(O216="Plant",AD216="Yes",COUNTIFS($B$7:$B$306,B216,$O$7:$O$306,"Labour",$Q$7:$Q$306,"*Operator*")&gt;0),"OPERATOR DOUBLE-COUNT",IF(AND(O216="Plant",AE216="Yes",COUNTIFS($B$7:$B$306,B216,$Q$7:$Q$306,"*Fuel*")&gt;0),"FUEL DOUBLE-COUNT",IF(AH216&lt;&gt;"Yes","VERIFY","OK"))))))</x:f>
      </x:c>
      <x:c r="AJ216" s="54"/>
      <x:c r="AK216" s="473"/>
      <x:c r="AL216" s="473"/>
      <x:c r="AM216" s="473"/>
      <x:c r="AN216" s="500" t="n">
        <x:f>IF(AND(AK216="Yes",OR(O216="Labour",O216="Plant")),Z216,0)</x:f>
        <x:v>0</x:v>
      </x:c>
    </x:row>
    <x:row r="217">
      <x:c r="A217" s="80" t="str">
        <x:f>IF(B217="","",B217&amp;"-"&amp;TEXT(COUNTIF($B$7:B217,B217),"000"))</x:f>
      </x:c>
      <x:c r="B217" s="53"/>
      <x:c r="C217" s="81" t="str">
        <x:f>IFERROR(INDEX('QS Takeoff'!$A$3:$A$194,MATCH(B217,'QS Takeoff'!$B$3:$B$194,0)),"")</x:f>
      </x:c>
      <x:c r="D217" s="81" t="str">
        <x:f>IFERROR(INDEX('QS Takeoff'!$C$3:$C$194,MATCH(B217,'QS Takeoff'!$B$3:$B$194,0)),"")</x:f>
      </x:c>
      <x:c r="E217" s="81" t="str">
        <x:f>IFERROR(INDEX('QS Takeoff'!$E$3:$E$194,MATCH(B217,'QS Takeoff'!$B$3:$B$194,0)),"")</x:f>
      </x:c>
      <x:c r="F217" s="81" t="str">
        <x:f>IFERROR(INDEX('QS Takeoff'!$D$3:$D$194,MATCH(B217,'QS Takeoff'!$B$3:$B$194,0)),"")</x:f>
      </x:c>
      <x:c r="G217" s="81" t="str">
        <x:f>IFERROR(INDEX('QS Takeoff'!$J$3:$J$194,MATCH(B217,'QS Takeoff'!$B$3:$B$194,0)),"")</x:f>
      </x:c>
      <x:c r="H217" s="53"/>
      <x:c r="I217" s="60"/>
      <x:c r="J217" s="60"/>
      <x:c r="K217" s="82" t="str">
        <x:f t="shared" si="18">IF(OR(B217="",I217="",I217=0),"",E217/I217)</x:f>
      </x:c>
      <x:c r="L217" s="60"/>
      <x:c r="M217" s="82" t="str">
        <x:f t="shared" si="19">IF(L217&gt;0,L217,K217)</x:f>
      </x:c>
      <x:c r="N217" s="53"/>
      <x:c r="O217" s="53"/>
      <x:c r="P217" s="53"/>
      <x:c r="Q217" s="81" t="str">
        <x:f>IFERROR(INDEX('Resource Rate Library'!$C$5:$C$85,MATCH(P217,'Resource Rate Library'!$A$5:$A$85,0)),"")</x:f>
      </x:c>
      <x:c r="R217" s="53"/>
      <x:c r="S217" s="53"/>
      <x:c r="T217" s="81" t="str">
        <x:f>IFERROR(INDEX('Resource Rate Library'!$E$5:$E$85,MATCH(P217,'Resource Rate Library'!$A$5:$A$85,0)),"")</x:f>
      </x:c>
      <x:c r="U217" s="62"/>
      <x:c r="V217" s="62"/>
      <x:c r="W217" s="83" t="n">
        <x:f>IFERROR(INDEX('Resource Rate Library'!$I$5:$I$85,MATCH(P217,'Resource Rate Library'!$A$5:$A$85,0)),0)</x:f>
        <x:v>0</x:v>
      </x:c>
      <x:c r="X217" s="52"/>
      <x:c r="Y217" s="83" t="n">
        <x:f t="shared" si="20">IF(X217&gt;0,X217,W217)</x:f>
        <x:v>0</x:v>
      </x:c>
      <x:c r="Z217" s="83" t="str">
        <x:f t="shared" si="21">IF(B217="","",IF(N217="Time x Count",M217*R217*IF(U217="",1,U217)*Y217,IF(N217="QS Qty x Factor",E217*R217*(1+IF(V217="",0,V217))*Y217,IF(N217="Direct Qty",S217*(1+IF(V217="",0,V217))*Y217,IF(N217="Lump Sum / Quote",S217*Y217,0)))))</x:f>
      </x:c>
      <x:c r="AA217" s="81" t="str">
        <x:f>IFERROR(INDEX('Resource Rate Library'!$N$5:$N$85,MATCH(P217,'Resource Rate Library'!$A$5:$A$85,0)),"")</x:f>
      </x:c>
      <x:c r="AB217" s="53"/>
      <x:c r="AC217" s="59"/>
      <x:c r="AD217" s="81" t="str">
        <x:f>IFERROR(INDEX('Resource Rate Library'!$G$5:$G$85,MATCH(P217,'Resource Rate Library'!$A$5:$A$85,0)),"")</x:f>
      </x:c>
      <x:c r="AE217" s="81" t="str">
        <x:f>IFERROR(INDEX('Resource Rate Library'!$H$5:$H$85,MATCH(P217,'Resource Rate Library'!$A$5:$A$85,0)),"")</x:f>
      </x:c>
      <x:c r="AF217" s="53"/>
      <x:c r="AG217" s="53"/>
      <x:c r="AH217" s="53"/>
      <x:c r="AI217" s="81" t="str">
        <x:f t="shared" ref="AI217:AI248" si="22">IF(B217="","",IF(AND(P217="",N217&lt;&gt;"Lump Sum / Quote"),"RESOURCE CODE",IF(Y217=0,"RATE MISSING",IF(AND(O217="Plant",AD217="Yes",COUNTIFS($B$7:$B$306,B217,$O$7:$O$306,"Labour",$Q$7:$Q$306,"*Operator*")&gt;0),"OPERATOR DOUBLE-COUNT",IF(AND(O217="Plant",AE217="Yes",COUNTIFS($B$7:$B$306,B217,$Q$7:$Q$306,"*Fuel*")&gt;0),"FUEL DOUBLE-COUNT",IF(AH217&lt;&gt;"Yes","VERIFY","OK"))))))</x:f>
      </x:c>
      <x:c r="AJ217" s="54"/>
      <x:c r="AK217" s="473"/>
      <x:c r="AL217" s="473"/>
      <x:c r="AM217" s="473"/>
      <x:c r="AN217" s="500" t="n">
        <x:f>IF(AND(AK217="Yes",OR(O217="Labour",O217="Plant")),Z217,0)</x:f>
        <x:v>0</x:v>
      </x:c>
    </x:row>
    <x:row r="218">
      <x:c r="A218" s="80" t="str">
        <x:f>IF(B218="","",B218&amp;"-"&amp;TEXT(COUNTIF($B$7:B218,B218),"000"))</x:f>
      </x:c>
      <x:c r="B218" s="53"/>
      <x:c r="C218" s="81" t="str">
        <x:f>IFERROR(INDEX('QS Takeoff'!$A$3:$A$194,MATCH(B218,'QS Takeoff'!$B$3:$B$194,0)),"")</x:f>
      </x:c>
      <x:c r="D218" s="81" t="str">
        <x:f>IFERROR(INDEX('QS Takeoff'!$C$3:$C$194,MATCH(B218,'QS Takeoff'!$B$3:$B$194,0)),"")</x:f>
      </x:c>
      <x:c r="E218" s="81" t="str">
        <x:f>IFERROR(INDEX('QS Takeoff'!$E$3:$E$194,MATCH(B218,'QS Takeoff'!$B$3:$B$194,0)),"")</x:f>
      </x:c>
      <x:c r="F218" s="81" t="str">
        <x:f>IFERROR(INDEX('QS Takeoff'!$D$3:$D$194,MATCH(B218,'QS Takeoff'!$B$3:$B$194,0)),"")</x:f>
      </x:c>
      <x:c r="G218" s="81" t="str">
        <x:f>IFERROR(INDEX('QS Takeoff'!$J$3:$J$194,MATCH(B218,'QS Takeoff'!$B$3:$B$194,0)),"")</x:f>
      </x:c>
      <x:c r="H218" s="53"/>
      <x:c r="I218" s="60"/>
      <x:c r="J218" s="60"/>
      <x:c r="K218" s="82" t="str">
        <x:f t="shared" si="18">IF(OR(B218="",I218="",I218=0),"",E218/I218)</x:f>
      </x:c>
      <x:c r="L218" s="60"/>
      <x:c r="M218" s="82" t="str">
        <x:f t="shared" si="19">IF(L218&gt;0,L218,K218)</x:f>
      </x:c>
      <x:c r="N218" s="53"/>
      <x:c r="O218" s="53"/>
      <x:c r="P218" s="53"/>
      <x:c r="Q218" s="81" t="str">
        <x:f>IFERROR(INDEX('Resource Rate Library'!$C$5:$C$85,MATCH(P218,'Resource Rate Library'!$A$5:$A$85,0)),"")</x:f>
      </x:c>
      <x:c r="R218" s="53"/>
      <x:c r="S218" s="53"/>
      <x:c r="T218" s="81" t="str">
        <x:f>IFERROR(INDEX('Resource Rate Library'!$E$5:$E$85,MATCH(P218,'Resource Rate Library'!$A$5:$A$85,0)),"")</x:f>
      </x:c>
      <x:c r="U218" s="62"/>
      <x:c r="V218" s="62"/>
      <x:c r="W218" s="83" t="n">
        <x:f>IFERROR(INDEX('Resource Rate Library'!$I$5:$I$85,MATCH(P218,'Resource Rate Library'!$A$5:$A$85,0)),0)</x:f>
        <x:v>0</x:v>
      </x:c>
      <x:c r="X218" s="52"/>
      <x:c r="Y218" s="83" t="n">
        <x:f t="shared" si="20">IF(X218&gt;0,X218,W218)</x:f>
        <x:v>0</x:v>
      </x:c>
      <x:c r="Z218" s="83" t="str">
        <x:f t="shared" si="21">IF(B218="","",IF(N218="Time x Count",M218*R218*IF(U218="",1,U218)*Y218,IF(N218="QS Qty x Factor",E218*R218*(1+IF(V218="",0,V218))*Y218,IF(N218="Direct Qty",S218*(1+IF(V218="",0,V218))*Y218,IF(N218="Lump Sum / Quote",S218*Y218,0)))))</x:f>
      </x:c>
      <x:c r="AA218" s="81" t="str">
        <x:f>IFERROR(INDEX('Resource Rate Library'!$N$5:$N$85,MATCH(P218,'Resource Rate Library'!$A$5:$A$85,0)),"")</x:f>
      </x:c>
      <x:c r="AB218" s="53"/>
      <x:c r="AC218" s="59"/>
      <x:c r="AD218" s="81" t="str">
        <x:f>IFERROR(INDEX('Resource Rate Library'!$G$5:$G$85,MATCH(P218,'Resource Rate Library'!$A$5:$A$85,0)),"")</x:f>
      </x:c>
      <x:c r="AE218" s="81" t="str">
        <x:f>IFERROR(INDEX('Resource Rate Library'!$H$5:$H$85,MATCH(P218,'Resource Rate Library'!$A$5:$A$85,0)),"")</x:f>
      </x:c>
      <x:c r="AF218" s="53"/>
      <x:c r="AG218" s="53"/>
      <x:c r="AH218" s="53"/>
      <x:c r="AI218" s="81" t="str">
        <x:f t="shared" si="22">IF(B218="","",IF(AND(P218="",N218&lt;&gt;"Lump Sum / Quote"),"RESOURCE CODE",IF(Y218=0,"RATE MISSING",IF(AND(O218="Plant",AD218="Yes",COUNTIFS($B$7:$B$306,B218,$O$7:$O$306,"Labour",$Q$7:$Q$306,"*Operator*")&gt;0),"OPERATOR DOUBLE-COUNT",IF(AND(O218="Plant",AE218="Yes",COUNTIFS($B$7:$B$306,B218,$Q$7:$Q$306,"*Fuel*")&gt;0),"FUEL DOUBLE-COUNT",IF(AH218&lt;&gt;"Yes","VERIFY","OK"))))))</x:f>
      </x:c>
      <x:c r="AJ218" s="54"/>
      <x:c r="AK218" s="473"/>
      <x:c r="AL218" s="473"/>
      <x:c r="AM218" s="473"/>
      <x:c r="AN218" s="500" t="n">
        <x:f>IF(AND(AK218="Yes",OR(O218="Labour",O218="Plant")),Z218,0)</x:f>
        <x:v>0</x:v>
      </x:c>
    </x:row>
    <x:row r="219">
      <x:c r="A219" s="80" t="str">
        <x:f>IF(B219="","",B219&amp;"-"&amp;TEXT(COUNTIF($B$7:B219,B219),"000"))</x:f>
      </x:c>
      <x:c r="B219" s="53"/>
      <x:c r="C219" s="81" t="str">
        <x:f>IFERROR(INDEX('QS Takeoff'!$A$3:$A$194,MATCH(B219,'QS Takeoff'!$B$3:$B$194,0)),"")</x:f>
      </x:c>
      <x:c r="D219" s="81" t="str">
        <x:f>IFERROR(INDEX('QS Takeoff'!$C$3:$C$194,MATCH(B219,'QS Takeoff'!$B$3:$B$194,0)),"")</x:f>
      </x:c>
      <x:c r="E219" s="81" t="str">
        <x:f>IFERROR(INDEX('QS Takeoff'!$E$3:$E$194,MATCH(B219,'QS Takeoff'!$B$3:$B$194,0)),"")</x:f>
      </x:c>
      <x:c r="F219" s="81" t="str">
        <x:f>IFERROR(INDEX('QS Takeoff'!$D$3:$D$194,MATCH(B219,'QS Takeoff'!$B$3:$B$194,0)),"")</x:f>
      </x:c>
      <x:c r="G219" s="81" t="str">
        <x:f>IFERROR(INDEX('QS Takeoff'!$J$3:$J$194,MATCH(B219,'QS Takeoff'!$B$3:$B$194,0)),"")</x:f>
      </x:c>
      <x:c r="H219" s="53"/>
      <x:c r="I219" s="60"/>
      <x:c r="J219" s="60"/>
      <x:c r="K219" s="82" t="str">
        <x:f t="shared" si="18">IF(OR(B219="",I219="",I219=0),"",E219/I219)</x:f>
      </x:c>
      <x:c r="L219" s="60"/>
      <x:c r="M219" s="82" t="str">
        <x:f t="shared" si="19">IF(L219&gt;0,L219,K219)</x:f>
      </x:c>
      <x:c r="N219" s="53"/>
      <x:c r="O219" s="53"/>
      <x:c r="P219" s="53"/>
      <x:c r="Q219" s="81" t="str">
        <x:f>IFERROR(INDEX('Resource Rate Library'!$C$5:$C$85,MATCH(P219,'Resource Rate Library'!$A$5:$A$85,0)),"")</x:f>
      </x:c>
      <x:c r="R219" s="53"/>
      <x:c r="S219" s="53"/>
      <x:c r="T219" s="81" t="str">
        <x:f>IFERROR(INDEX('Resource Rate Library'!$E$5:$E$85,MATCH(P219,'Resource Rate Library'!$A$5:$A$85,0)),"")</x:f>
      </x:c>
      <x:c r="U219" s="62"/>
      <x:c r="V219" s="62"/>
      <x:c r="W219" s="83" t="n">
        <x:f>IFERROR(INDEX('Resource Rate Library'!$I$5:$I$85,MATCH(P219,'Resource Rate Library'!$A$5:$A$85,0)),0)</x:f>
        <x:v>0</x:v>
      </x:c>
      <x:c r="X219" s="52"/>
      <x:c r="Y219" s="83" t="n">
        <x:f t="shared" si="20">IF(X219&gt;0,X219,W219)</x:f>
        <x:v>0</x:v>
      </x:c>
      <x:c r="Z219" s="83" t="str">
        <x:f t="shared" si="21">IF(B219="","",IF(N219="Time x Count",M219*R219*IF(U219="",1,U219)*Y219,IF(N219="QS Qty x Factor",E219*R219*(1+IF(V219="",0,V219))*Y219,IF(N219="Direct Qty",S219*(1+IF(V219="",0,V219))*Y219,IF(N219="Lump Sum / Quote",S219*Y219,0)))))</x:f>
      </x:c>
      <x:c r="AA219" s="81" t="str">
        <x:f>IFERROR(INDEX('Resource Rate Library'!$N$5:$N$85,MATCH(P219,'Resource Rate Library'!$A$5:$A$85,0)),"")</x:f>
      </x:c>
      <x:c r="AB219" s="53"/>
      <x:c r="AC219" s="59"/>
      <x:c r="AD219" s="81" t="str">
        <x:f>IFERROR(INDEX('Resource Rate Library'!$G$5:$G$85,MATCH(P219,'Resource Rate Library'!$A$5:$A$85,0)),"")</x:f>
      </x:c>
      <x:c r="AE219" s="81" t="str">
        <x:f>IFERROR(INDEX('Resource Rate Library'!$H$5:$H$85,MATCH(P219,'Resource Rate Library'!$A$5:$A$85,0)),"")</x:f>
      </x:c>
      <x:c r="AF219" s="53"/>
      <x:c r="AG219" s="53"/>
      <x:c r="AH219" s="53"/>
      <x:c r="AI219" s="81" t="str">
        <x:f t="shared" si="22">IF(B219="","",IF(AND(P219="",N219&lt;&gt;"Lump Sum / Quote"),"RESOURCE CODE",IF(Y219=0,"RATE MISSING",IF(AND(O219="Plant",AD219="Yes",COUNTIFS($B$7:$B$306,B219,$O$7:$O$306,"Labour",$Q$7:$Q$306,"*Operator*")&gt;0),"OPERATOR DOUBLE-COUNT",IF(AND(O219="Plant",AE219="Yes",COUNTIFS($B$7:$B$306,B219,$Q$7:$Q$306,"*Fuel*")&gt;0),"FUEL DOUBLE-COUNT",IF(AH219&lt;&gt;"Yes","VERIFY","OK"))))))</x:f>
      </x:c>
      <x:c r="AJ219" s="54"/>
      <x:c r="AK219" s="473"/>
      <x:c r="AL219" s="473"/>
      <x:c r="AM219" s="473"/>
      <x:c r="AN219" s="500" t="n">
        <x:f>IF(AND(AK219="Yes",OR(O219="Labour",O219="Plant")),Z219,0)</x:f>
        <x:v>0</x:v>
      </x:c>
    </x:row>
    <x:row r="220">
      <x:c r="A220" s="80" t="str">
        <x:f>IF(B220="","",B220&amp;"-"&amp;TEXT(COUNTIF($B$7:B220,B220),"000"))</x:f>
      </x:c>
      <x:c r="B220" s="53"/>
      <x:c r="C220" s="81" t="str">
        <x:f>IFERROR(INDEX('QS Takeoff'!$A$3:$A$194,MATCH(B220,'QS Takeoff'!$B$3:$B$194,0)),"")</x:f>
      </x:c>
      <x:c r="D220" s="81" t="str">
        <x:f>IFERROR(INDEX('QS Takeoff'!$C$3:$C$194,MATCH(B220,'QS Takeoff'!$B$3:$B$194,0)),"")</x:f>
      </x:c>
      <x:c r="E220" s="81" t="str">
        <x:f>IFERROR(INDEX('QS Takeoff'!$E$3:$E$194,MATCH(B220,'QS Takeoff'!$B$3:$B$194,0)),"")</x:f>
      </x:c>
      <x:c r="F220" s="81" t="str">
        <x:f>IFERROR(INDEX('QS Takeoff'!$D$3:$D$194,MATCH(B220,'QS Takeoff'!$B$3:$B$194,0)),"")</x:f>
      </x:c>
      <x:c r="G220" s="81" t="str">
        <x:f>IFERROR(INDEX('QS Takeoff'!$J$3:$J$194,MATCH(B220,'QS Takeoff'!$B$3:$B$194,0)),"")</x:f>
      </x:c>
      <x:c r="H220" s="53"/>
      <x:c r="I220" s="60"/>
      <x:c r="J220" s="60"/>
      <x:c r="K220" s="82" t="str">
        <x:f t="shared" si="18">IF(OR(B220="",I220="",I220=0),"",E220/I220)</x:f>
      </x:c>
      <x:c r="L220" s="60"/>
      <x:c r="M220" s="82" t="str">
        <x:f t="shared" si="19">IF(L220&gt;0,L220,K220)</x:f>
      </x:c>
      <x:c r="N220" s="53"/>
      <x:c r="O220" s="53"/>
      <x:c r="P220" s="53"/>
      <x:c r="Q220" s="81" t="str">
        <x:f>IFERROR(INDEX('Resource Rate Library'!$C$5:$C$85,MATCH(P220,'Resource Rate Library'!$A$5:$A$85,0)),"")</x:f>
      </x:c>
      <x:c r="R220" s="53"/>
      <x:c r="S220" s="53"/>
      <x:c r="T220" s="81" t="str">
        <x:f>IFERROR(INDEX('Resource Rate Library'!$E$5:$E$85,MATCH(P220,'Resource Rate Library'!$A$5:$A$85,0)),"")</x:f>
      </x:c>
      <x:c r="U220" s="62"/>
      <x:c r="V220" s="62"/>
      <x:c r="W220" s="83" t="n">
        <x:f>IFERROR(INDEX('Resource Rate Library'!$I$5:$I$85,MATCH(P220,'Resource Rate Library'!$A$5:$A$85,0)),0)</x:f>
        <x:v>0</x:v>
      </x:c>
      <x:c r="X220" s="52"/>
      <x:c r="Y220" s="83" t="n">
        <x:f t="shared" si="20">IF(X220&gt;0,X220,W220)</x:f>
        <x:v>0</x:v>
      </x:c>
      <x:c r="Z220" s="83" t="str">
        <x:f t="shared" si="21">IF(B220="","",IF(N220="Time x Count",M220*R220*IF(U220="",1,U220)*Y220,IF(N220="QS Qty x Factor",E220*R220*(1+IF(V220="",0,V220))*Y220,IF(N220="Direct Qty",S220*(1+IF(V220="",0,V220))*Y220,IF(N220="Lump Sum / Quote",S220*Y220,0)))))</x:f>
      </x:c>
      <x:c r="AA220" s="81" t="str">
        <x:f>IFERROR(INDEX('Resource Rate Library'!$N$5:$N$85,MATCH(P220,'Resource Rate Library'!$A$5:$A$85,0)),"")</x:f>
      </x:c>
      <x:c r="AB220" s="53"/>
      <x:c r="AC220" s="59"/>
      <x:c r="AD220" s="81" t="str">
        <x:f>IFERROR(INDEX('Resource Rate Library'!$G$5:$G$85,MATCH(P220,'Resource Rate Library'!$A$5:$A$85,0)),"")</x:f>
      </x:c>
      <x:c r="AE220" s="81" t="str">
        <x:f>IFERROR(INDEX('Resource Rate Library'!$H$5:$H$85,MATCH(P220,'Resource Rate Library'!$A$5:$A$85,0)),"")</x:f>
      </x:c>
      <x:c r="AF220" s="53"/>
      <x:c r="AG220" s="53"/>
      <x:c r="AH220" s="53"/>
      <x:c r="AI220" s="81" t="str">
        <x:f t="shared" si="22">IF(B220="","",IF(AND(P220="",N220&lt;&gt;"Lump Sum / Quote"),"RESOURCE CODE",IF(Y220=0,"RATE MISSING",IF(AND(O220="Plant",AD220="Yes",COUNTIFS($B$7:$B$306,B220,$O$7:$O$306,"Labour",$Q$7:$Q$306,"*Operator*")&gt;0),"OPERATOR DOUBLE-COUNT",IF(AND(O220="Plant",AE220="Yes",COUNTIFS($B$7:$B$306,B220,$Q$7:$Q$306,"*Fuel*")&gt;0),"FUEL DOUBLE-COUNT",IF(AH220&lt;&gt;"Yes","VERIFY","OK"))))))</x:f>
      </x:c>
      <x:c r="AJ220" s="54"/>
      <x:c r="AK220" s="473"/>
      <x:c r="AL220" s="473"/>
      <x:c r="AM220" s="473"/>
      <x:c r="AN220" s="500" t="n">
        <x:f>IF(AND(AK220="Yes",OR(O220="Labour",O220="Plant")),Z220,0)</x:f>
        <x:v>0</x:v>
      </x:c>
    </x:row>
    <x:row r="221">
      <x:c r="A221" s="80" t="str">
        <x:f>IF(B221="","",B221&amp;"-"&amp;TEXT(COUNTIF($B$7:B221,B221),"000"))</x:f>
      </x:c>
      <x:c r="B221" s="53"/>
      <x:c r="C221" s="81" t="str">
        <x:f>IFERROR(INDEX('QS Takeoff'!$A$3:$A$194,MATCH(B221,'QS Takeoff'!$B$3:$B$194,0)),"")</x:f>
      </x:c>
      <x:c r="D221" s="81" t="str">
        <x:f>IFERROR(INDEX('QS Takeoff'!$C$3:$C$194,MATCH(B221,'QS Takeoff'!$B$3:$B$194,0)),"")</x:f>
      </x:c>
      <x:c r="E221" s="81" t="str">
        <x:f>IFERROR(INDEX('QS Takeoff'!$E$3:$E$194,MATCH(B221,'QS Takeoff'!$B$3:$B$194,0)),"")</x:f>
      </x:c>
      <x:c r="F221" s="81" t="str">
        <x:f>IFERROR(INDEX('QS Takeoff'!$D$3:$D$194,MATCH(B221,'QS Takeoff'!$B$3:$B$194,0)),"")</x:f>
      </x:c>
      <x:c r="G221" s="81" t="str">
        <x:f>IFERROR(INDEX('QS Takeoff'!$J$3:$J$194,MATCH(B221,'QS Takeoff'!$B$3:$B$194,0)),"")</x:f>
      </x:c>
      <x:c r="H221" s="53"/>
      <x:c r="I221" s="60"/>
      <x:c r="J221" s="60"/>
      <x:c r="K221" s="82" t="str">
        <x:f t="shared" si="18">IF(OR(B221="",I221="",I221=0),"",E221/I221)</x:f>
      </x:c>
      <x:c r="L221" s="60"/>
      <x:c r="M221" s="82" t="str">
        <x:f t="shared" si="19">IF(L221&gt;0,L221,K221)</x:f>
      </x:c>
      <x:c r="N221" s="53"/>
      <x:c r="O221" s="53"/>
      <x:c r="P221" s="53"/>
      <x:c r="Q221" s="81" t="str">
        <x:f>IFERROR(INDEX('Resource Rate Library'!$C$5:$C$85,MATCH(P221,'Resource Rate Library'!$A$5:$A$85,0)),"")</x:f>
      </x:c>
      <x:c r="R221" s="53"/>
      <x:c r="S221" s="53"/>
      <x:c r="T221" s="81" t="str">
        <x:f>IFERROR(INDEX('Resource Rate Library'!$E$5:$E$85,MATCH(P221,'Resource Rate Library'!$A$5:$A$85,0)),"")</x:f>
      </x:c>
      <x:c r="U221" s="62"/>
      <x:c r="V221" s="62"/>
      <x:c r="W221" s="83" t="n">
        <x:f>IFERROR(INDEX('Resource Rate Library'!$I$5:$I$85,MATCH(P221,'Resource Rate Library'!$A$5:$A$85,0)),0)</x:f>
        <x:v>0</x:v>
      </x:c>
      <x:c r="X221" s="52"/>
      <x:c r="Y221" s="83" t="n">
        <x:f t="shared" si="20">IF(X221&gt;0,X221,W221)</x:f>
        <x:v>0</x:v>
      </x:c>
      <x:c r="Z221" s="83" t="str">
        <x:f t="shared" si="21">IF(B221="","",IF(N221="Time x Count",M221*R221*IF(U221="",1,U221)*Y221,IF(N221="QS Qty x Factor",E221*R221*(1+IF(V221="",0,V221))*Y221,IF(N221="Direct Qty",S221*(1+IF(V221="",0,V221))*Y221,IF(N221="Lump Sum / Quote",S221*Y221,0)))))</x:f>
      </x:c>
      <x:c r="AA221" s="81" t="str">
        <x:f>IFERROR(INDEX('Resource Rate Library'!$N$5:$N$85,MATCH(P221,'Resource Rate Library'!$A$5:$A$85,0)),"")</x:f>
      </x:c>
      <x:c r="AB221" s="53"/>
      <x:c r="AC221" s="59"/>
      <x:c r="AD221" s="81" t="str">
        <x:f>IFERROR(INDEX('Resource Rate Library'!$G$5:$G$85,MATCH(P221,'Resource Rate Library'!$A$5:$A$85,0)),"")</x:f>
      </x:c>
      <x:c r="AE221" s="81" t="str">
        <x:f>IFERROR(INDEX('Resource Rate Library'!$H$5:$H$85,MATCH(P221,'Resource Rate Library'!$A$5:$A$85,0)),"")</x:f>
      </x:c>
      <x:c r="AF221" s="53"/>
      <x:c r="AG221" s="53"/>
      <x:c r="AH221" s="53"/>
      <x:c r="AI221" s="81" t="str">
        <x:f t="shared" si="22">IF(B221="","",IF(AND(P221="",N221&lt;&gt;"Lump Sum / Quote"),"RESOURCE CODE",IF(Y221=0,"RATE MISSING",IF(AND(O221="Plant",AD221="Yes",COUNTIFS($B$7:$B$306,B221,$O$7:$O$306,"Labour",$Q$7:$Q$306,"*Operator*")&gt;0),"OPERATOR DOUBLE-COUNT",IF(AND(O221="Plant",AE221="Yes",COUNTIFS($B$7:$B$306,B221,$Q$7:$Q$306,"*Fuel*")&gt;0),"FUEL DOUBLE-COUNT",IF(AH221&lt;&gt;"Yes","VERIFY","OK"))))))</x:f>
      </x:c>
      <x:c r="AJ221" s="54"/>
      <x:c r="AK221" s="473"/>
      <x:c r="AL221" s="473"/>
      <x:c r="AM221" s="473"/>
      <x:c r="AN221" s="500" t="n">
        <x:f>IF(AND(AK221="Yes",OR(O221="Labour",O221="Plant")),Z221,0)</x:f>
        <x:v>0</x:v>
      </x:c>
    </x:row>
    <x:row r="222">
      <x:c r="A222" s="80" t="str">
        <x:f>IF(B222="","",B222&amp;"-"&amp;TEXT(COUNTIF($B$7:B222,B222),"000"))</x:f>
      </x:c>
      <x:c r="B222" s="53"/>
      <x:c r="C222" s="81" t="str">
        <x:f>IFERROR(INDEX('QS Takeoff'!$A$3:$A$194,MATCH(B222,'QS Takeoff'!$B$3:$B$194,0)),"")</x:f>
      </x:c>
      <x:c r="D222" s="81" t="str">
        <x:f>IFERROR(INDEX('QS Takeoff'!$C$3:$C$194,MATCH(B222,'QS Takeoff'!$B$3:$B$194,0)),"")</x:f>
      </x:c>
      <x:c r="E222" s="81" t="str">
        <x:f>IFERROR(INDEX('QS Takeoff'!$E$3:$E$194,MATCH(B222,'QS Takeoff'!$B$3:$B$194,0)),"")</x:f>
      </x:c>
      <x:c r="F222" s="81" t="str">
        <x:f>IFERROR(INDEX('QS Takeoff'!$D$3:$D$194,MATCH(B222,'QS Takeoff'!$B$3:$B$194,0)),"")</x:f>
      </x:c>
      <x:c r="G222" s="81" t="str">
        <x:f>IFERROR(INDEX('QS Takeoff'!$J$3:$J$194,MATCH(B222,'QS Takeoff'!$B$3:$B$194,0)),"")</x:f>
      </x:c>
      <x:c r="H222" s="53"/>
      <x:c r="I222" s="60"/>
      <x:c r="J222" s="60"/>
      <x:c r="K222" s="82" t="str">
        <x:f t="shared" si="18">IF(OR(B222="",I222="",I222=0),"",E222/I222)</x:f>
      </x:c>
      <x:c r="L222" s="60"/>
      <x:c r="M222" s="82" t="str">
        <x:f t="shared" si="19">IF(L222&gt;0,L222,K222)</x:f>
      </x:c>
      <x:c r="N222" s="53"/>
      <x:c r="O222" s="53"/>
      <x:c r="P222" s="53"/>
      <x:c r="Q222" s="81" t="str">
        <x:f>IFERROR(INDEX('Resource Rate Library'!$C$5:$C$85,MATCH(P222,'Resource Rate Library'!$A$5:$A$85,0)),"")</x:f>
      </x:c>
      <x:c r="R222" s="53"/>
      <x:c r="S222" s="53"/>
      <x:c r="T222" s="81" t="str">
        <x:f>IFERROR(INDEX('Resource Rate Library'!$E$5:$E$85,MATCH(P222,'Resource Rate Library'!$A$5:$A$85,0)),"")</x:f>
      </x:c>
      <x:c r="U222" s="62"/>
      <x:c r="V222" s="62"/>
      <x:c r="W222" s="83" t="n">
        <x:f>IFERROR(INDEX('Resource Rate Library'!$I$5:$I$85,MATCH(P222,'Resource Rate Library'!$A$5:$A$85,0)),0)</x:f>
        <x:v>0</x:v>
      </x:c>
      <x:c r="X222" s="52"/>
      <x:c r="Y222" s="83" t="n">
        <x:f t="shared" si="20">IF(X222&gt;0,X222,W222)</x:f>
        <x:v>0</x:v>
      </x:c>
      <x:c r="Z222" s="83" t="str">
        <x:f t="shared" si="21">IF(B222="","",IF(N222="Time x Count",M222*R222*IF(U222="",1,U222)*Y222,IF(N222="QS Qty x Factor",E222*R222*(1+IF(V222="",0,V222))*Y222,IF(N222="Direct Qty",S222*(1+IF(V222="",0,V222))*Y222,IF(N222="Lump Sum / Quote",S222*Y222,0)))))</x:f>
      </x:c>
      <x:c r="AA222" s="81" t="str">
        <x:f>IFERROR(INDEX('Resource Rate Library'!$N$5:$N$85,MATCH(P222,'Resource Rate Library'!$A$5:$A$85,0)),"")</x:f>
      </x:c>
      <x:c r="AB222" s="53"/>
      <x:c r="AC222" s="59"/>
      <x:c r="AD222" s="81" t="str">
        <x:f>IFERROR(INDEX('Resource Rate Library'!$G$5:$G$85,MATCH(P222,'Resource Rate Library'!$A$5:$A$85,0)),"")</x:f>
      </x:c>
      <x:c r="AE222" s="81" t="str">
        <x:f>IFERROR(INDEX('Resource Rate Library'!$H$5:$H$85,MATCH(P222,'Resource Rate Library'!$A$5:$A$85,0)),"")</x:f>
      </x:c>
      <x:c r="AF222" s="53"/>
      <x:c r="AG222" s="53"/>
      <x:c r="AH222" s="53"/>
      <x:c r="AI222" s="81" t="str">
        <x:f t="shared" si="22">IF(B222="","",IF(AND(P222="",N222&lt;&gt;"Lump Sum / Quote"),"RESOURCE CODE",IF(Y222=0,"RATE MISSING",IF(AND(O222="Plant",AD222="Yes",COUNTIFS($B$7:$B$306,B222,$O$7:$O$306,"Labour",$Q$7:$Q$306,"*Operator*")&gt;0),"OPERATOR DOUBLE-COUNT",IF(AND(O222="Plant",AE222="Yes",COUNTIFS($B$7:$B$306,B222,$Q$7:$Q$306,"*Fuel*")&gt;0),"FUEL DOUBLE-COUNT",IF(AH222&lt;&gt;"Yes","VERIFY","OK"))))))</x:f>
      </x:c>
      <x:c r="AJ222" s="54"/>
      <x:c r="AK222" s="473"/>
      <x:c r="AL222" s="473"/>
      <x:c r="AM222" s="473"/>
      <x:c r="AN222" s="500" t="n">
        <x:f>IF(AND(AK222="Yes",OR(O222="Labour",O222="Plant")),Z222,0)</x:f>
        <x:v>0</x:v>
      </x:c>
    </x:row>
    <x:row r="223">
      <x:c r="A223" s="80" t="str">
        <x:f>IF(B223="","",B223&amp;"-"&amp;TEXT(COUNTIF($B$7:B223,B223),"000"))</x:f>
      </x:c>
      <x:c r="B223" s="53"/>
      <x:c r="C223" s="81" t="str">
        <x:f>IFERROR(INDEX('QS Takeoff'!$A$3:$A$194,MATCH(B223,'QS Takeoff'!$B$3:$B$194,0)),"")</x:f>
      </x:c>
      <x:c r="D223" s="81" t="str">
        <x:f>IFERROR(INDEX('QS Takeoff'!$C$3:$C$194,MATCH(B223,'QS Takeoff'!$B$3:$B$194,0)),"")</x:f>
      </x:c>
      <x:c r="E223" s="81" t="str">
        <x:f>IFERROR(INDEX('QS Takeoff'!$E$3:$E$194,MATCH(B223,'QS Takeoff'!$B$3:$B$194,0)),"")</x:f>
      </x:c>
      <x:c r="F223" s="81" t="str">
        <x:f>IFERROR(INDEX('QS Takeoff'!$D$3:$D$194,MATCH(B223,'QS Takeoff'!$B$3:$B$194,0)),"")</x:f>
      </x:c>
      <x:c r="G223" s="81" t="str">
        <x:f>IFERROR(INDEX('QS Takeoff'!$J$3:$J$194,MATCH(B223,'QS Takeoff'!$B$3:$B$194,0)),"")</x:f>
      </x:c>
      <x:c r="H223" s="53"/>
      <x:c r="I223" s="60"/>
      <x:c r="J223" s="60"/>
      <x:c r="K223" s="82" t="str">
        <x:f t="shared" si="18">IF(OR(B223="",I223="",I223=0),"",E223/I223)</x:f>
      </x:c>
      <x:c r="L223" s="60"/>
      <x:c r="M223" s="82" t="str">
        <x:f t="shared" si="19">IF(L223&gt;0,L223,K223)</x:f>
      </x:c>
      <x:c r="N223" s="53"/>
      <x:c r="O223" s="53"/>
      <x:c r="P223" s="53"/>
      <x:c r="Q223" s="81" t="str">
        <x:f>IFERROR(INDEX('Resource Rate Library'!$C$5:$C$85,MATCH(P223,'Resource Rate Library'!$A$5:$A$85,0)),"")</x:f>
      </x:c>
      <x:c r="R223" s="53"/>
      <x:c r="S223" s="53"/>
      <x:c r="T223" s="81" t="str">
        <x:f>IFERROR(INDEX('Resource Rate Library'!$E$5:$E$85,MATCH(P223,'Resource Rate Library'!$A$5:$A$85,0)),"")</x:f>
      </x:c>
      <x:c r="U223" s="62"/>
      <x:c r="V223" s="62"/>
      <x:c r="W223" s="83" t="n">
        <x:f>IFERROR(INDEX('Resource Rate Library'!$I$5:$I$85,MATCH(P223,'Resource Rate Library'!$A$5:$A$85,0)),0)</x:f>
        <x:v>0</x:v>
      </x:c>
      <x:c r="X223" s="52"/>
      <x:c r="Y223" s="83" t="n">
        <x:f t="shared" si="20">IF(X223&gt;0,X223,W223)</x:f>
        <x:v>0</x:v>
      </x:c>
      <x:c r="Z223" s="83" t="str">
        <x:f t="shared" si="21">IF(B223="","",IF(N223="Time x Count",M223*R223*IF(U223="",1,U223)*Y223,IF(N223="QS Qty x Factor",E223*R223*(1+IF(V223="",0,V223))*Y223,IF(N223="Direct Qty",S223*(1+IF(V223="",0,V223))*Y223,IF(N223="Lump Sum / Quote",S223*Y223,0)))))</x:f>
      </x:c>
      <x:c r="AA223" s="81" t="str">
        <x:f>IFERROR(INDEX('Resource Rate Library'!$N$5:$N$85,MATCH(P223,'Resource Rate Library'!$A$5:$A$85,0)),"")</x:f>
      </x:c>
      <x:c r="AB223" s="53"/>
      <x:c r="AC223" s="59"/>
      <x:c r="AD223" s="81" t="str">
        <x:f>IFERROR(INDEX('Resource Rate Library'!$G$5:$G$85,MATCH(P223,'Resource Rate Library'!$A$5:$A$85,0)),"")</x:f>
      </x:c>
      <x:c r="AE223" s="81" t="str">
        <x:f>IFERROR(INDEX('Resource Rate Library'!$H$5:$H$85,MATCH(P223,'Resource Rate Library'!$A$5:$A$85,0)),"")</x:f>
      </x:c>
      <x:c r="AF223" s="53"/>
      <x:c r="AG223" s="53"/>
      <x:c r="AH223" s="53"/>
      <x:c r="AI223" s="81" t="str">
        <x:f t="shared" si="22">IF(B223="","",IF(AND(P223="",N223&lt;&gt;"Lump Sum / Quote"),"RESOURCE CODE",IF(Y223=0,"RATE MISSING",IF(AND(O223="Plant",AD223="Yes",COUNTIFS($B$7:$B$306,B223,$O$7:$O$306,"Labour",$Q$7:$Q$306,"*Operator*")&gt;0),"OPERATOR DOUBLE-COUNT",IF(AND(O223="Plant",AE223="Yes",COUNTIFS($B$7:$B$306,B223,$Q$7:$Q$306,"*Fuel*")&gt;0),"FUEL DOUBLE-COUNT",IF(AH223&lt;&gt;"Yes","VERIFY","OK"))))))</x:f>
      </x:c>
      <x:c r="AJ223" s="54"/>
      <x:c r="AK223" s="473"/>
      <x:c r="AL223" s="473"/>
      <x:c r="AM223" s="473"/>
      <x:c r="AN223" s="500" t="n">
        <x:f>IF(AND(AK223="Yes",OR(O223="Labour",O223="Plant")),Z223,0)</x:f>
        <x:v>0</x:v>
      </x:c>
    </x:row>
    <x:row r="224">
      <x:c r="A224" s="80" t="str">
        <x:f>IF(B224="","",B224&amp;"-"&amp;TEXT(COUNTIF($B$7:B224,B224),"000"))</x:f>
      </x:c>
      <x:c r="B224" s="53"/>
      <x:c r="C224" s="81" t="str">
        <x:f>IFERROR(INDEX('QS Takeoff'!$A$3:$A$194,MATCH(B224,'QS Takeoff'!$B$3:$B$194,0)),"")</x:f>
      </x:c>
      <x:c r="D224" s="81" t="str">
        <x:f>IFERROR(INDEX('QS Takeoff'!$C$3:$C$194,MATCH(B224,'QS Takeoff'!$B$3:$B$194,0)),"")</x:f>
      </x:c>
      <x:c r="E224" s="81" t="str">
        <x:f>IFERROR(INDEX('QS Takeoff'!$E$3:$E$194,MATCH(B224,'QS Takeoff'!$B$3:$B$194,0)),"")</x:f>
      </x:c>
      <x:c r="F224" s="81" t="str">
        <x:f>IFERROR(INDEX('QS Takeoff'!$D$3:$D$194,MATCH(B224,'QS Takeoff'!$B$3:$B$194,0)),"")</x:f>
      </x:c>
      <x:c r="G224" s="81" t="str">
        <x:f>IFERROR(INDEX('QS Takeoff'!$J$3:$J$194,MATCH(B224,'QS Takeoff'!$B$3:$B$194,0)),"")</x:f>
      </x:c>
      <x:c r="H224" s="53"/>
      <x:c r="I224" s="60"/>
      <x:c r="J224" s="60"/>
      <x:c r="K224" s="82" t="str">
        <x:f t="shared" si="18">IF(OR(B224="",I224="",I224=0),"",E224/I224)</x:f>
      </x:c>
      <x:c r="L224" s="60"/>
      <x:c r="M224" s="82" t="str">
        <x:f t="shared" si="19">IF(L224&gt;0,L224,K224)</x:f>
      </x:c>
      <x:c r="N224" s="53"/>
      <x:c r="O224" s="53"/>
      <x:c r="P224" s="53"/>
      <x:c r="Q224" s="81" t="str">
        <x:f>IFERROR(INDEX('Resource Rate Library'!$C$5:$C$85,MATCH(P224,'Resource Rate Library'!$A$5:$A$85,0)),"")</x:f>
      </x:c>
      <x:c r="R224" s="53"/>
      <x:c r="S224" s="53"/>
      <x:c r="T224" s="81" t="str">
        <x:f>IFERROR(INDEX('Resource Rate Library'!$E$5:$E$85,MATCH(P224,'Resource Rate Library'!$A$5:$A$85,0)),"")</x:f>
      </x:c>
      <x:c r="U224" s="62"/>
      <x:c r="V224" s="62"/>
      <x:c r="W224" s="83" t="n">
        <x:f>IFERROR(INDEX('Resource Rate Library'!$I$5:$I$85,MATCH(P224,'Resource Rate Library'!$A$5:$A$85,0)),0)</x:f>
        <x:v>0</x:v>
      </x:c>
      <x:c r="X224" s="52"/>
      <x:c r="Y224" s="83" t="n">
        <x:f t="shared" si="20">IF(X224&gt;0,X224,W224)</x:f>
        <x:v>0</x:v>
      </x:c>
      <x:c r="Z224" s="83" t="str">
        <x:f t="shared" si="21">IF(B224="","",IF(N224="Time x Count",M224*R224*IF(U224="",1,U224)*Y224,IF(N224="QS Qty x Factor",E224*R224*(1+IF(V224="",0,V224))*Y224,IF(N224="Direct Qty",S224*(1+IF(V224="",0,V224))*Y224,IF(N224="Lump Sum / Quote",S224*Y224,0)))))</x:f>
      </x:c>
      <x:c r="AA224" s="81" t="str">
        <x:f>IFERROR(INDEX('Resource Rate Library'!$N$5:$N$85,MATCH(P224,'Resource Rate Library'!$A$5:$A$85,0)),"")</x:f>
      </x:c>
      <x:c r="AB224" s="53"/>
      <x:c r="AC224" s="59"/>
      <x:c r="AD224" s="81" t="str">
        <x:f>IFERROR(INDEX('Resource Rate Library'!$G$5:$G$85,MATCH(P224,'Resource Rate Library'!$A$5:$A$85,0)),"")</x:f>
      </x:c>
      <x:c r="AE224" s="81" t="str">
        <x:f>IFERROR(INDEX('Resource Rate Library'!$H$5:$H$85,MATCH(P224,'Resource Rate Library'!$A$5:$A$85,0)),"")</x:f>
      </x:c>
      <x:c r="AF224" s="53"/>
      <x:c r="AG224" s="53"/>
      <x:c r="AH224" s="53"/>
      <x:c r="AI224" s="81" t="str">
        <x:f t="shared" si="22">IF(B224="","",IF(AND(P224="",N224&lt;&gt;"Lump Sum / Quote"),"RESOURCE CODE",IF(Y224=0,"RATE MISSING",IF(AND(O224="Plant",AD224="Yes",COUNTIFS($B$7:$B$306,B224,$O$7:$O$306,"Labour",$Q$7:$Q$306,"*Operator*")&gt;0),"OPERATOR DOUBLE-COUNT",IF(AND(O224="Plant",AE224="Yes",COUNTIFS($B$7:$B$306,B224,$Q$7:$Q$306,"*Fuel*")&gt;0),"FUEL DOUBLE-COUNT",IF(AH224&lt;&gt;"Yes","VERIFY","OK"))))))</x:f>
      </x:c>
      <x:c r="AJ224" s="54"/>
      <x:c r="AK224" s="473"/>
      <x:c r="AL224" s="473"/>
      <x:c r="AM224" s="473"/>
      <x:c r="AN224" s="500" t="n">
        <x:f>IF(AND(AK224="Yes",OR(O224="Labour",O224="Plant")),Z224,0)</x:f>
        <x:v>0</x:v>
      </x:c>
    </x:row>
    <x:row r="225">
      <x:c r="A225" s="80" t="str">
        <x:f>IF(B225="","",B225&amp;"-"&amp;TEXT(COUNTIF($B$7:B225,B225),"000"))</x:f>
      </x:c>
      <x:c r="B225" s="53"/>
      <x:c r="C225" s="81" t="str">
        <x:f>IFERROR(INDEX('QS Takeoff'!$A$3:$A$194,MATCH(B225,'QS Takeoff'!$B$3:$B$194,0)),"")</x:f>
      </x:c>
      <x:c r="D225" s="81" t="str">
        <x:f>IFERROR(INDEX('QS Takeoff'!$C$3:$C$194,MATCH(B225,'QS Takeoff'!$B$3:$B$194,0)),"")</x:f>
      </x:c>
      <x:c r="E225" s="81" t="str">
        <x:f>IFERROR(INDEX('QS Takeoff'!$E$3:$E$194,MATCH(B225,'QS Takeoff'!$B$3:$B$194,0)),"")</x:f>
      </x:c>
      <x:c r="F225" s="81" t="str">
        <x:f>IFERROR(INDEX('QS Takeoff'!$D$3:$D$194,MATCH(B225,'QS Takeoff'!$B$3:$B$194,0)),"")</x:f>
      </x:c>
      <x:c r="G225" s="81" t="str">
        <x:f>IFERROR(INDEX('QS Takeoff'!$J$3:$J$194,MATCH(B225,'QS Takeoff'!$B$3:$B$194,0)),"")</x:f>
      </x:c>
      <x:c r="H225" s="53"/>
      <x:c r="I225" s="60"/>
      <x:c r="J225" s="60"/>
      <x:c r="K225" s="82" t="str">
        <x:f t="shared" si="18">IF(OR(B225="",I225="",I225=0),"",E225/I225)</x:f>
      </x:c>
      <x:c r="L225" s="60"/>
      <x:c r="M225" s="82" t="str">
        <x:f t="shared" si="19">IF(L225&gt;0,L225,K225)</x:f>
      </x:c>
      <x:c r="N225" s="53"/>
      <x:c r="O225" s="53"/>
      <x:c r="P225" s="53"/>
      <x:c r="Q225" s="81" t="str">
        <x:f>IFERROR(INDEX('Resource Rate Library'!$C$5:$C$85,MATCH(P225,'Resource Rate Library'!$A$5:$A$85,0)),"")</x:f>
      </x:c>
      <x:c r="R225" s="53"/>
      <x:c r="S225" s="53"/>
      <x:c r="T225" s="81" t="str">
        <x:f>IFERROR(INDEX('Resource Rate Library'!$E$5:$E$85,MATCH(P225,'Resource Rate Library'!$A$5:$A$85,0)),"")</x:f>
      </x:c>
      <x:c r="U225" s="62"/>
      <x:c r="V225" s="62"/>
      <x:c r="W225" s="83" t="n">
        <x:f>IFERROR(INDEX('Resource Rate Library'!$I$5:$I$85,MATCH(P225,'Resource Rate Library'!$A$5:$A$85,0)),0)</x:f>
        <x:v>0</x:v>
      </x:c>
      <x:c r="X225" s="52"/>
      <x:c r="Y225" s="83" t="n">
        <x:f t="shared" si="20">IF(X225&gt;0,X225,W225)</x:f>
        <x:v>0</x:v>
      </x:c>
      <x:c r="Z225" s="83" t="str">
        <x:f t="shared" si="21">IF(B225="","",IF(N225="Time x Count",M225*R225*IF(U225="",1,U225)*Y225,IF(N225="QS Qty x Factor",E225*R225*(1+IF(V225="",0,V225))*Y225,IF(N225="Direct Qty",S225*(1+IF(V225="",0,V225))*Y225,IF(N225="Lump Sum / Quote",S225*Y225,0)))))</x:f>
      </x:c>
      <x:c r="AA225" s="81" t="str">
        <x:f>IFERROR(INDEX('Resource Rate Library'!$N$5:$N$85,MATCH(P225,'Resource Rate Library'!$A$5:$A$85,0)),"")</x:f>
      </x:c>
      <x:c r="AB225" s="53"/>
      <x:c r="AC225" s="59"/>
      <x:c r="AD225" s="81" t="str">
        <x:f>IFERROR(INDEX('Resource Rate Library'!$G$5:$G$85,MATCH(P225,'Resource Rate Library'!$A$5:$A$85,0)),"")</x:f>
      </x:c>
      <x:c r="AE225" s="81" t="str">
        <x:f>IFERROR(INDEX('Resource Rate Library'!$H$5:$H$85,MATCH(P225,'Resource Rate Library'!$A$5:$A$85,0)),"")</x:f>
      </x:c>
      <x:c r="AF225" s="53"/>
      <x:c r="AG225" s="53"/>
      <x:c r="AH225" s="53"/>
      <x:c r="AI225" s="81" t="str">
        <x:f t="shared" si="22">IF(B225="","",IF(AND(P225="",N225&lt;&gt;"Lump Sum / Quote"),"RESOURCE CODE",IF(Y225=0,"RATE MISSING",IF(AND(O225="Plant",AD225="Yes",COUNTIFS($B$7:$B$306,B225,$O$7:$O$306,"Labour",$Q$7:$Q$306,"*Operator*")&gt;0),"OPERATOR DOUBLE-COUNT",IF(AND(O225="Plant",AE225="Yes",COUNTIFS($B$7:$B$306,B225,$Q$7:$Q$306,"*Fuel*")&gt;0),"FUEL DOUBLE-COUNT",IF(AH225&lt;&gt;"Yes","VERIFY","OK"))))))</x:f>
      </x:c>
      <x:c r="AJ225" s="54"/>
      <x:c r="AK225" s="473"/>
      <x:c r="AL225" s="473"/>
      <x:c r="AM225" s="473"/>
      <x:c r="AN225" s="500" t="n">
        <x:f>IF(AND(AK225="Yes",OR(O225="Labour",O225="Plant")),Z225,0)</x:f>
        <x:v>0</x:v>
      </x:c>
    </x:row>
    <x:row r="226">
      <x:c r="A226" s="80" t="str">
        <x:f>IF(B226="","",B226&amp;"-"&amp;TEXT(COUNTIF($B$7:B226,B226),"000"))</x:f>
      </x:c>
      <x:c r="B226" s="53"/>
      <x:c r="C226" s="81" t="str">
        <x:f>IFERROR(INDEX('QS Takeoff'!$A$3:$A$194,MATCH(B226,'QS Takeoff'!$B$3:$B$194,0)),"")</x:f>
      </x:c>
      <x:c r="D226" s="81" t="str">
        <x:f>IFERROR(INDEX('QS Takeoff'!$C$3:$C$194,MATCH(B226,'QS Takeoff'!$B$3:$B$194,0)),"")</x:f>
      </x:c>
      <x:c r="E226" s="81" t="str">
        <x:f>IFERROR(INDEX('QS Takeoff'!$E$3:$E$194,MATCH(B226,'QS Takeoff'!$B$3:$B$194,0)),"")</x:f>
      </x:c>
      <x:c r="F226" s="81" t="str">
        <x:f>IFERROR(INDEX('QS Takeoff'!$D$3:$D$194,MATCH(B226,'QS Takeoff'!$B$3:$B$194,0)),"")</x:f>
      </x:c>
      <x:c r="G226" s="81" t="str">
        <x:f>IFERROR(INDEX('QS Takeoff'!$J$3:$J$194,MATCH(B226,'QS Takeoff'!$B$3:$B$194,0)),"")</x:f>
      </x:c>
      <x:c r="H226" s="53"/>
      <x:c r="I226" s="60"/>
      <x:c r="J226" s="60"/>
      <x:c r="K226" s="82" t="str">
        <x:f t="shared" si="18">IF(OR(B226="",I226="",I226=0),"",E226/I226)</x:f>
      </x:c>
      <x:c r="L226" s="60"/>
      <x:c r="M226" s="82" t="str">
        <x:f t="shared" si="19">IF(L226&gt;0,L226,K226)</x:f>
      </x:c>
      <x:c r="N226" s="53"/>
      <x:c r="O226" s="53"/>
      <x:c r="P226" s="53"/>
      <x:c r="Q226" s="81" t="str">
        <x:f>IFERROR(INDEX('Resource Rate Library'!$C$5:$C$85,MATCH(P226,'Resource Rate Library'!$A$5:$A$85,0)),"")</x:f>
      </x:c>
      <x:c r="R226" s="53"/>
      <x:c r="S226" s="53"/>
      <x:c r="T226" s="81" t="str">
        <x:f>IFERROR(INDEX('Resource Rate Library'!$E$5:$E$85,MATCH(P226,'Resource Rate Library'!$A$5:$A$85,0)),"")</x:f>
      </x:c>
      <x:c r="U226" s="62"/>
      <x:c r="V226" s="62"/>
      <x:c r="W226" s="83" t="n">
        <x:f>IFERROR(INDEX('Resource Rate Library'!$I$5:$I$85,MATCH(P226,'Resource Rate Library'!$A$5:$A$85,0)),0)</x:f>
        <x:v>0</x:v>
      </x:c>
      <x:c r="X226" s="52"/>
      <x:c r="Y226" s="83" t="n">
        <x:f t="shared" si="20">IF(X226&gt;0,X226,W226)</x:f>
        <x:v>0</x:v>
      </x:c>
      <x:c r="Z226" s="83" t="str">
        <x:f t="shared" si="21">IF(B226="","",IF(N226="Time x Count",M226*R226*IF(U226="",1,U226)*Y226,IF(N226="QS Qty x Factor",E226*R226*(1+IF(V226="",0,V226))*Y226,IF(N226="Direct Qty",S226*(1+IF(V226="",0,V226))*Y226,IF(N226="Lump Sum / Quote",S226*Y226,0)))))</x:f>
      </x:c>
      <x:c r="AA226" s="81" t="str">
        <x:f>IFERROR(INDEX('Resource Rate Library'!$N$5:$N$85,MATCH(P226,'Resource Rate Library'!$A$5:$A$85,0)),"")</x:f>
      </x:c>
      <x:c r="AB226" s="53"/>
      <x:c r="AC226" s="59"/>
      <x:c r="AD226" s="81" t="str">
        <x:f>IFERROR(INDEX('Resource Rate Library'!$G$5:$G$85,MATCH(P226,'Resource Rate Library'!$A$5:$A$85,0)),"")</x:f>
      </x:c>
      <x:c r="AE226" s="81" t="str">
        <x:f>IFERROR(INDEX('Resource Rate Library'!$H$5:$H$85,MATCH(P226,'Resource Rate Library'!$A$5:$A$85,0)),"")</x:f>
      </x:c>
      <x:c r="AF226" s="53"/>
      <x:c r="AG226" s="53"/>
      <x:c r="AH226" s="53"/>
      <x:c r="AI226" s="81" t="str">
        <x:f t="shared" si="22">IF(B226="","",IF(AND(P226="",N226&lt;&gt;"Lump Sum / Quote"),"RESOURCE CODE",IF(Y226=0,"RATE MISSING",IF(AND(O226="Plant",AD226="Yes",COUNTIFS($B$7:$B$306,B226,$O$7:$O$306,"Labour",$Q$7:$Q$306,"*Operator*")&gt;0),"OPERATOR DOUBLE-COUNT",IF(AND(O226="Plant",AE226="Yes",COUNTIFS($B$7:$B$306,B226,$Q$7:$Q$306,"*Fuel*")&gt;0),"FUEL DOUBLE-COUNT",IF(AH226&lt;&gt;"Yes","VERIFY","OK"))))))</x:f>
      </x:c>
      <x:c r="AJ226" s="54"/>
      <x:c r="AK226" s="473"/>
      <x:c r="AL226" s="473"/>
      <x:c r="AM226" s="473"/>
      <x:c r="AN226" s="500" t="n">
        <x:f>IF(AND(AK226="Yes",OR(O226="Labour",O226="Plant")),Z226,0)</x:f>
        <x:v>0</x:v>
      </x:c>
    </x:row>
    <x:row r="227">
      <x:c r="A227" s="80" t="str">
        <x:f>IF(B227="","",B227&amp;"-"&amp;TEXT(COUNTIF($B$7:B227,B227),"000"))</x:f>
      </x:c>
      <x:c r="B227" s="53"/>
      <x:c r="C227" s="81" t="str">
        <x:f>IFERROR(INDEX('QS Takeoff'!$A$3:$A$194,MATCH(B227,'QS Takeoff'!$B$3:$B$194,0)),"")</x:f>
      </x:c>
      <x:c r="D227" s="81" t="str">
        <x:f>IFERROR(INDEX('QS Takeoff'!$C$3:$C$194,MATCH(B227,'QS Takeoff'!$B$3:$B$194,0)),"")</x:f>
      </x:c>
      <x:c r="E227" s="81" t="str">
        <x:f>IFERROR(INDEX('QS Takeoff'!$E$3:$E$194,MATCH(B227,'QS Takeoff'!$B$3:$B$194,0)),"")</x:f>
      </x:c>
      <x:c r="F227" s="81" t="str">
        <x:f>IFERROR(INDEX('QS Takeoff'!$D$3:$D$194,MATCH(B227,'QS Takeoff'!$B$3:$B$194,0)),"")</x:f>
      </x:c>
      <x:c r="G227" s="81" t="str">
        <x:f>IFERROR(INDEX('QS Takeoff'!$J$3:$J$194,MATCH(B227,'QS Takeoff'!$B$3:$B$194,0)),"")</x:f>
      </x:c>
      <x:c r="H227" s="53"/>
      <x:c r="I227" s="60"/>
      <x:c r="J227" s="60"/>
      <x:c r="K227" s="82" t="str">
        <x:f t="shared" si="18">IF(OR(B227="",I227="",I227=0),"",E227/I227)</x:f>
      </x:c>
      <x:c r="L227" s="60"/>
      <x:c r="M227" s="82" t="str">
        <x:f t="shared" si="19">IF(L227&gt;0,L227,K227)</x:f>
      </x:c>
      <x:c r="N227" s="53"/>
      <x:c r="O227" s="53"/>
      <x:c r="P227" s="53"/>
      <x:c r="Q227" s="81" t="str">
        <x:f>IFERROR(INDEX('Resource Rate Library'!$C$5:$C$85,MATCH(P227,'Resource Rate Library'!$A$5:$A$85,0)),"")</x:f>
      </x:c>
      <x:c r="R227" s="53"/>
      <x:c r="S227" s="53"/>
      <x:c r="T227" s="81" t="str">
        <x:f>IFERROR(INDEX('Resource Rate Library'!$E$5:$E$85,MATCH(P227,'Resource Rate Library'!$A$5:$A$85,0)),"")</x:f>
      </x:c>
      <x:c r="U227" s="62"/>
      <x:c r="V227" s="62"/>
      <x:c r="W227" s="83" t="n">
        <x:f>IFERROR(INDEX('Resource Rate Library'!$I$5:$I$85,MATCH(P227,'Resource Rate Library'!$A$5:$A$85,0)),0)</x:f>
        <x:v>0</x:v>
      </x:c>
      <x:c r="X227" s="52"/>
      <x:c r="Y227" s="83" t="n">
        <x:f t="shared" si="20">IF(X227&gt;0,X227,W227)</x:f>
        <x:v>0</x:v>
      </x:c>
      <x:c r="Z227" s="83" t="str">
        <x:f t="shared" si="21">IF(B227="","",IF(N227="Time x Count",M227*R227*IF(U227="",1,U227)*Y227,IF(N227="QS Qty x Factor",E227*R227*(1+IF(V227="",0,V227))*Y227,IF(N227="Direct Qty",S227*(1+IF(V227="",0,V227))*Y227,IF(N227="Lump Sum / Quote",S227*Y227,0)))))</x:f>
      </x:c>
      <x:c r="AA227" s="81" t="str">
        <x:f>IFERROR(INDEX('Resource Rate Library'!$N$5:$N$85,MATCH(P227,'Resource Rate Library'!$A$5:$A$85,0)),"")</x:f>
      </x:c>
      <x:c r="AB227" s="53"/>
      <x:c r="AC227" s="59"/>
      <x:c r="AD227" s="81" t="str">
        <x:f>IFERROR(INDEX('Resource Rate Library'!$G$5:$G$85,MATCH(P227,'Resource Rate Library'!$A$5:$A$85,0)),"")</x:f>
      </x:c>
      <x:c r="AE227" s="81" t="str">
        <x:f>IFERROR(INDEX('Resource Rate Library'!$H$5:$H$85,MATCH(P227,'Resource Rate Library'!$A$5:$A$85,0)),"")</x:f>
      </x:c>
      <x:c r="AF227" s="53"/>
      <x:c r="AG227" s="53"/>
      <x:c r="AH227" s="53"/>
      <x:c r="AI227" s="81" t="str">
        <x:f t="shared" si="22">IF(B227="","",IF(AND(P227="",N227&lt;&gt;"Lump Sum / Quote"),"RESOURCE CODE",IF(Y227=0,"RATE MISSING",IF(AND(O227="Plant",AD227="Yes",COUNTIFS($B$7:$B$306,B227,$O$7:$O$306,"Labour",$Q$7:$Q$306,"*Operator*")&gt;0),"OPERATOR DOUBLE-COUNT",IF(AND(O227="Plant",AE227="Yes",COUNTIFS($B$7:$B$306,B227,$Q$7:$Q$306,"*Fuel*")&gt;0),"FUEL DOUBLE-COUNT",IF(AH227&lt;&gt;"Yes","VERIFY","OK"))))))</x:f>
      </x:c>
      <x:c r="AJ227" s="54"/>
      <x:c r="AK227" s="473"/>
      <x:c r="AL227" s="473"/>
      <x:c r="AM227" s="473"/>
      <x:c r="AN227" s="500" t="n">
        <x:f>IF(AND(AK227="Yes",OR(O227="Labour",O227="Plant")),Z227,0)</x:f>
        <x:v>0</x:v>
      </x:c>
    </x:row>
    <x:row r="228">
      <x:c r="A228" s="80" t="str">
        <x:f>IF(B228="","",B228&amp;"-"&amp;TEXT(COUNTIF($B$7:B228,B228),"000"))</x:f>
      </x:c>
      <x:c r="B228" s="53"/>
      <x:c r="C228" s="81" t="str">
        <x:f>IFERROR(INDEX('QS Takeoff'!$A$3:$A$194,MATCH(B228,'QS Takeoff'!$B$3:$B$194,0)),"")</x:f>
      </x:c>
      <x:c r="D228" s="81" t="str">
        <x:f>IFERROR(INDEX('QS Takeoff'!$C$3:$C$194,MATCH(B228,'QS Takeoff'!$B$3:$B$194,0)),"")</x:f>
      </x:c>
      <x:c r="E228" s="81" t="str">
        <x:f>IFERROR(INDEX('QS Takeoff'!$E$3:$E$194,MATCH(B228,'QS Takeoff'!$B$3:$B$194,0)),"")</x:f>
      </x:c>
      <x:c r="F228" s="81" t="str">
        <x:f>IFERROR(INDEX('QS Takeoff'!$D$3:$D$194,MATCH(B228,'QS Takeoff'!$B$3:$B$194,0)),"")</x:f>
      </x:c>
      <x:c r="G228" s="81" t="str">
        <x:f>IFERROR(INDEX('QS Takeoff'!$J$3:$J$194,MATCH(B228,'QS Takeoff'!$B$3:$B$194,0)),"")</x:f>
      </x:c>
      <x:c r="H228" s="53"/>
      <x:c r="I228" s="60"/>
      <x:c r="J228" s="60"/>
      <x:c r="K228" s="82" t="str">
        <x:f t="shared" si="18">IF(OR(B228="",I228="",I228=0),"",E228/I228)</x:f>
      </x:c>
      <x:c r="L228" s="60"/>
      <x:c r="M228" s="82" t="str">
        <x:f t="shared" si="19">IF(L228&gt;0,L228,K228)</x:f>
      </x:c>
      <x:c r="N228" s="53"/>
      <x:c r="O228" s="53"/>
      <x:c r="P228" s="53"/>
      <x:c r="Q228" s="81" t="str">
        <x:f>IFERROR(INDEX('Resource Rate Library'!$C$5:$C$85,MATCH(P228,'Resource Rate Library'!$A$5:$A$85,0)),"")</x:f>
      </x:c>
      <x:c r="R228" s="53"/>
      <x:c r="S228" s="53"/>
      <x:c r="T228" s="81" t="str">
        <x:f>IFERROR(INDEX('Resource Rate Library'!$E$5:$E$85,MATCH(P228,'Resource Rate Library'!$A$5:$A$85,0)),"")</x:f>
      </x:c>
      <x:c r="U228" s="62"/>
      <x:c r="V228" s="62"/>
      <x:c r="W228" s="83" t="n">
        <x:f>IFERROR(INDEX('Resource Rate Library'!$I$5:$I$85,MATCH(P228,'Resource Rate Library'!$A$5:$A$85,0)),0)</x:f>
        <x:v>0</x:v>
      </x:c>
      <x:c r="X228" s="52"/>
      <x:c r="Y228" s="83" t="n">
        <x:f t="shared" si="20">IF(X228&gt;0,X228,W228)</x:f>
        <x:v>0</x:v>
      </x:c>
      <x:c r="Z228" s="83" t="str">
        <x:f t="shared" si="21">IF(B228="","",IF(N228="Time x Count",M228*R228*IF(U228="",1,U228)*Y228,IF(N228="QS Qty x Factor",E228*R228*(1+IF(V228="",0,V228))*Y228,IF(N228="Direct Qty",S228*(1+IF(V228="",0,V228))*Y228,IF(N228="Lump Sum / Quote",S228*Y228,0)))))</x:f>
      </x:c>
      <x:c r="AA228" s="81" t="str">
        <x:f>IFERROR(INDEX('Resource Rate Library'!$N$5:$N$85,MATCH(P228,'Resource Rate Library'!$A$5:$A$85,0)),"")</x:f>
      </x:c>
      <x:c r="AB228" s="53"/>
      <x:c r="AC228" s="59"/>
      <x:c r="AD228" s="81" t="str">
        <x:f>IFERROR(INDEX('Resource Rate Library'!$G$5:$G$85,MATCH(P228,'Resource Rate Library'!$A$5:$A$85,0)),"")</x:f>
      </x:c>
      <x:c r="AE228" s="81" t="str">
        <x:f>IFERROR(INDEX('Resource Rate Library'!$H$5:$H$85,MATCH(P228,'Resource Rate Library'!$A$5:$A$85,0)),"")</x:f>
      </x:c>
      <x:c r="AF228" s="53"/>
      <x:c r="AG228" s="53"/>
      <x:c r="AH228" s="53"/>
      <x:c r="AI228" s="81" t="str">
        <x:f t="shared" si="22">IF(B228="","",IF(AND(P228="",N228&lt;&gt;"Lump Sum / Quote"),"RESOURCE CODE",IF(Y228=0,"RATE MISSING",IF(AND(O228="Plant",AD228="Yes",COUNTIFS($B$7:$B$306,B228,$O$7:$O$306,"Labour",$Q$7:$Q$306,"*Operator*")&gt;0),"OPERATOR DOUBLE-COUNT",IF(AND(O228="Plant",AE228="Yes",COUNTIFS($B$7:$B$306,B228,$Q$7:$Q$306,"*Fuel*")&gt;0),"FUEL DOUBLE-COUNT",IF(AH228&lt;&gt;"Yes","VERIFY","OK"))))))</x:f>
      </x:c>
      <x:c r="AJ228" s="54"/>
      <x:c r="AK228" s="473"/>
      <x:c r="AL228" s="473"/>
      <x:c r="AM228" s="473"/>
      <x:c r="AN228" s="500" t="n">
        <x:f>IF(AND(AK228="Yes",OR(O228="Labour",O228="Plant")),Z228,0)</x:f>
        <x:v>0</x:v>
      </x:c>
    </x:row>
    <x:row r="229">
      <x:c r="A229" s="80" t="str">
        <x:f>IF(B229="","",B229&amp;"-"&amp;TEXT(COUNTIF($B$7:B229,B229),"000"))</x:f>
      </x:c>
      <x:c r="B229" s="53"/>
      <x:c r="C229" s="81" t="str">
        <x:f>IFERROR(INDEX('QS Takeoff'!$A$3:$A$194,MATCH(B229,'QS Takeoff'!$B$3:$B$194,0)),"")</x:f>
      </x:c>
      <x:c r="D229" s="81" t="str">
        <x:f>IFERROR(INDEX('QS Takeoff'!$C$3:$C$194,MATCH(B229,'QS Takeoff'!$B$3:$B$194,0)),"")</x:f>
      </x:c>
      <x:c r="E229" s="81" t="str">
        <x:f>IFERROR(INDEX('QS Takeoff'!$E$3:$E$194,MATCH(B229,'QS Takeoff'!$B$3:$B$194,0)),"")</x:f>
      </x:c>
      <x:c r="F229" s="81" t="str">
        <x:f>IFERROR(INDEX('QS Takeoff'!$D$3:$D$194,MATCH(B229,'QS Takeoff'!$B$3:$B$194,0)),"")</x:f>
      </x:c>
      <x:c r="G229" s="81" t="str">
        <x:f>IFERROR(INDEX('QS Takeoff'!$J$3:$J$194,MATCH(B229,'QS Takeoff'!$B$3:$B$194,0)),"")</x:f>
      </x:c>
      <x:c r="H229" s="53"/>
      <x:c r="I229" s="60"/>
      <x:c r="J229" s="60"/>
      <x:c r="K229" s="82" t="str">
        <x:f t="shared" si="18">IF(OR(B229="",I229="",I229=0),"",E229/I229)</x:f>
      </x:c>
      <x:c r="L229" s="60"/>
      <x:c r="M229" s="82" t="str">
        <x:f t="shared" si="19">IF(L229&gt;0,L229,K229)</x:f>
      </x:c>
      <x:c r="N229" s="53"/>
      <x:c r="O229" s="53"/>
      <x:c r="P229" s="53"/>
      <x:c r="Q229" s="81" t="str">
        <x:f>IFERROR(INDEX('Resource Rate Library'!$C$5:$C$85,MATCH(P229,'Resource Rate Library'!$A$5:$A$85,0)),"")</x:f>
      </x:c>
      <x:c r="R229" s="53"/>
      <x:c r="S229" s="53"/>
      <x:c r="T229" s="81" t="str">
        <x:f>IFERROR(INDEX('Resource Rate Library'!$E$5:$E$85,MATCH(P229,'Resource Rate Library'!$A$5:$A$85,0)),"")</x:f>
      </x:c>
      <x:c r="U229" s="62"/>
      <x:c r="V229" s="62"/>
      <x:c r="W229" s="83" t="n">
        <x:f>IFERROR(INDEX('Resource Rate Library'!$I$5:$I$85,MATCH(P229,'Resource Rate Library'!$A$5:$A$85,0)),0)</x:f>
        <x:v>0</x:v>
      </x:c>
      <x:c r="X229" s="52"/>
      <x:c r="Y229" s="83" t="n">
        <x:f t="shared" si="20">IF(X229&gt;0,X229,W229)</x:f>
        <x:v>0</x:v>
      </x:c>
      <x:c r="Z229" s="83" t="str">
        <x:f t="shared" si="21">IF(B229="","",IF(N229="Time x Count",M229*R229*IF(U229="",1,U229)*Y229,IF(N229="QS Qty x Factor",E229*R229*(1+IF(V229="",0,V229))*Y229,IF(N229="Direct Qty",S229*(1+IF(V229="",0,V229))*Y229,IF(N229="Lump Sum / Quote",S229*Y229,0)))))</x:f>
      </x:c>
      <x:c r="AA229" s="81" t="str">
        <x:f>IFERROR(INDEX('Resource Rate Library'!$N$5:$N$85,MATCH(P229,'Resource Rate Library'!$A$5:$A$85,0)),"")</x:f>
      </x:c>
      <x:c r="AB229" s="53"/>
      <x:c r="AC229" s="59"/>
      <x:c r="AD229" s="81" t="str">
        <x:f>IFERROR(INDEX('Resource Rate Library'!$G$5:$G$85,MATCH(P229,'Resource Rate Library'!$A$5:$A$85,0)),"")</x:f>
      </x:c>
      <x:c r="AE229" s="81" t="str">
        <x:f>IFERROR(INDEX('Resource Rate Library'!$H$5:$H$85,MATCH(P229,'Resource Rate Library'!$A$5:$A$85,0)),"")</x:f>
      </x:c>
      <x:c r="AF229" s="53"/>
      <x:c r="AG229" s="53"/>
      <x:c r="AH229" s="53"/>
      <x:c r="AI229" s="81" t="str">
        <x:f t="shared" si="22">IF(B229="","",IF(AND(P229="",N229&lt;&gt;"Lump Sum / Quote"),"RESOURCE CODE",IF(Y229=0,"RATE MISSING",IF(AND(O229="Plant",AD229="Yes",COUNTIFS($B$7:$B$306,B229,$O$7:$O$306,"Labour",$Q$7:$Q$306,"*Operator*")&gt;0),"OPERATOR DOUBLE-COUNT",IF(AND(O229="Plant",AE229="Yes",COUNTIFS($B$7:$B$306,B229,$Q$7:$Q$306,"*Fuel*")&gt;0),"FUEL DOUBLE-COUNT",IF(AH229&lt;&gt;"Yes","VERIFY","OK"))))))</x:f>
      </x:c>
      <x:c r="AJ229" s="54"/>
      <x:c r="AK229" s="473"/>
      <x:c r="AL229" s="473"/>
      <x:c r="AM229" s="473"/>
      <x:c r="AN229" s="500" t="n">
        <x:f>IF(AND(AK229="Yes",OR(O229="Labour",O229="Plant")),Z229,0)</x:f>
        <x:v>0</x:v>
      </x:c>
    </x:row>
    <x:row r="230">
      <x:c r="A230" s="80" t="str">
        <x:f>IF(B230="","",B230&amp;"-"&amp;TEXT(COUNTIF($B$7:B230,B230),"000"))</x:f>
      </x:c>
      <x:c r="B230" s="53"/>
      <x:c r="C230" s="81" t="str">
        <x:f>IFERROR(INDEX('QS Takeoff'!$A$3:$A$194,MATCH(B230,'QS Takeoff'!$B$3:$B$194,0)),"")</x:f>
      </x:c>
      <x:c r="D230" s="81" t="str">
        <x:f>IFERROR(INDEX('QS Takeoff'!$C$3:$C$194,MATCH(B230,'QS Takeoff'!$B$3:$B$194,0)),"")</x:f>
      </x:c>
      <x:c r="E230" s="81" t="str">
        <x:f>IFERROR(INDEX('QS Takeoff'!$E$3:$E$194,MATCH(B230,'QS Takeoff'!$B$3:$B$194,0)),"")</x:f>
      </x:c>
      <x:c r="F230" s="81" t="str">
        <x:f>IFERROR(INDEX('QS Takeoff'!$D$3:$D$194,MATCH(B230,'QS Takeoff'!$B$3:$B$194,0)),"")</x:f>
      </x:c>
      <x:c r="G230" s="81" t="str">
        <x:f>IFERROR(INDEX('QS Takeoff'!$J$3:$J$194,MATCH(B230,'QS Takeoff'!$B$3:$B$194,0)),"")</x:f>
      </x:c>
      <x:c r="H230" s="53"/>
      <x:c r="I230" s="60"/>
      <x:c r="J230" s="60"/>
      <x:c r="K230" s="82" t="str">
        <x:f t="shared" si="18">IF(OR(B230="",I230="",I230=0),"",E230/I230)</x:f>
      </x:c>
      <x:c r="L230" s="60"/>
      <x:c r="M230" s="82" t="str">
        <x:f t="shared" si="19">IF(L230&gt;0,L230,K230)</x:f>
      </x:c>
      <x:c r="N230" s="53"/>
      <x:c r="O230" s="53"/>
      <x:c r="P230" s="53"/>
      <x:c r="Q230" s="81" t="str">
        <x:f>IFERROR(INDEX('Resource Rate Library'!$C$5:$C$85,MATCH(P230,'Resource Rate Library'!$A$5:$A$85,0)),"")</x:f>
      </x:c>
      <x:c r="R230" s="53"/>
      <x:c r="S230" s="53"/>
      <x:c r="T230" s="81" t="str">
        <x:f>IFERROR(INDEX('Resource Rate Library'!$E$5:$E$85,MATCH(P230,'Resource Rate Library'!$A$5:$A$85,0)),"")</x:f>
      </x:c>
      <x:c r="U230" s="62"/>
      <x:c r="V230" s="62"/>
      <x:c r="W230" s="83" t="n">
        <x:f>IFERROR(INDEX('Resource Rate Library'!$I$5:$I$85,MATCH(P230,'Resource Rate Library'!$A$5:$A$85,0)),0)</x:f>
        <x:v>0</x:v>
      </x:c>
      <x:c r="X230" s="52"/>
      <x:c r="Y230" s="83" t="n">
        <x:f t="shared" si="20">IF(X230&gt;0,X230,W230)</x:f>
        <x:v>0</x:v>
      </x:c>
      <x:c r="Z230" s="83" t="str">
        <x:f t="shared" si="21">IF(B230="","",IF(N230="Time x Count",M230*R230*IF(U230="",1,U230)*Y230,IF(N230="QS Qty x Factor",E230*R230*(1+IF(V230="",0,V230))*Y230,IF(N230="Direct Qty",S230*(1+IF(V230="",0,V230))*Y230,IF(N230="Lump Sum / Quote",S230*Y230,0)))))</x:f>
      </x:c>
      <x:c r="AA230" s="81" t="str">
        <x:f>IFERROR(INDEX('Resource Rate Library'!$N$5:$N$85,MATCH(P230,'Resource Rate Library'!$A$5:$A$85,0)),"")</x:f>
      </x:c>
      <x:c r="AB230" s="53"/>
      <x:c r="AC230" s="59"/>
      <x:c r="AD230" s="81" t="str">
        <x:f>IFERROR(INDEX('Resource Rate Library'!$G$5:$G$85,MATCH(P230,'Resource Rate Library'!$A$5:$A$85,0)),"")</x:f>
      </x:c>
      <x:c r="AE230" s="81" t="str">
        <x:f>IFERROR(INDEX('Resource Rate Library'!$H$5:$H$85,MATCH(P230,'Resource Rate Library'!$A$5:$A$85,0)),"")</x:f>
      </x:c>
      <x:c r="AF230" s="53"/>
      <x:c r="AG230" s="53"/>
      <x:c r="AH230" s="53"/>
      <x:c r="AI230" s="81" t="str">
        <x:f t="shared" si="22">IF(B230="","",IF(AND(P230="",N230&lt;&gt;"Lump Sum / Quote"),"RESOURCE CODE",IF(Y230=0,"RATE MISSING",IF(AND(O230="Plant",AD230="Yes",COUNTIFS($B$7:$B$306,B230,$O$7:$O$306,"Labour",$Q$7:$Q$306,"*Operator*")&gt;0),"OPERATOR DOUBLE-COUNT",IF(AND(O230="Plant",AE230="Yes",COUNTIFS($B$7:$B$306,B230,$Q$7:$Q$306,"*Fuel*")&gt;0),"FUEL DOUBLE-COUNT",IF(AH230&lt;&gt;"Yes","VERIFY","OK"))))))</x:f>
      </x:c>
      <x:c r="AJ230" s="54"/>
      <x:c r="AK230" s="473"/>
      <x:c r="AL230" s="473"/>
      <x:c r="AM230" s="473"/>
      <x:c r="AN230" s="500" t="n">
        <x:f>IF(AND(AK230="Yes",OR(O230="Labour",O230="Plant")),Z230,0)</x:f>
        <x:v>0</x:v>
      </x:c>
    </x:row>
    <x:row r="231">
      <x:c r="A231" s="80" t="str">
        <x:f>IF(B231="","",B231&amp;"-"&amp;TEXT(COUNTIF($B$7:B231,B231),"000"))</x:f>
      </x:c>
      <x:c r="B231" s="53"/>
      <x:c r="C231" s="81" t="str">
        <x:f>IFERROR(INDEX('QS Takeoff'!$A$3:$A$194,MATCH(B231,'QS Takeoff'!$B$3:$B$194,0)),"")</x:f>
      </x:c>
      <x:c r="D231" s="81" t="str">
        <x:f>IFERROR(INDEX('QS Takeoff'!$C$3:$C$194,MATCH(B231,'QS Takeoff'!$B$3:$B$194,0)),"")</x:f>
      </x:c>
      <x:c r="E231" s="81" t="str">
        <x:f>IFERROR(INDEX('QS Takeoff'!$E$3:$E$194,MATCH(B231,'QS Takeoff'!$B$3:$B$194,0)),"")</x:f>
      </x:c>
      <x:c r="F231" s="81" t="str">
        <x:f>IFERROR(INDEX('QS Takeoff'!$D$3:$D$194,MATCH(B231,'QS Takeoff'!$B$3:$B$194,0)),"")</x:f>
      </x:c>
      <x:c r="G231" s="81" t="str">
        <x:f>IFERROR(INDEX('QS Takeoff'!$J$3:$J$194,MATCH(B231,'QS Takeoff'!$B$3:$B$194,0)),"")</x:f>
      </x:c>
      <x:c r="H231" s="53"/>
      <x:c r="I231" s="60"/>
      <x:c r="J231" s="60"/>
      <x:c r="K231" s="82" t="str">
        <x:f t="shared" si="18">IF(OR(B231="",I231="",I231=0),"",E231/I231)</x:f>
      </x:c>
      <x:c r="L231" s="60"/>
      <x:c r="M231" s="82" t="str">
        <x:f t="shared" si="19">IF(L231&gt;0,L231,K231)</x:f>
      </x:c>
      <x:c r="N231" s="53"/>
      <x:c r="O231" s="53"/>
      <x:c r="P231" s="53"/>
      <x:c r="Q231" s="81" t="str">
        <x:f>IFERROR(INDEX('Resource Rate Library'!$C$5:$C$85,MATCH(P231,'Resource Rate Library'!$A$5:$A$85,0)),"")</x:f>
      </x:c>
      <x:c r="R231" s="53"/>
      <x:c r="S231" s="53"/>
      <x:c r="T231" s="81" t="str">
        <x:f>IFERROR(INDEX('Resource Rate Library'!$E$5:$E$85,MATCH(P231,'Resource Rate Library'!$A$5:$A$85,0)),"")</x:f>
      </x:c>
      <x:c r="U231" s="62"/>
      <x:c r="V231" s="62"/>
      <x:c r="W231" s="83" t="n">
        <x:f>IFERROR(INDEX('Resource Rate Library'!$I$5:$I$85,MATCH(P231,'Resource Rate Library'!$A$5:$A$85,0)),0)</x:f>
        <x:v>0</x:v>
      </x:c>
      <x:c r="X231" s="52"/>
      <x:c r="Y231" s="83" t="n">
        <x:f t="shared" si="20">IF(X231&gt;0,X231,W231)</x:f>
        <x:v>0</x:v>
      </x:c>
      <x:c r="Z231" s="83" t="str">
        <x:f t="shared" si="21">IF(B231="","",IF(N231="Time x Count",M231*R231*IF(U231="",1,U231)*Y231,IF(N231="QS Qty x Factor",E231*R231*(1+IF(V231="",0,V231))*Y231,IF(N231="Direct Qty",S231*(1+IF(V231="",0,V231))*Y231,IF(N231="Lump Sum / Quote",S231*Y231,0)))))</x:f>
      </x:c>
      <x:c r="AA231" s="81" t="str">
        <x:f>IFERROR(INDEX('Resource Rate Library'!$N$5:$N$85,MATCH(P231,'Resource Rate Library'!$A$5:$A$85,0)),"")</x:f>
      </x:c>
      <x:c r="AB231" s="53"/>
      <x:c r="AC231" s="59"/>
      <x:c r="AD231" s="81" t="str">
        <x:f>IFERROR(INDEX('Resource Rate Library'!$G$5:$G$85,MATCH(P231,'Resource Rate Library'!$A$5:$A$85,0)),"")</x:f>
      </x:c>
      <x:c r="AE231" s="81" t="str">
        <x:f>IFERROR(INDEX('Resource Rate Library'!$H$5:$H$85,MATCH(P231,'Resource Rate Library'!$A$5:$A$85,0)),"")</x:f>
      </x:c>
      <x:c r="AF231" s="53"/>
      <x:c r="AG231" s="53"/>
      <x:c r="AH231" s="53"/>
      <x:c r="AI231" s="81" t="str">
        <x:f t="shared" si="22">IF(B231="","",IF(AND(P231="",N231&lt;&gt;"Lump Sum / Quote"),"RESOURCE CODE",IF(Y231=0,"RATE MISSING",IF(AND(O231="Plant",AD231="Yes",COUNTIFS($B$7:$B$306,B231,$O$7:$O$306,"Labour",$Q$7:$Q$306,"*Operator*")&gt;0),"OPERATOR DOUBLE-COUNT",IF(AND(O231="Plant",AE231="Yes",COUNTIFS($B$7:$B$306,B231,$Q$7:$Q$306,"*Fuel*")&gt;0),"FUEL DOUBLE-COUNT",IF(AH231&lt;&gt;"Yes","VERIFY","OK"))))))</x:f>
      </x:c>
      <x:c r="AJ231" s="54"/>
      <x:c r="AK231" s="473"/>
      <x:c r="AL231" s="473"/>
      <x:c r="AM231" s="473"/>
      <x:c r="AN231" s="500" t="n">
        <x:f>IF(AND(AK231="Yes",OR(O231="Labour",O231="Plant")),Z231,0)</x:f>
        <x:v>0</x:v>
      </x:c>
    </x:row>
    <x:row r="232">
      <x:c r="A232" s="80" t="str">
        <x:f>IF(B232="","",B232&amp;"-"&amp;TEXT(COUNTIF($B$7:B232,B232),"000"))</x:f>
      </x:c>
      <x:c r="B232" s="53"/>
      <x:c r="C232" s="81" t="str">
        <x:f>IFERROR(INDEX('QS Takeoff'!$A$3:$A$194,MATCH(B232,'QS Takeoff'!$B$3:$B$194,0)),"")</x:f>
      </x:c>
      <x:c r="D232" s="81" t="str">
        <x:f>IFERROR(INDEX('QS Takeoff'!$C$3:$C$194,MATCH(B232,'QS Takeoff'!$B$3:$B$194,0)),"")</x:f>
      </x:c>
      <x:c r="E232" s="81" t="str">
        <x:f>IFERROR(INDEX('QS Takeoff'!$E$3:$E$194,MATCH(B232,'QS Takeoff'!$B$3:$B$194,0)),"")</x:f>
      </x:c>
      <x:c r="F232" s="81" t="str">
        <x:f>IFERROR(INDEX('QS Takeoff'!$D$3:$D$194,MATCH(B232,'QS Takeoff'!$B$3:$B$194,0)),"")</x:f>
      </x:c>
      <x:c r="G232" s="81" t="str">
        <x:f>IFERROR(INDEX('QS Takeoff'!$J$3:$J$194,MATCH(B232,'QS Takeoff'!$B$3:$B$194,0)),"")</x:f>
      </x:c>
      <x:c r="H232" s="53"/>
      <x:c r="I232" s="60"/>
      <x:c r="J232" s="60"/>
      <x:c r="K232" s="82" t="str">
        <x:f t="shared" si="18">IF(OR(B232="",I232="",I232=0),"",E232/I232)</x:f>
      </x:c>
      <x:c r="L232" s="60"/>
      <x:c r="M232" s="82" t="str">
        <x:f t="shared" si="19">IF(L232&gt;0,L232,K232)</x:f>
      </x:c>
      <x:c r="N232" s="53"/>
      <x:c r="O232" s="53"/>
      <x:c r="P232" s="53"/>
      <x:c r="Q232" s="81" t="str">
        <x:f>IFERROR(INDEX('Resource Rate Library'!$C$5:$C$85,MATCH(P232,'Resource Rate Library'!$A$5:$A$85,0)),"")</x:f>
      </x:c>
      <x:c r="R232" s="53"/>
      <x:c r="S232" s="53"/>
      <x:c r="T232" s="81" t="str">
        <x:f>IFERROR(INDEX('Resource Rate Library'!$E$5:$E$85,MATCH(P232,'Resource Rate Library'!$A$5:$A$85,0)),"")</x:f>
      </x:c>
      <x:c r="U232" s="62"/>
      <x:c r="V232" s="62"/>
      <x:c r="W232" s="83" t="n">
        <x:f>IFERROR(INDEX('Resource Rate Library'!$I$5:$I$85,MATCH(P232,'Resource Rate Library'!$A$5:$A$85,0)),0)</x:f>
        <x:v>0</x:v>
      </x:c>
      <x:c r="X232" s="52"/>
      <x:c r="Y232" s="83" t="n">
        <x:f t="shared" si="20">IF(X232&gt;0,X232,W232)</x:f>
        <x:v>0</x:v>
      </x:c>
      <x:c r="Z232" s="83" t="str">
        <x:f t="shared" si="21">IF(B232="","",IF(N232="Time x Count",M232*R232*IF(U232="",1,U232)*Y232,IF(N232="QS Qty x Factor",E232*R232*(1+IF(V232="",0,V232))*Y232,IF(N232="Direct Qty",S232*(1+IF(V232="",0,V232))*Y232,IF(N232="Lump Sum / Quote",S232*Y232,0)))))</x:f>
      </x:c>
      <x:c r="AA232" s="81" t="str">
        <x:f>IFERROR(INDEX('Resource Rate Library'!$N$5:$N$85,MATCH(P232,'Resource Rate Library'!$A$5:$A$85,0)),"")</x:f>
      </x:c>
      <x:c r="AB232" s="53"/>
      <x:c r="AC232" s="59"/>
      <x:c r="AD232" s="81" t="str">
        <x:f>IFERROR(INDEX('Resource Rate Library'!$G$5:$G$85,MATCH(P232,'Resource Rate Library'!$A$5:$A$85,0)),"")</x:f>
      </x:c>
      <x:c r="AE232" s="81" t="str">
        <x:f>IFERROR(INDEX('Resource Rate Library'!$H$5:$H$85,MATCH(P232,'Resource Rate Library'!$A$5:$A$85,0)),"")</x:f>
      </x:c>
      <x:c r="AF232" s="53"/>
      <x:c r="AG232" s="53"/>
      <x:c r="AH232" s="53"/>
      <x:c r="AI232" s="81" t="str">
        <x:f t="shared" si="22">IF(B232="","",IF(AND(P232="",N232&lt;&gt;"Lump Sum / Quote"),"RESOURCE CODE",IF(Y232=0,"RATE MISSING",IF(AND(O232="Plant",AD232="Yes",COUNTIFS($B$7:$B$306,B232,$O$7:$O$306,"Labour",$Q$7:$Q$306,"*Operator*")&gt;0),"OPERATOR DOUBLE-COUNT",IF(AND(O232="Plant",AE232="Yes",COUNTIFS($B$7:$B$306,B232,$Q$7:$Q$306,"*Fuel*")&gt;0),"FUEL DOUBLE-COUNT",IF(AH232&lt;&gt;"Yes","VERIFY","OK"))))))</x:f>
      </x:c>
      <x:c r="AJ232" s="54"/>
      <x:c r="AK232" s="473"/>
      <x:c r="AL232" s="473"/>
      <x:c r="AM232" s="473"/>
      <x:c r="AN232" s="500" t="n">
        <x:f>IF(AND(AK232="Yes",OR(O232="Labour",O232="Plant")),Z232,0)</x:f>
        <x:v>0</x:v>
      </x:c>
    </x:row>
    <x:row r="233">
      <x:c r="A233" s="80" t="str">
        <x:f>IF(B233="","",B233&amp;"-"&amp;TEXT(COUNTIF($B$7:B233,B233),"000"))</x:f>
      </x:c>
      <x:c r="B233" s="53"/>
      <x:c r="C233" s="81" t="str">
        <x:f>IFERROR(INDEX('QS Takeoff'!$A$3:$A$194,MATCH(B233,'QS Takeoff'!$B$3:$B$194,0)),"")</x:f>
      </x:c>
      <x:c r="D233" s="81" t="str">
        <x:f>IFERROR(INDEX('QS Takeoff'!$C$3:$C$194,MATCH(B233,'QS Takeoff'!$B$3:$B$194,0)),"")</x:f>
      </x:c>
      <x:c r="E233" s="81" t="str">
        <x:f>IFERROR(INDEX('QS Takeoff'!$E$3:$E$194,MATCH(B233,'QS Takeoff'!$B$3:$B$194,0)),"")</x:f>
      </x:c>
      <x:c r="F233" s="81" t="str">
        <x:f>IFERROR(INDEX('QS Takeoff'!$D$3:$D$194,MATCH(B233,'QS Takeoff'!$B$3:$B$194,0)),"")</x:f>
      </x:c>
      <x:c r="G233" s="81" t="str">
        <x:f>IFERROR(INDEX('QS Takeoff'!$J$3:$J$194,MATCH(B233,'QS Takeoff'!$B$3:$B$194,0)),"")</x:f>
      </x:c>
      <x:c r="H233" s="53"/>
      <x:c r="I233" s="60"/>
      <x:c r="J233" s="60"/>
      <x:c r="K233" s="82" t="str">
        <x:f t="shared" si="18">IF(OR(B233="",I233="",I233=0),"",E233/I233)</x:f>
      </x:c>
      <x:c r="L233" s="60"/>
      <x:c r="M233" s="82" t="str">
        <x:f t="shared" si="19">IF(L233&gt;0,L233,K233)</x:f>
      </x:c>
      <x:c r="N233" s="53"/>
      <x:c r="O233" s="53"/>
      <x:c r="P233" s="53"/>
      <x:c r="Q233" s="81" t="str">
        <x:f>IFERROR(INDEX('Resource Rate Library'!$C$5:$C$85,MATCH(P233,'Resource Rate Library'!$A$5:$A$85,0)),"")</x:f>
      </x:c>
      <x:c r="R233" s="53"/>
      <x:c r="S233" s="53"/>
      <x:c r="T233" s="81" t="str">
        <x:f>IFERROR(INDEX('Resource Rate Library'!$E$5:$E$85,MATCH(P233,'Resource Rate Library'!$A$5:$A$85,0)),"")</x:f>
      </x:c>
      <x:c r="U233" s="62"/>
      <x:c r="V233" s="62"/>
      <x:c r="W233" s="83" t="n">
        <x:f>IFERROR(INDEX('Resource Rate Library'!$I$5:$I$85,MATCH(P233,'Resource Rate Library'!$A$5:$A$85,0)),0)</x:f>
        <x:v>0</x:v>
      </x:c>
      <x:c r="X233" s="52"/>
      <x:c r="Y233" s="83" t="n">
        <x:f t="shared" si="20">IF(X233&gt;0,X233,W233)</x:f>
        <x:v>0</x:v>
      </x:c>
      <x:c r="Z233" s="83" t="str">
        <x:f t="shared" si="21">IF(B233="","",IF(N233="Time x Count",M233*R233*IF(U233="",1,U233)*Y233,IF(N233="QS Qty x Factor",E233*R233*(1+IF(V233="",0,V233))*Y233,IF(N233="Direct Qty",S233*(1+IF(V233="",0,V233))*Y233,IF(N233="Lump Sum / Quote",S233*Y233,0)))))</x:f>
      </x:c>
      <x:c r="AA233" s="81" t="str">
        <x:f>IFERROR(INDEX('Resource Rate Library'!$N$5:$N$85,MATCH(P233,'Resource Rate Library'!$A$5:$A$85,0)),"")</x:f>
      </x:c>
      <x:c r="AB233" s="53"/>
      <x:c r="AC233" s="59"/>
      <x:c r="AD233" s="81" t="str">
        <x:f>IFERROR(INDEX('Resource Rate Library'!$G$5:$G$85,MATCH(P233,'Resource Rate Library'!$A$5:$A$85,0)),"")</x:f>
      </x:c>
      <x:c r="AE233" s="81" t="str">
        <x:f>IFERROR(INDEX('Resource Rate Library'!$H$5:$H$85,MATCH(P233,'Resource Rate Library'!$A$5:$A$85,0)),"")</x:f>
      </x:c>
      <x:c r="AF233" s="53"/>
      <x:c r="AG233" s="53"/>
      <x:c r="AH233" s="53"/>
      <x:c r="AI233" s="81" t="str">
        <x:f t="shared" si="22">IF(B233="","",IF(AND(P233="",N233&lt;&gt;"Lump Sum / Quote"),"RESOURCE CODE",IF(Y233=0,"RATE MISSING",IF(AND(O233="Plant",AD233="Yes",COUNTIFS($B$7:$B$306,B233,$O$7:$O$306,"Labour",$Q$7:$Q$306,"*Operator*")&gt;0),"OPERATOR DOUBLE-COUNT",IF(AND(O233="Plant",AE233="Yes",COUNTIFS($B$7:$B$306,B233,$Q$7:$Q$306,"*Fuel*")&gt;0),"FUEL DOUBLE-COUNT",IF(AH233&lt;&gt;"Yes","VERIFY","OK"))))))</x:f>
      </x:c>
      <x:c r="AJ233" s="54"/>
      <x:c r="AK233" s="473"/>
      <x:c r="AL233" s="473"/>
      <x:c r="AM233" s="473"/>
      <x:c r="AN233" s="500" t="n">
        <x:f>IF(AND(AK233="Yes",OR(O233="Labour",O233="Plant")),Z233,0)</x:f>
        <x:v>0</x:v>
      </x:c>
    </x:row>
    <x:row r="234">
      <x:c r="A234" s="80" t="str">
        <x:f>IF(B234="","",B234&amp;"-"&amp;TEXT(COUNTIF($B$7:B234,B234),"000"))</x:f>
      </x:c>
      <x:c r="B234" s="53"/>
      <x:c r="C234" s="81" t="str">
        <x:f>IFERROR(INDEX('QS Takeoff'!$A$3:$A$194,MATCH(B234,'QS Takeoff'!$B$3:$B$194,0)),"")</x:f>
      </x:c>
      <x:c r="D234" s="81" t="str">
        <x:f>IFERROR(INDEX('QS Takeoff'!$C$3:$C$194,MATCH(B234,'QS Takeoff'!$B$3:$B$194,0)),"")</x:f>
      </x:c>
      <x:c r="E234" s="81" t="str">
        <x:f>IFERROR(INDEX('QS Takeoff'!$E$3:$E$194,MATCH(B234,'QS Takeoff'!$B$3:$B$194,0)),"")</x:f>
      </x:c>
      <x:c r="F234" s="81" t="str">
        <x:f>IFERROR(INDEX('QS Takeoff'!$D$3:$D$194,MATCH(B234,'QS Takeoff'!$B$3:$B$194,0)),"")</x:f>
      </x:c>
      <x:c r="G234" s="81" t="str">
        <x:f>IFERROR(INDEX('QS Takeoff'!$J$3:$J$194,MATCH(B234,'QS Takeoff'!$B$3:$B$194,0)),"")</x:f>
      </x:c>
      <x:c r="H234" s="53"/>
      <x:c r="I234" s="60"/>
      <x:c r="J234" s="60"/>
      <x:c r="K234" s="82" t="str">
        <x:f t="shared" si="18">IF(OR(B234="",I234="",I234=0),"",E234/I234)</x:f>
      </x:c>
      <x:c r="L234" s="60"/>
      <x:c r="M234" s="82" t="str">
        <x:f t="shared" si="19">IF(L234&gt;0,L234,K234)</x:f>
      </x:c>
      <x:c r="N234" s="53"/>
      <x:c r="O234" s="53"/>
      <x:c r="P234" s="53"/>
      <x:c r="Q234" s="81" t="str">
        <x:f>IFERROR(INDEX('Resource Rate Library'!$C$5:$C$85,MATCH(P234,'Resource Rate Library'!$A$5:$A$85,0)),"")</x:f>
      </x:c>
      <x:c r="R234" s="53"/>
      <x:c r="S234" s="53"/>
      <x:c r="T234" s="81" t="str">
        <x:f>IFERROR(INDEX('Resource Rate Library'!$E$5:$E$85,MATCH(P234,'Resource Rate Library'!$A$5:$A$85,0)),"")</x:f>
      </x:c>
      <x:c r="U234" s="62"/>
      <x:c r="V234" s="62"/>
      <x:c r="W234" s="83" t="n">
        <x:f>IFERROR(INDEX('Resource Rate Library'!$I$5:$I$85,MATCH(P234,'Resource Rate Library'!$A$5:$A$85,0)),0)</x:f>
        <x:v>0</x:v>
      </x:c>
      <x:c r="X234" s="52"/>
      <x:c r="Y234" s="83" t="n">
        <x:f t="shared" si="20">IF(X234&gt;0,X234,W234)</x:f>
        <x:v>0</x:v>
      </x:c>
      <x:c r="Z234" s="83" t="str">
        <x:f t="shared" si="21">IF(B234="","",IF(N234="Time x Count",M234*R234*IF(U234="",1,U234)*Y234,IF(N234="QS Qty x Factor",E234*R234*(1+IF(V234="",0,V234))*Y234,IF(N234="Direct Qty",S234*(1+IF(V234="",0,V234))*Y234,IF(N234="Lump Sum / Quote",S234*Y234,0)))))</x:f>
      </x:c>
      <x:c r="AA234" s="81" t="str">
        <x:f>IFERROR(INDEX('Resource Rate Library'!$N$5:$N$85,MATCH(P234,'Resource Rate Library'!$A$5:$A$85,0)),"")</x:f>
      </x:c>
      <x:c r="AB234" s="53"/>
      <x:c r="AC234" s="59"/>
      <x:c r="AD234" s="81" t="str">
        <x:f>IFERROR(INDEX('Resource Rate Library'!$G$5:$G$85,MATCH(P234,'Resource Rate Library'!$A$5:$A$85,0)),"")</x:f>
      </x:c>
      <x:c r="AE234" s="81" t="str">
        <x:f>IFERROR(INDEX('Resource Rate Library'!$H$5:$H$85,MATCH(P234,'Resource Rate Library'!$A$5:$A$85,0)),"")</x:f>
      </x:c>
      <x:c r="AF234" s="53"/>
      <x:c r="AG234" s="53"/>
      <x:c r="AH234" s="53"/>
      <x:c r="AI234" s="81" t="str">
        <x:f t="shared" si="22">IF(B234="","",IF(AND(P234="",N234&lt;&gt;"Lump Sum / Quote"),"RESOURCE CODE",IF(Y234=0,"RATE MISSING",IF(AND(O234="Plant",AD234="Yes",COUNTIFS($B$7:$B$306,B234,$O$7:$O$306,"Labour",$Q$7:$Q$306,"*Operator*")&gt;0),"OPERATOR DOUBLE-COUNT",IF(AND(O234="Plant",AE234="Yes",COUNTIFS($B$7:$B$306,B234,$Q$7:$Q$306,"*Fuel*")&gt;0),"FUEL DOUBLE-COUNT",IF(AH234&lt;&gt;"Yes","VERIFY","OK"))))))</x:f>
      </x:c>
      <x:c r="AJ234" s="54"/>
      <x:c r="AK234" s="473"/>
      <x:c r="AL234" s="473"/>
      <x:c r="AM234" s="473"/>
      <x:c r="AN234" s="500" t="n">
        <x:f>IF(AND(AK234="Yes",OR(O234="Labour",O234="Plant")),Z234,0)</x:f>
        <x:v>0</x:v>
      </x:c>
    </x:row>
    <x:row r="235">
      <x:c r="A235" s="80" t="str">
        <x:f>IF(B235="","",B235&amp;"-"&amp;TEXT(COUNTIF($B$7:B235,B235),"000"))</x:f>
      </x:c>
      <x:c r="B235" s="53"/>
      <x:c r="C235" s="81" t="str">
        <x:f>IFERROR(INDEX('QS Takeoff'!$A$3:$A$194,MATCH(B235,'QS Takeoff'!$B$3:$B$194,0)),"")</x:f>
      </x:c>
      <x:c r="D235" s="81" t="str">
        <x:f>IFERROR(INDEX('QS Takeoff'!$C$3:$C$194,MATCH(B235,'QS Takeoff'!$B$3:$B$194,0)),"")</x:f>
      </x:c>
      <x:c r="E235" s="81" t="str">
        <x:f>IFERROR(INDEX('QS Takeoff'!$E$3:$E$194,MATCH(B235,'QS Takeoff'!$B$3:$B$194,0)),"")</x:f>
      </x:c>
      <x:c r="F235" s="81" t="str">
        <x:f>IFERROR(INDEX('QS Takeoff'!$D$3:$D$194,MATCH(B235,'QS Takeoff'!$B$3:$B$194,0)),"")</x:f>
      </x:c>
      <x:c r="G235" s="81" t="str">
        <x:f>IFERROR(INDEX('QS Takeoff'!$J$3:$J$194,MATCH(B235,'QS Takeoff'!$B$3:$B$194,0)),"")</x:f>
      </x:c>
      <x:c r="H235" s="53"/>
      <x:c r="I235" s="60"/>
      <x:c r="J235" s="60"/>
      <x:c r="K235" s="82" t="str">
        <x:f t="shared" si="18">IF(OR(B235="",I235="",I235=0),"",E235/I235)</x:f>
      </x:c>
      <x:c r="L235" s="60"/>
      <x:c r="M235" s="82" t="str">
        <x:f t="shared" si="19">IF(L235&gt;0,L235,K235)</x:f>
      </x:c>
      <x:c r="N235" s="53"/>
      <x:c r="O235" s="53"/>
      <x:c r="P235" s="53"/>
      <x:c r="Q235" s="81" t="str">
        <x:f>IFERROR(INDEX('Resource Rate Library'!$C$5:$C$85,MATCH(P235,'Resource Rate Library'!$A$5:$A$85,0)),"")</x:f>
      </x:c>
      <x:c r="R235" s="53"/>
      <x:c r="S235" s="53"/>
      <x:c r="T235" s="81" t="str">
        <x:f>IFERROR(INDEX('Resource Rate Library'!$E$5:$E$85,MATCH(P235,'Resource Rate Library'!$A$5:$A$85,0)),"")</x:f>
      </x:c>
      <x:c r="U235" s="62"/>
      <x:c r="V235" s="62"/>
      <x:c r="W235" s="83" t="n">
        <x:f>IFERROR(INDEX('Resource Rate Library'!$I$5:$I$85,MATCH(P235,'Resource Rate Library'!$A$5:$A$85,0)),0)</x:f>
        <x:v>0</x:v>
      </x:c>
      <x:c r="X235" s="52"/>
      <x:c r="Y235" s="83" t="n">
        <x:f t="shared" si="20">IF(X235&gt;0,X235,W235)</x:f>
        <x:v>0</x:v>
      </x:c>
      <x:c r="Z235" s="83" t="str">
        <x:f t="shared" si="21">IF(B235="","",IF(N235="Time x Count",M235*R235*IF(U235="",1,U235)*Y235,IF(N235="QS Qty x Factor",E235*R235*(1+IF(V235="",0,V235))*Y235,IF(N235="Direct Qty",S235*(1+IF(V235="",0,V235))*Y235,IF(N235="Lump Sum / Quote",S235*Y235,0)))))</x:f>
      </x:c>
      <x:c r="AA235" s="81" t="str">
        <x:f>IFERROR(INDEX('Resource Rate Library'!$N$5:$N$85,MATCH(P235,'Resource Rate Library'!$A$5:$A$85,0)),"")</x:f>
      </x:c>
      <x:c r="AB235" s="53"/>
      <x:c r="AC235" s="59"/>
      <x:c r="AD235" s="81" t="str">
        <x:f>IFERROR(INDEX('Resource Rate Library'!$G$5:$G$85,MATCH(P235,'Resource Rate Library'!$A$5:$A$85,0)),"")</x:f>
      </x:c>
      <x:c r="AE235" s="81" t="str">
        <x:f>IFERROR(INDEX('Resource Rate Library'!$H$5:$H$85,MATCH(P235,'Resource Rate Library'!$A$5:$A$85,0)),"")</x:f>
      </x:c>
      <x:c r="AF235" s="53"/>
      <x:c r="AG235" s="53"/>
      <x:c r="AH235" s="53"/>
      <x:c r="AI235" s="81" t="str">
        <x:f t="shared" si="22">IF(B235="","",IF(AND(P235="",N235&lt;&gt;"Lump Sum / Quote"),"RESOURCE CODE",IF(Y235=0,"RATE MISSING",IF(AND(O235="Plant",AD235="Yes",COUNTIFS($B$7:$B$306,B235,$O$7:$O$306,"Labour",$Q$7:$Q$306,"*Operator*")&gt;0),"OPERATOR DOUBLE-COUNT",IF(AND(O235="Plant",AE235="Yes",COUNTIFS($B$7:$B$306,B235,$Q$7:$Q$306,"*Fuel*")&gt;0),"FUEL DOUBLE-COUNT",IF(AH235&lt;&gt;"Yes","VERIFY","OK"))))))</x:f>
      </x:c>
      <x:c r="AJ235" s="54"/>
      <x:c r="AK235" s="473"/>
      <x:c r="AL235" s="473"/>
      <x:c r="AM235" s="473"/>
      <x:c r="AN235" s="500" t="n">
        <x:f>IF(AND(AK235="Yes",OR(O235="Labour",O235="Plant")),Z235,0)</x:f>
        <x:v>0</x:v>
      </x:c>
    </x:row>
    <x:row r="236">
      <x:c r="A236" s="80" t="str">
        <x:f>IF(B236="","",B236&amp;"-"&amp;TEXT(COUNTIF($B$7:B236,B236),"000"))</x:f>
      </x:c>
      <x:c r="B236" s="53"/>
      <x:c r="C236" s="81" t="str">
        <x:f>IFERROR(INDEX('QS Takeoff'!$A$3:$A$194,MATCH(B236,'QS Takeoff'!$B$3:$B$194,0)),"")</x:f>
      </x:c>
      <x:c r="D236" s="81" t="str">
        <x:f>IFERROR(INDEX('QS Takeoff'!$C$3:$C$194,MATCH(B236,'QS Takeoff'!$B$3:$B$194,0)),"")</x:f>
      </x:c>
      <x:c r="E236" s="81" t="str">
        <x:f>IFERROR(INDEX('QS Takeoff'!$E$3:$E$194,MATCH(B236,'QS Takeoff'!$B$3:$B$194,0)),"")</x:f>
      </x:c>
      <x:c r="F236" s="81" t="str">
        <x:f>IFERROR(INDEX('QS Takeoff'!$D$3:$D$194,MATCH(B236,'QS Takeoff'!$B$3:$B$194,0)),"")</x:f>
      </x:c>
      <x:c r="G236" s="81" t="str">
        <x:f>IFERROR(INDEX('QS Takeoff'!$J$3:$J$194,MATCH(B236,'QS Takeoff'!$B$3:$B$194,0)),"")</x:f>
      </x:c>
      <x:c r="H236" s="53"/>
      <x:c r="I236" s="60"/>
      <x:c r="J236" s="60"/>
      <x:c r="K236" s="82" t="str">
        <x:f t="shared" si="18">IF(OR(B236="",I236="",I236=0),"",E236/I236)</x:f>
      </x:c>
      <x:c r="L236" s="60"/>
      <x:c r="M236" s="82" t="str">
        <x:f t="shared" si="19">IF(L236&gt;0,L236,K236)</x:f>
      </x:c>
      <x:c r="N236" s="53"/>
      <x:c r="O236" s="53"/>
      <x:c r="P236" s="53"/>
      <x:c r="Q236" s="81" t="str">
        <x:f>IFERROR(INDEX('Resource Rate Library'!$C$5:$C$85,MATCH(P236,'Resource Rate Library'!$A$5:$A$85,0)),"")</x:f>
      </x:c>
      <x:c r="R236" s="53"/>
      <x:c r="S236" s="53"/>
      <x:c r="T236" s="81" t="str">
        <x:f>IFERROR(INDEX('Resource Rate Library'!$E$5:$E$85,MATCH(P236,'Resource Rate Library'!$A$5:$A$85,0)),"")</x:f>
      </x:c>
      <x:c r="U236" s="62"/>
      <x:c r="V236" s="62"/>
      <x:c r="W236" s="83" t="n">
        <x:f>IFERROR(INDEX('Resource Rate Library'!$I$5:$I$85,MATCH(P236,'Resource Rate Library'!$A$5:$A$85,0)),0)</x:f>
        <x:v>0</x:v>
      </x:c>
      <x:c r="X236" s="52"/>
      <x:c r="Y236" s="83" t="n">
        <x:f t="shared" si="20">IF(X236&gt;0,X236,W236)</x:f>
        <x:v>0</x:v>
      </x:c>
      <x:c r="Z236" s="83" t="str">
        <x:f t="shared" si="21">IF(B236="","",IF(N236="Time x Count",M236*R236*IF(U236="",1,U236)*Y236,IF(N236="QS Qty x Factor",E236*R236*(1+IF(V236="",0,V236))*Y236,IF(N236="Direct Qty",S236*(1+IF(V236="",0,V236))*Y236,IF(N236="Lump Sum / Quote",S236*Y236,0)))))</x:f>
      </x:c>
      <x:c r="AA236" s="81" t="str">
        <x:f>IFERROR(INDEX('Resource Rate Library'!$N$5:$N$85,MATCH(P236,'Resource Rate Library'!$A$5:$A$85,0)),"")</x:f>
      </x:c>
      <x:c r="AB236" s="53"/>
      <x:c r="AC236" s="59"/>
      <x:c r="AD236" s="81" t="str">
        <x:f>IFERROR(INDEX('Resource Rate Library'!$G$5:$G$85,MATCH(P236,'Resource Rate Library'!$A$5:$A$85,0)),"")</x:f>
      </x:c>
      <x:c r="AE236" s="81" t="str">
        <x:f>IFERROR(INDEX('Resource Rate Library'!$H$5:$H$85,MATCH(P236,'Resource Rate Library'!$A$5:$A$85,0)),"")</x:f>
      </x:c>
      <x:c r="AF236" s="53"/>
      <x:c r="AG236" s="53"/>
      <x:c r="AH236" s="53"/>
      <x:c r="AI236" s="81" t="str">
        <x:f t="shared" si="22">IF(B236="","",IF(AND(P236="",N236&lt;&gt;"Lump Sum / Quote"),"RESOURCE CODE",IF(Y236=0,"RATE MISSING",IF(AND(O236="Plant",AD236="Yes",COUNTIFS($B$7:$B$306,B236,$O$7:$O$306,"Labour",$Q$7:$Q$306,"*Operator*")&gt;0),"OPERATOR DOUBLE-COUNT",IF(AND(O236="Plant",AE236="Yes",COUNTIFS($B$7:$B$306,B236,$Q$7:$Q$306,"*Fuel*")&gt;0),"FUEL DOUBLE-COUNT",IF(AH236&lt;&gt;"Yes","VERIFY","OK"))))))</x:f>
      </x:c>
      <x:c r="AJ236" s="54"/>
      <x:c r="AK236" s="473"/>
      <x:c r="AL236" s="473"/>
      <x:c r="AM236" s="473"/>
      <x:c r="AN236" s="500" t="n">
        <x:f>IF(AND(AK236="Yes",OR(O236="Labour",O236="Plant")),Z236,0)</x:f>
        <x:v>0</x:v>
      </x:c>
    </x:row>
    <x:row r="237">
      <x:c r="A237" s="80" t="str">
        <x:f>IF(B237="","",B237&amp;"-"&amp;TEXT(COUNTIF($B$7:B237,B237),"000"))</x:f>
      </x:c>
      <x:c r="B237" s="53"/>
      <x:c r="C237" s="81" t="str">
        <x:f>IFERROR(INDEX('QS Takeoff'!$A$3:$A$194,MATCH(B237,'QS Takeoff'!$B$3:$B$194,0)),"")</x:f>
      </x:c>
      <x:c r="D237" s="81" t="str">
        <x:f>IFERROR(INDEX('QS Takeoff'!$C$3:$C$194,MATCH(B237,'QS Takeoff'!$B$3:$B$194,0)),"")</x:f>
      </x:c>
      <x:c r="E237" s="81" t="str">
        <x:f>IFERROR(INDEX('QS Takeoff'!$E$3:$E$194,MATCH(B237,'QS Takeoff'!$B$3:$B$194,0)),"")</x:f>
      </x:c>
      <x:c r="F237" s="81" t="str">
        <x:f>IFERROR(INDEX('QS Takeoff'!$D$3:$D$194,MATCH(B237,'QS Takeoff'!$B$3:$B$194,0)),"")</x:f>
      </x:c>
      <x:c r="G237" s="81" t="str">
        <x:f>IFERROR(INDEX('QS Takeoff'!$J$3:$J$194,MATCH(B237,'QS Takeoff'!$B$3:$B$194,0)),"")</x:f>
      </x:c>
      <x:c r="H237" s="53"/>
      <x:c r="I237" s="60"/>
      <x:c r="J237" s="60"/>
      <x:c r="K237" s="82" t="str">
        <x:f t="shared" si="18">IF(OR(B237="",I237="",I237=0),"",E237/I237)</x:f>
      </x:c>
      <x:c r="L237" s="60"/>
      <x:c r="M237" s="82" t="str">
        <x:f t="shared" si="19">IF(L237&gt;0,L237,K237)</x:f>
      </x:c>
      <x:c r="N237" s="53"/>
      <x:c r="O237" s="53"/>
      <x:c r="P237" s="53"/>
      <x:c r="Q237" s="81" t="str">
        <x:f>IFERROR(INDEX('Resource Rate Library'!$C$5:$C$85,MATCH(P237,'Resource Rate Library'!$A$5:$A$85,0)),"")</x:f>
      </x:c>
      <x:c r="R237" s="53"/>
      <x:c r="S237" s="53"/>
      <x:c r="T237" s="81" t="str">
        <x:f>IFERROR(INDEX('Resource Rate Library'!$E$5:$E$85,MATCH(P237,'Resource Rate Library'!$A$5:$A$85,0)),"")</x:f>
      </x:c>
      <x:c r="U237" s="62"/>
      <x:c r="V237" s="62"/>
      <x:c r="W237" s="83" t="n">
        <x:f>IFERROR(INDEX('Resource Rate Library'!$I$5:$I$85,MATCH(P237,'Resource Rate Library'!$A$5:$A$85,0)),0)</x:f>
        <x:v>0</x:v>
      </x:c>
      <x:c r="X237" s="52"/>
      <x:c r="Y237" s="83" t="n">
        <x:f t="shared" si="20">IF(X237&gt;0,X237,W237)</x:f>
        <x:v>0</x:v>
      </x:c>
      <x:c r="Z237" s="83" t="str">
        <x:f t="shared" si="21">IF(B237="","",IF(N237="Time x Count",M237*R237*IF(U237="",1,U237)*Y237,IF(N237="QS Qty x Factor",E237*R237*(1+IF(V237="",0,V237))*Y237,IF(N237="Direct Qty",S237*(1+IF(V237="",0,V237))*Y237,IF(N237="Lump Sum / Quote",S237*Y237,0)))))</x:f>
      </x:c>
      <x:c r="AA237" s="81" t="str">
        <x:f>IFERROR(INDEX('Resource Rate Library'!$N$5:$N$85,MATCH(P237,'Resource Rate Library'!$A$5:$A$85,0)),"")</x:f>
      </x:c>
      <x:c r="AB237" s="53"/>
      <x:c r="AC237" s="59"/>
      <x:c r="AD237" s="81" t="str">
        <x:f>IFERROR(INDEX('Resource Rate Library'!$G$5:$G$85,MATCH(P237,'Resource Rate Library'!$A$5:$A$85,0)),"")</x:f>
      </x:c>
      <x:c r="AE237" s="81" t="str">
        <x:f>IFERROR(INDEX('Resource Rate Library'!$H$5:$H$85,MATCH(P237,'Resource Rate Library'!$A$5:$A$85,0)),"")</x:f>
      </x:c>
      <x:c r="AF237" s="53"/>
      <x:c r="AG237" s="53"/>
      <x:c r="AH237" s="53"/>
      <x:c r="AI237" s="81" t="str">
        <x:f t="shared" si="22">IF(B237="","",IF(AND(P237="",N237&lt;&gt;"Lump Sum / Quote"),"RESOURCE CODE",IF(Y237=0,"RATE MISSING",IF(AND(O237="Plant",AD237="Yes",COUNTIFS($B$7:$B$306,B237,$O$7:$O$306,"Labour",$Q$7:$Q$306,"*Operator*")&gt;0),"OPERATOR DOUBLE-COUNT",IF(AND(O237="Plant",AE237="Yes",COUNTIFS($B$7:$B$306,B237,$Q$7:$Q$306,"*Fuel*")&gt;0),"FUEL DOUBLE-COUNT",IF(AH237&lt;&gt;"Yes","VERIFY","OK"))))))</x:f>
      </x:c>
      <x:c r="AJ237" s="54"/>
      <x:c r="AK237" s="473"/>
      <x:c r="AL237" s="473"/>
      <x:c r="AM237" s="473"/>
      <x:c r="AN237" s="500" t="n">
        <x:f>IF(AND(AK237="Yes",OR(O237="Labour",O237="Plant")),Z237,0)</x:f>
        <x:v>0</x:v>
      </x:c>
    </x:row>
    <x:row r="238">
      <x:c r="A238" s="80" t="str">
        <x:f>IF(B238="","",B238&amp;"-"&amp;TEXT(COUNTIF($B$7:B238,B238),"000"))</x:f>
      </x:c>
      <x:c r="B238" s="53"/>
      <x:c r="C238" s="81" t="str">
        <x:f>IFERROR(INDEX('QS Takeoff'!$A$3:$A$194,MATCH(B238,'QS Takeoff'!$B$3:$B$194,0)),"")</x:f>
      </x:c>
      <x:c r="D238" s="81" t="str">
        <x:f>IFERROR(INDEX('QS Takeoff'!$C$3:$C$194,MATCH(B238,'QS Takeoff'!$B$3:$B$194,0)),"")</x:f>
      </x:c>
      <x:c r="E238" s="81" t="str">
        <x:f>IFERROR(INDEX('QS Takeoff'!$E$3:$E$194,MATCH(B238,'QS Takeoff'!$B$3:$B$194,0)),"")</x:f>
      </x:c>
      <x:c r="F238" s="81" t="str">
        <x:f>IFERROR(INDEX('QS Takeoff'!$D$3:$D$194,MATCH(B238,'QS Takeoff'!$B$3:$B$194,0)),"")</x:f>
      </x:c>
      <x:c r="G238" s="81" t="str">
        <x:f>IFERROR(INDEX('QS Takeoff'!$J$3:$J$194,MATCH(B238,'QS Takeoff'!$B$3:$B$194,0)),"")</x:f>
      </x:c>
      <x:c r="H238" s="53"/>
      <x:c r="I238" s="60"/>
      <x:c r="J238" s="60"/>
      <x:c r="K238" s="82" t="str">
        <x:f t="shared" si="18">IF(OR(B238="",I238="",I238=0),"",E238/I238)</x:f>
      </x:c>
      <x:c r="L238" s="60"/>
      <x:c r="M238" s="82" t="str">
        <x:f t="shared" si="19">IF(L238&gt;0,L238,K238)</x:f>
      </x:c>
      <x:c r="N238" s="53"/>
      <x:c r="O238" s="53"/>
      <x:c r="P238" s="53"/>
      <x:c r="Q238" s="81" t="str">
        <x:f>IFERROR(INDEX('Resource Rate Library'!$C$5:$C$85,MATCH(P238,'Resource Rate Library'!$A$5:$A$85,0)),"")</x:f>
      </x:c>
      <x:c r="R238" s="53"/>
      <x:c r="S238" s="53"/>
      <x:c r="T238" s="81" t="str">
        <x:f>IFERROR(INDEX('Resource Rate Library'!$E$5:$E$85,MATCH(P238,'Resource Rate Library'!$A$5:$A$85,0)),"")</x:f>
      </x:c>
      <x:c r="U238" s="62"/>
      <x:c r="V238" s="62"/>
      <x:c r="W238" s="83" t="n">
        <x:f>IFERROR(INDEX('Resource Rate Library'!$I$5:$I$85,MATCH(P238,'Resource Rate Library'!$A$5:$A$85,0)),0)</x:f>
        <x:v>0</x:v>
      </x:c>
      <x:c r="X238" s="52"/>
      <x:c r="Y238" s="83" t="n">
        <x:f t="shared" si="20">IF(X238&gt;0,X238,W238)</x:f>
        <x:v>0</x:v>
      </x:c>
      <x:c r="Z238" s="83" t="str">
        <x:f t="shared" si="21">IF(B238="","",IF(N238="Time x Count",M238*R238*IF(U238="",1,U238)*Y238,IF(N238="QS Qty x Factor",E238*R238*(1+IF(V238="",0,V238))*Y238,IF(N238="Direct Qty",S238*(1+IF(V238="",0,V238))*Y238,IF(N238="Lump Sum / Quote",S238*Y238,0)))))</x:f>
      </x:c>
      <x:c r="AA238" s="81" t="str">
        <x:f>IFERROR(INDEX('Resource Rate Library'!$N$5:$N$85,MATCH(P238,'Resource Rate Library'!$A$5:$A$85,0)),"")</x:f>
      </x:c>
      <x:c r="AB238" s="53"/>
      <x:c r="AC238" s="59"/>
      <x:c r="AD238" s="81" t="str">
        <x:f>IFERROR(INDEX('Resource Rate Library'!$G$5:$G$85,MATCH(P238,'Resource Rate Library'!$A$5:$A$85,0)),"")</x:f>
      </x:c>
      <x:c r="AE238" s="81" t="str">
        <x:f>IFERROR(INDEX('Resource Rate Library'!$H$5:$H$85,MATCH(P238,'Resource Rate Library'!$A$5:$A$85,0)),"")</x:f>
      </x:c>
      <x:c r="AF238" s="53"/>
      <x:c r="AG238" s="53"/>
      <x:c r="AH238" s="53"/>
      <x:c r="AI238" s="81" t="str">
        <x:f t="shared" si="22">IF(B238="","",IF(AND(P238="",N238&lt;&gt;"Lump Sum / Quote"),"RESOURCE CODE",IF(Y238=0,"RATE MISSING",IF(AND(O238="Plant",AD238="Yes",COUNTIFS($B$7:$B$306,B238,$O$7:$O$306,"Labour",$Q$7:$Q$306,"*Operator*")&gt;0),"OPERATOR DOUBLE-COUNT",IF(AND(O238="Plant",AE238="Yes",COUNTIFS($B$7:$B$306,B238,$Q$7:$Q$306,"*Fuel*")&gt;0),"FUEL DOUBLE-COUNT",IF(AH238&lt;&gt;"Yes","VERIFY","OK"))))))</x:f>
      </x:c>
      <x:c r="AJ238" s="54"/>
      <x:c r="AK238" s="473"/>
      <x:c r="AL238" s="473"/>
      <x:c r="AM238" s="473"/>
      <x:c r="AN238" s="500" t="n">
        <x:f>IF(AND(AK238="Yes",OR(O238="Labour",O238="Plant")),Z238,0)</x:f>
        <x:v>0</x:v>
      </x:c>
    </x:row>
    <x:row r="239">
      <x:c r="A239" s="80" t="str">
        <x:f>IF(B239="","",B239&amp;"-"&amp;TEXT(COUNTIF($B$7:B239,B239),"000"))</x:f>
      </x:c>
      <x:c r="B239" s="53"/>
      <x:c r="C239" s="81" t="str">
        <x:f>IFERROR(INDEX('QS Takeoff'!$A$3:$A$194,MATCH(B239,'QS Takeoff'!$B$3:$B$194,0)),"")</x:f>
      </x:c>
      <x:c r="D239" s="81" t="str">
        <x:f>IFERROR(INDEX('QS Takeoff'!$C$3:$C$194,MATCH(B239,'QS Takeoff'!$B$3:$B$194,0)),"")</x:f>
      </x:c>
      <x:c r="E239" s="81" t="str">
        <x:f>IFERROR(INDEX('QS Takeoff'!$E$3:$E$194,MATCH(B239,'QS Takeoff'!$B$3:$B$194,0)),"")</x:f>
      </x:c>
      <x:c r="F239" s="81" t="str">
        <x:f>IFERROR(INDEX('QS Takeoff'!$D$3:$D$194,MATCH(B239,'QS Takeoff'!$B$3:$B$194,0)),"")</x:f>
      </x:c>
      <x:c r="G239" s="81" t="str">
        <x:f>IFERROR(INDEX('QS Takeoff'!$J$3:$J$194,MATCH(B239,'QS Takeoff'!$B$3:$B$194,0)),"")</x:f>
      </x:c>
      <x:c r="H239" s="53"/>
      <x:c r="I239" s="60"/>
      <x:c r="J239" s="60"/>
      <x:c r="K239" s="82" t="str">
        <x:f t="shared" si="18">IF(OR(B239="",I239="",I239=0),"",E239/I239)</x:f>
      </x:c>
      <x:c r="L239" s="60"/>
      <x:c r="M239" s="82" t="str">
        <x:f t="shared" si="19">IF(L239&gt;0,L239,K239)</x:f>
      </x:c>
      <x:c r="N239" s="53"/>
      <x:c r="O239" s="53"/>
      <x:c r="P239" s="53"/>
      <x:c r="Q239" s="81" t="str">
        <x:f>IFERROR(INDEX('Resource Rate Library'!$C$5:$C$85,MATCH(P239,'Resource Rate Library'!$A$5:$A$85,0)),"")</x:f>
      </x:c>
      <x:c r="R239" s="53"/>
      <x:c r="S239" s="53"/>
      <x:c r="T239" s="81" t="str">
        <x:f>IFERROR(INDEX('Resource Rate Library'!$E$5:$E$85,MATCH(P239,'Resource Rate Library'!$A$5:$A$85,0)),"")</x:f>
      </x:c>
      <x:c r="U239" s="62"/>
      <x:c r="V239" s="62"/>
      <x:c r="W239" s="83" t="n">
        <x:f>IFERROR(INDEX('Resource Rate Library'!$I$5:$I$85,MATCH(P239,'Resource Rate Library'!$A$5:$A$85,0)),0)</x:f>
        <x:v>0</x:v>
      </x:c>
      <x:c r="X239" s="52"/>
      <x:c r="Y239" s="83" t="n">
        <x:f t="shared" si="20">IF(X239&gt;0,X239,W239)</x:f>
        <x:v>0</x:v>
      </x:c>
      <x:c r="Z239" s="83" t="str">
        <x:f t="shared" si="21">IF(B239="","",IF(N239="Time x Count",M239*R239*IF(U239="",1,U239)*Y239,IF(N239="QS Qty x Factor",E239*R239*(1+IF(V239="",0,V239))*Y239,IF(N239="Direct Qty",S239*(1+IF(V239="",0,V239))*Y239,IF(N239="Lump Sum / Quote",S239*Y239,0)))))</x:f>
      </x:c>
      <x:c r="AA239" s="81" t="str">
        <x:f>IFERROR(INDEX('Resource Rate Library'!$N$5:$N$85,MATCH(P239,'Resource Rate Library'!$A$5:$A$85,0)),"")</x:f>
      </x:c>
      <x:c r="AB239" s="53"/>
      <x:c r="AC239" s="59"/>
      <x:c r="AD239" s="81" t="str">
        <x:f>IFERROR(INDEX('Resource Rate Library'!$G$5:$G$85,MATCH(P239,'Resource Rate Library'!$A$5:$A$85,0)),"")</x:f>
      </x:c>
      <x:c r="AE239" s="81" t="str">
        <x:f>IFERROR(INDEX('Resource Rate Library'!$H$5:$H$85,MATCH(P239,'Resource Rate Library'!$A$5:$A$85,0)),"")</x:f>
      </x:c>
      <x:c r="AF239" s="53"/>
      <x:c r="AG239" s="53"/>
      <x:c r="AH239" s="53"/>
      <x:c r="AI239" s="81" t="str">
        <x:f t="shared" si="22">IF(B239="","",IF(AND(P239="",N239&lt;&gt;"Lump Sum / Quote"),"RESOURCE CODE",IF(Y239=0,"RATE MISSING",IF(AND(O239="Plant",AD239="Yes",COUNTIFS($B$7:$B$306,B239,$O$7:$O$306,"Labour",$Q$7:$Q$306,"*Operator*")&gt;0),"OPERATOR DOUBLE-COUNT",IF(AND(O239="Plant",AE239="Yes",COUNTIFS($B$7:$B$306,B239,$Q$7:$Q$306,"*Fuel*")&gt;0),"FUEL DOUBLE-COUNT",IF(AH239&lt;&gt;"Yes","VERIFY","OK"))))))</x:f>
      </x:c>
      <x:c r="AJ239" s="54"/>
      <x:c r="AK239" s="473"/>
      <x:c r="AL239" s="473"/>
      <x:c r="AM239" s="473"/>
      <x:c r="AN239" s="500" t="n">
        <x:f>IF(AND(AK239="Yes",OR(O239="Labour",O239="Plant")),Z239,0)</x:f>
        <x:v>0</x:v>
      </x:c>
    </x:row>
    <x:row r="240">
      <x:c r="A240" s="80" t="str">
        <x:f>IF(B240="","",B240&amp;"-"&amp;TEXT(COUNTIF($B$7:B240,B240),"000"))</x:f>
      </x:c>
      <x:c r="B240" s="53"/>
      <x:c r="C240" s="81" t="str">
        <x:f>IFERROR(INDEX('QS Takeoff'!$A$3:$A$194,MATCH(B240,'QS Takeoff'!$B$3:$B$194,0)),"")</x:f>
      </x:c>
      <x:c r="D240" s="81" t="str">
        <x:f>IFERROR(INDEX('QS Takeoff'!$C$3:$C$194,MATCH(B240,'QS Takeoff'!$B$3:$B$194,0)),"")</x:f>
      </x:c>
      <x:c r="E240" s="81" t="str">
        <x:f>IFERROR(INDEX('QS Takeoff'!$E$3:$E$194,MATCH(B240,'QS Takeoff'!$B$3:$B$194,0)),"")</x:f>
      </x:c>
      <x:c r="F240" s="81" t="str">
        <x:f>IFERROR(INDEX('QS Takeoff'!$D$3:$D$194,MATCH(B240,'QS Takeoff'!$B$3:$B$194,0)),"")</x:f>
      </x:c>
      <x:c r="G240" s="81" t="str">
        <x:f>IFERROR(INDEX('QS Takeoff'!$J$3:$J$194,MATCH(B240,'QS Takeoff'!$B$3:$B$194,0)),"")</x:f>
      </x:c>
      <x:c r="H240" s="53"/>
      <x:c r="I240" s="60"/>
      <x:c r="J240" s="60"/>
      <x:c r="K240" s="82" t="str">
        <x:f t="shared" si="18">IF(OR(B240="",I240="",I240=0),"",E240/I240)</x:f>
      </x:c>
      <x:c r="L240" s="60"/>
      <x:c r="M240" s="82" t="str">
        <x:f t="shared" si="19">IF(L240&gt;0,L240,K240)</x:f>
      </x:c>
      <x:c r="N240" s="53"/>
      <x:c r="O240" s="53"/>
      <x:c r="P240" s="53"/>
      <x:c r="Q240" s="81" t="str">
        <x:f>IFERROR(INDEX('Resource Rate Library'!$C$5:$C$85,MATCH(P240,'Resource Rate Library'!$A$5:$A$85,0)),"")</x:f>
      </x:c>
      <x:c r="R240" s="53"/>
      <x:c r="S240" s="53"/>
      <x:c r="T240" s="81" t="str">
        <x:f>IFERROR(INDEX('Resource Rate Library'!$E$5:$E$85,MATCH(P240,'Resource Rate Library'!$A$5:$A$85,0)),"")</x:f>
      </x:c>
      <x:c r="U240" s="62"/>
      <x:c r="V240" s="62"/>
      <x:c r="W240" s="83" t="n">
        <x:f>IFERROR(INDEX('Resource Rate Library'!$I$5:$I$85,MATCH(P240,'Resource Rate Library'!$A$5:$A$85,0)),0)</x:f>
        <x:v>0</x:v>
      </x:c>
      <x:c r="X240" s="52"/>
      <x:c r="Y240" s="83" t="n">
        <x:f t="shared" si="20">IF(X240&gt;0,X240,W240)</x:f>
        <x:v>0</x:v>
      </x:c>
      <x:c r="Z240" s="83" t="str">
        <x:f t="shared" si="21">IF(B240="","",IF(N240="Time x Count",M240*R240*IF(U240="",1,U240)*Y240,IF(N240="QS Qty x Factor",E240*R240*(1+IF(V240="",0,V240))*Y240,IF(N240="Direct Qty",S240*(1+IF(V240="",0,V240))*Y240,IF(N240="Lump Sum / Quote",S240*Y240,0)))))</x:f>
      </x:c>
      <x:c r="AA240" s="81" t="str">
        <x:f>IFERROR(INDEX('Resource Rate Library'!$N$5:$N$85,MATCH(P240,'Resource Rate Library'!$A$5:$A$85,0)),"")</x:f>
      </x:c>
      <x:c r="AB240" s="53"/>
      <x:c r="AC240" s="59"/>
      <x:c r="AD240" s="81" t="str">
        <x:f>IFERROR(INDEX('Resource Rate Library'!$G$5:$G$85,MATCH(P240,'Resource Rate Library'!$A$5:$A$85,0)),"")</x:f>
      </x:c>
      <x:c r="AE240" s="81" t="str">
        <x:f>IFERROR(INDEX('Resource Rate Library'!$H$5:$H$85,MATCH(P240,'Resource Rate Library'!$A$5:$A$85,0)),"")</x:f>
      </x:c>
      <x:c r="AF240" s="53"/>
      <x:c r="AG240" s="53"/>
      <x:c r="AH240" s="53"/>
      <x:c r="AI240" s="81" t="str">
        <x:f t="shared" si="22">IF(B240="","",IF(AND(P240="",N240&lt;&gt;"Lump Sum / Quote"),"RESOURCE CODE",IF(Y240=0,"RATE MISSING",IF(AND(O240="Plant",AD240="Yes",COUNTIFS($B$7:$B$306,B240,$O$7:$O$306,"Labour",$Q$7:$Q$306,"*Operator*")&gt;0),"OPERATOR DOUBLE-COUNT",IF(AND(O240="Plant",AE240="Yes",COUNTIFS($B$7:$B$306,B240,$Q$7:$Q$306,"*Fuel*")&gt;0),"FUEL DOUBLE-COUNT",IF(AH240&lt;&gt;"Yes","VERIFY","OK"))))))</x:f>
      </x:c>
      <x:c r="AJ240" s="54"/>
      <x:c r="AK240" s="473"/>
      <x:c r="AL240" s="473"/>
      <x:c r="AM240" s="473"/>
      <x:c r="AN240" s="500" t="n">
        <x:f>IF(AND(AK240="Yes",OR(O240="Labour",O240="Plant")),Z240,0)</x:f>
        <x:v>0</x:v>
      </x:c>
    </x:row>
    <x:row r="241">
      <x:c r="A241" s="80" t="str">
        <x:f>IF(B241="","",B241&amp;"-"&amp;TEXT(COUNTIF($B$7:B241,B241),"000"))</x:f>
      </x:c>
      <x:c r="B241" s="53"/>
      <x:c r="C241" s="81" t="str">
        <x:f>IFERROR(INDEX('QS Takeoff'!$A$3:$A$194,MATCH(B241,'QS Takeoff'!$B$3:$B$194,0)),"")</x:f>
      </x:c>
      <x:c r="D241" s="81" t="str">
        <x:f>IFERROR(INDEX('QS Takeoff'!$C$3:$C$194,MATCH(B241,'QS Takeoff'!$B$3:$B$194,0)),"")</x:f>
      </x:c>
      <x:c r="E241" s="81" t="str">
        <x:f>IFERROR(INDEX('QS Takeoff'!$E$3:$E$194,MATCH(B241,'QS Takeoff'!$B$3:$B$194,0)),"")</x:f>
      </x:c>
      <x:c r="F241" s="81" t="str">
        <x:f>IFERROR(INDEX('QS Takeoff'!$D$3:$D$194,MATCH(B241,'QS Takeoff'!$B$3:$B$194,0)),"")</x:f>
      </x:c>
      <x:c r="G241" s="81" t="str">
        <x:f>IFERROR(INDEX('QS Takeoff'!$J$3:$J$194,MATCH(B241,'QS Takeoff'!$B$3:$B$194,0)),"")</x:f>
      </x:c>
      <x:c r="H241" s="53"/>
      <x:c r="I241" s="60"/>
      <x:c r="J241" s="60"/>
      <x:c r="K241" s="82" t="str">
        <x:f t="shared" si="18">IF(OR(B241="",I241="",I241=0),"",E241/I241)</x:f>
      </x:c>
      <x:c r="L241" s="60"/>
      <x:c r="M241" s="82" t="str">
        <x:f t="shared" si="19">IF(L241&gt;0,L241,K241)</x:f>
      </x:c>
      <x:c r="N241" s="53"/>
      <x:c r="O241" s="53"/>
      <x:c r="P241" s="53"/>
      <x:c r="Q241" s="81" t="str">
        <x:f>IFERROR(INDEX('Resource Rate Library'!$C$5:$C$85,MATCH(P241,'Resource Rate Library'!$A$5:$A$85,0)),"")</x:f>
      </x:c>
      <x:c r="R241" s="53"/>
      <x:c r="S241" s="53"/>
      <x:c r="T241" s="81" t="str">
        <x:f>IFERROR(INDEX('Resource Rate Library'!$E$5:$E$85,MATCH(P241,'Resource Rate Library'!$A$5:$A$85,0)),"")</x:f>
      </x:c>
      <x:c r="U241" s="62"/>
      <x:c r="V241" s="62"/>
      <x:c r="W241" s="83" t="n">
        <x:f>IFERROR(INDEX('Resource Rate Library'!$I$5:$I$85,MATCH(P241,'Resource Rate Library'!$A$5:$A$85,0)),0)</x:f>
        <x:v>0</x:v>
      </x:c>
      <x:c r="X241" s="52"/>
      <x:c r="Y241" s="83" t="n">
        <x:f t="shared" si="20">IF(X241&gt;0,X241,W241)</x:f>
        <x:v>0</x:v>
      </x:c>
      <x:c r="Z241" s="83" t="str">
        <x:f t="shared" si="21">IF(B241="","",IF(N241="Time x Count",M241*R241*IF(U241="",1,U241)*Y241,IF(N241="QS Qty x Factor",E241*R241*(1+IF(V241="",0,V241))*Y241,IF(N241="Direct Qty",S241*(1+IF(V241="",0,V241))*Y241,IF(N241="Lump Sum / Quote",S241*Y241,0)))))</x:f>
      </x:c>
      <x:c r="AA241" s="81" t="str">
        <x:f>IFERROR(INDEX('Resource Rate Library'!$N$5:$N$85,MATCH(P241,'Resource Rate Library'!$A$5:$A$85,0)),"")</x:f>
      </x:c>
      <x:c r="AB241" s="53"/>
      <x:c r="AC241" s="59"/>
      <x:c r="AD241" s="81" t="str">
        <x:f>IFERROR(INDEX('Resource Rate Library'!$G$5:$G$85,MATCH(P241,'Resource Rate Library'!$A$5:$A$85,0)),"")</x:f>
      </x:c>
      <x:c r="AE241" s="81" t="str">
        <x:f>IFERROR(INDEX('Resource Rate Library'!$H$5:$H$85,MATCH(P241,'Resource Rate Library'!$A$5:$A$85,0)),"")</x:f>
      </x:c>
      <x:c r="AF241" s="53"/>
      <x:c r="AG241" s="53"/>
      <x:c r="AH241" s="53"/>
      <x:c r="AI241" s="81" t="str">
        <x:f t="shared" si="22">IF(B241="","",IF(AND(P241="",N241&lt;&gt;"Lump Sum / Quote"),"RESOURCE CODE",IF(Y241=0,"RATE MISSING",IF(AND(O241="Plant",AD241="Yes",COUNTIFS($B$7:$B$306,B241,$O$7:$O$306,"Labour",$Q$7:$Q$306,"*Operator*")&gt;0),"OPERATOR DOUBLE-COUNT",IF(AND(O241="Plant",AE241="Yes",COUNTIFS($B$7:$B$306,B241,$Q$7:$Q$306,"*Fuel*")&gt;0),"FUEL DOUBLE-COUNT",IF(AH241&lt;&gt;"Yes","VERIFY","OK"))))))</x:f>
      </x:c>
      <x:c r="AJ241" s="54"/>
      <x:c r="AK241" s="473"/>
      <x:c r="AL241" s="473"/>
      <x:c r="AM241" s="473"/>
      <x:c r="AN241" s="500" t="n">
        <x:f>IF(AND(AK241="Yes",OR(O241="Labour",O241="Plant")),Z241,0)</x:f>
        <x:v>0</x:v>
      </x:c>
    </x:row>
    <x:row r="242">
      <x:c r="A242" s="80" t="str">
        <x:f>IF(B242="","",B242&amp;"-"&amp;TEXT(COUNTIF($B$7:B242,B242),"000"))</x:f>
      </x:c>
      <x:c r="B242" s="53"/>
      <x:c r="C242" s="81" t="str">
        <x:f>IFERROR(INDEX('QS Takeoff'!$A$3:$A$194,MATCH(B242,'QS Takeoff'!$B$3:$B$194,0)),"")</x:f>
      </x:c>
      <x:c r="D242" s="81" t="str">
        <x:f>IFERROR(INDEX('QS Takeoff'!$C$3:$C$194,MATCH(B242,'QS Takeoff'!$B$3:$B$194,0)),"")</x:f>
      </x:c>
      <x:c r="E242" s="81" t="str">
        <x:f>IFERROR(INDEX('QS Takeoff'!$E$3:$E$194,MATCH(B242,'QS Takeoff'!$B$3:$B$194,0)),"")</x:f>
      </x:c>
      <x:c r="F242" s="81" t="str">
        <x:f>IFERROR(INDEX('QS Takeoff'!$D$3:$D$194,MATCH(B242,'QS Takeoff'!$B$3:$B$194,0)),"")</x:f>
      </x:c>
      <x:c r="G242" s="81" t="str">
        <x:f>IFERROR(INDEX('QS Takeoff'!$J$3:$J$194,MATCH(B242,'QS Takeoff'!$B$3:$B$194,0)),"")</x:f>
      </x:c>
      <x:c r="H242" s="53"/>
      <x:c r="I242" s="60"/>
      <x:c r="J242" s="60"/>
      <x:c r="K242" s="82" t="str">
        <x:f t="shared" si="18">IF(OR(B242="",I242="",I242=0),"",E242/I242)</x:f>
      </x:c>
      <x:c r="L242" s="60"/>
      <x:c r="M242" s="82" t="str">
        <x:f t="shared" si="19">IF(L242&gt;0,L242,K242)</x:f>
      </x:c>
      <x:c r="N242" s="53"/>
      <x:c r="O242" s="53"/>
      <x:c r="P242" s="53"/>
      <x:c r="Q242" s="81" t="str">
        <x:f>IFERROR(INDEX('Resource Rate Library'!$C$5:$C$85,MATCH(P242,'Resource Rate Library'!$A$5:$A$85,0)),"")</x:f>
      </x:c>
      <x:c r="R242" s="53"/>
      <x:c r="S242" s="53"/>
      <x:c r="T242" s="81" t="str">
        <x:f>IFERROR(INDEX('Resource Rate Library'!$E$5:$E$85,MATCH(P242,'Resource Rate Library'!$A$5:$A$85,0)),"")</x:f>
      </x:c>
      <x:c r="U242" s="62"/>
      <x:c r="V242" s="62"/>
      <x:c r="W242" s="83" t="n">
        <x:f>IFERROR(INDEX('Resource Rate Library'!$I$5:$I$85,MATCH(P242,'Resource Rate Library'!$A$5:$A$85,0)),0)</x:f>
        <x:v>0</x:v>
      </x:c>
      <x:c r="X242" s="52"/>
      <x:c r="Y242" s="83" t="n">
        <x:f t="shared" si="20">IF(X242&gt;0,X242,W242)</x:f>
        <x:v>0</x:v>
      </x:c>
      <x:c r="Z242" s="83" t="str">
        <x:f t="shared" si="21">IF(B242="","",IF(N242="Time x Count",M242*R242*IF(U242="",1,U242)*Y242,IF(N242="QS Qty x Factor",E242*R242*(1+IF(V242="",0,V242))*Y242,IF(N242="Direct Qty",S242*(1+IF(V242="",0,V242))*Y242,IF(N242="Lump Sum / Quote",S242*Y242,0)))))</x:f>
      </x:c>
      <x:c r="AA242" s="81" t="str">
        <x:f>IFERROR(INDEX('Resource Rate Library'!$N$5:$N$85,MATCH(P242,'Resource Rate Library'!$A$5:$A$85,0)),"")</x:f>
      </x:c>
      <x:c r="AB242" s="53"/>
      <x:c r="AC242" s="59"/>
      <x:c r="AD242" s="81" t="str">
        <x:f>IFERROR(INDEX('Resource Rate Library'!$G$5:$G$85,MATCH(P242,'Resource Rate Library'!$A$5:$A$85,0)),"")</x:f>
      </x:c>
      <x:c r="AE242" s="81" t="str">
        <x:f>IFERROR(INDEX('Resource Rate Library'!$H$5:$H$85,MATCH(P242,'Resource Rate Library'!$A$5:$A$85,0)),"")</x:f>
      </x:c>
      <x:c r="AF242" s="53"/>
      <x:c r="AG242" s="53"/>
      <x:c r="AH242" s="53"/>
      <x:c r="AI242" s="81" t="str">
        <x:f t="shared" si="22">IF(B242="","",IF(AND(P242="",N242&lt;&gt;"Lump Sum / Quote"),"RESOURCE CODE",IF(Y242=0,"RATE MISSING",IF(AND(O242="Plant",AD242="Yes",COUNTIFS($B$7:$B$306,B242,$O$7:$O$306,"Labour",$Q$7:$Q$306,"*Operator*")&gt;0),"OPERATOR DOUBLE-COUNT",IF(AND(O242="Plant",AE242="Yes",COUNTIFS($B$7:$B$306,B242,$Q$7:$Q$306,"*Fuel*")&gt;0),"FUEL DOUBLE-COUNT",IF(AH242&lt;&gt;"Yes","VERIFY","OK"))))))</x:f>
      </x:c>
      <x:c r="AJ242" s="54"/>
      <x:c r="AK242" s="473"/>
      <x:c r="AL242" s="473"/>
      <x:c r="AM242" s="473"/>
      <x:c r="AN242" s="500" t="n">
        <x:f>IF(AND(AK242="Yes",OR(O242="Labour",O242="Plant")),Z242,0)</x:f>
        <x:v>0</x:v>
      </x:c>
    </x:row>
    <x:row r="243">
      <x:c r="A243" s="80" t="str">
        <x:f>IF(B243="","",B243&amp;"-"&amp;TEXT(COUNTIF($B$7:B243,B243),"000"))</x:f>
      </x:c>
      <x:c r="B243" s="53"/>
      <x:c r="C243" s="81" t="str">
        <x:f>IFERROR(INDEX('QS Takeoff'!$A$3:$A$194,MATCH(B243,'QS Takeoff'!$B$3:$B$194,0)),"")</x:f>
      </x:c>
      <x:c r="D243" s="81" t="str">
        <x:f>IFERROR(INDEX('QS Takeoff'!$C$3:$C$194,MATCH(B243,'QS Takeoff'!$B$3:$B$194,0)),"")</x:f>
      </x:c>
      <x:c r="E243" s="81" t="str">
        <x:f>IFERROR(INDEX('QS Takeoff'!$E$3:$E$194,MATCH(B243,'QS Takeoff'!$B$3:$B$194,0)),"")</x:f>
      </x:c>
      <x:c r="F243" s="81" t="str">
        <x:f>IFERROR(INDEX('QS Takeoff'!$D$3:$D$194,MATCH(B243,'QS Takeoff'!$B$3:$B$194,0)),"")</x:f>
      </x:c>
      <x:c r="G243" s="81" t="str">
        <x:f>IFERROR(INDEX('QS Takeoff'!$J$3:$J$194,MATCH(B243,'QS Takeoff'!$B$3:$B$194,0)),"")</x:f>
      </x:c>
      <x:c r="H243" s="53"/>
      <x:c r="I243" s="60"/>
      <x:c r="J243" s="60"/>
      <x:c r="K243" s="82" t="str">
        <x:f t="shared" si="18">IF(OR(B243="",I243="",I243=0),"",E243/I243)</x:f>
      </x:c>
      <x:c r="L243" s="60"/>
      <x:c r="M243" s="82" t="str">
        <x:f t="shared" si="19">IF(L243&gt;0,L243,K243)</x:f>
      </x:c>
      <x:c r="N243" s="53"/>
      <x:c r="O243" s="53"/>
      <x:c r="P243" s="53"/>
      <x:c r="Q243" s="81" t="str">
        <x:f>IFERROR(INDEX('Resource Rate Library'!$C$5:$C$85,MATCH(P243,'Resource Rate Library'!$A$5:$A$85,0)),"")</x:f>
      </x:c>
      <x:c r="R243" s="53"/>
      <x:c r="S243" s="53"/>
      <x:c r="T243" s="81" t="str">
        <x:f>IFERROR(INDEX('Resource Rate Library'!$E$5:$E$85,MATCH(P243,'Resource Rate Library'!$A$5:$A$85,0)),"")</x:f>
      </x:c>
      <x:c r="U243" s="62"/>
      <x:c r="V243" s="62"/>
      <x:c r="W243" s="83" t="n">
        <x:f>IFERROR(INDEX('Resource Rate Library'!$I$5:$I$85,MATCH(P243,'Resource Rate Library'!$A$5:$A$85,0)),0)</x:f>
        <x:v>0</x:v>
      </x:c>
      <x:c r="X243" s="52"/>
      <x:c r="Y243" s="83" t="n">
        <x:f t="shared" si="20">IF(X243&gt;0,X243,W243)</x:f>
        <x:v>0</x:v>
      </x:c>
      <x:c r="Z243" s="83" t="str">
        <x:f t="shared" si="21">IF(B243="","",IF(N243="Time x Count",M243*R243*IF(U243="",1,U243)*Y243,IF(N243="QS Qty x Factor",E243*R243*(1+IF(V243="",0,V243))*Y243,IF(N243="Direct Qty",S243*(1+IF(V243="",0,V243))*Y243,IF(N243="Lump Sum / Quote",S243*Y243,0)))))</x:f>
      </x:c>
      <x:c r="AA243" s="81" t="str">
        <x:f>IFERROR(INDEX('Resource Rate Library'!$N$5:$N$85,MATCH(P243,'Resource Rate Library'!$A$5:$A$85,0)),"")</x:f>
      </x:c>
      <x:c r="AB243" s="53"/>
      <x:c r="AC243" s="59"/>
      <x:c r="AD243" s="81" t="str">
        <x:f>IFERROR(INDEX('Resource Rate Library'!$G$5:$G$85,MATCH(P243,'Resource Rate Library'!$A$5:$A$85,0)),"")</x:f>
      </x:c>
      <x:c r="AE243" s="81" t="str">
        <x:f>IFERROR(INDEX('Resource Rate Library'!$H$5:$H$85,MATCH(P243,'Resource Rate Library'!$A$5:$A$85,0)),"")</x:f>
      </x:c>
      <x:c r="AF243" s="53"/>
      <x:c r="AG243" s="53"/>
      <x:c r="AH243" s="53"/>
      <x:c r="AI243" s="81" t="str">
        <x:f t="shared" si="22">IF(B243="","",IF(AND(P243="",N243&lt;&gt;"Lump Sum / Quote"),"RESOURCE CODE",IF(Y243=0,"RATE MISSING",IF(AND(O243="Plant",AD243="Yes",COUNTIFS($B$7:$B$306,B243,$O$7:$O$306,"Labour",$Q$7:$Q$306,"*Operator*")&gt;0),"OPERATOR DOUBLE-COUNT",IF(AND(O243="Plant",AE243="Yes",COUNTIFS($B$7:$B$306,B243,$Q$7:$Q$306,"*Fuel*")&gt;0),"FUEL DOUBLE-COUNT",IF(AH243&lt;&gt;"Yes","VERIFY","OK"))))))</x:f>
      </x:c>
      <x:c r="AJ243" s="54"/>
      <x:c r="AK243" s="473"/>
      <x:c r="AL243" s="473"/>
      <x:c r="AM243" s="473"/>
      <x:c r="AN243" s="500" t="n">
        <x:f>IF(AND(AK243="Yes",OR(O243="Labour",O243="Plant")),Z243,0)</x:f>
        <x:v>0</x:v>
      </x:c>
    </x:row>
    <x:row r="244">
      <x:c r="A244" s="80" t="str">
        <x:f>IF(B244="","",B244&amp;"-"&amp;TEXT(COUNTIF($B$7:B244,B244),"000"))</x:f>
      </x:c>
      <x:c r="B244" s="53"/>
      <x:c r="C244" s="81" t="str">
        <x:f>IFERROR(INDEX('QS Takeoff'!$A$3:$A$194,MATCH(B244,'QS Takeoff'!$B$3:$B$194,0)),"")</x:f>
      </x:c>
      <x:c r="D244" s="81" t="str">
        <x:f>IFERROR(INDEX('QS Takeoff'!$C$3:$C$194,MATCH(B244,'QS Takeoff'!$B$3:$B$194,0)),"")</x:f>
      </x:c>
      <x:c r="E244" s="81" t="str">
        <x:f>IFERROR(INDEX('QS Takeoff'!$E$3:$E$194,MATCH(B244,'QS Takeoff'!$B$3:$B$194,0)),"")</x:f>
      </x:c>
      <x:c r="F244" s="81" t="str">
        <x:f>IFERROR(INDEX('QS Takeoff'!$D$3:$D$194,MATCH(B244,'QS Takeoff'!$B$3:$B$194,0)),"")</x:f>
      </x:c>
      <x:c r="G244" s="81" t="str">
        <x:f>IFERROR(INDEX('QS Takeoff'!$J$3:$J$194,MATCH(B244,'QS Takeoff'!$B$3:$B$194,0)),"")</x:f>
      </x:c>
      <x:c r="H244" s="53"/>
      <x:c r="I244" s="60"/>
      <x:c r="J244" s="60"/>
      <x:c r="K244" s="82" t="str">
        <x:f t="shared" si="18">IF(OR(B244="",I244="",I244=0),"",E244/I244)</x:f>
      </x:c>
      <x:c r="L244" s="60"/>
      <x:c r="M244" s="82" t="str">
        <x:f t="shared" si="19">IF(L244&gt;0,L244,K244)</x:f>
      </x:c>
      <x:c r="N244" s="53"/>
      <x:c r="O244" s="53"/>
      <x:c r="P244" s="53"/>
      <x:c r="Q244" s="81" t="str">
        <x:f>IFERROR(INDEX('Resource Rate Library'!$C$5:$C$85,MATCH(P244,'Resource Rate Library'!$A$5:$A$85,0)),"")</x:f>
      </x:c>
      <x:c r="R244" s="53"/>
      <x:c r="S244" s="53"/>
      <x:c r="T244" s="81" t="str">
        <x:f>IFERROR(INDEX('Resource Rate Library'!$E$5:$E$85,MATCH(P244,'Resource Rate Library'!$A$5:$A$85,0)),"")</x:f>
      </x:c>
      <x:c r="U244" s="62"/>
      <x:c r="V244" s="62"/>
      <x:c r="W244" s="83" t="n">
        <x:f>IFERROR(INDEX('Resource Rate Library'!$I$5:$I$85,MATCH(P244,'Resource Rate Library'!$A$5:$A$85,0)),0)</x:f>
        <x:v>0</x:v>
      </x:c>
      <x:c r="X244" s="52"/>
      <x:c r="Y244" s="83" t="n">
        <x:f t="shared" si="20">IF(X244&gt;0,X244,W244)</x:f>
        <x:v>0</x:v>
      </x:c>
      <x:c r="Z244" s="83" t="str">
        <x:f t="shared" si="21">IF(B244="","",IF(N244="Time x Count",M244*R244*IF(U244="",1,U244)*Y244,IF(N244="QS Qty x Factor",E244*R244*(1+IF(V244="",0,V244))*Y244,IF(N244="Direct Qty",S244*(1+IF(V244="",0,V244))*Y244,IF(N244="Lump Sum / Quote",S244*Y244,0)))))</x:f>
      </x:c>
      <x:c r="AA244" s="81" t="str">
        <x:f>IFERROR(INDEX('Resource Rate Library'!$N$5:$N$85,MATCH(P244,'Resource Rate Library'!$A$5:$A$85,0)),"")</x:f>
      </x:c>
      <x:c r="AB244" s="53"/>
      <x:c r="AC244" s="59"/>
      <x:c r="AD244" s="81" t="str">
        <x:f>IFERROR(INDEX('Resource Rate Library'!$G$5:$G$85,MATCH(P244,'Resource Rate Library'!$A$5:$A$85,0)),"")</x:f>
      </x:c>
      <x:c r="AE244" s="81" t="str">
        <x:f>IFERROR(INDEX('Resource Rate Library'!$H$5:$H$85,MATCH(P244,'Resource Rate Library'!$A$5:$A$85,0)),"")</x:f>
      </x:c>
      <x:c r="AF244" s="53"/>
      <x:c r="AG244" s="53"/>
      <x:c r="AH244" s="53"/>
      <x:c r="AI244" s="81" t="str">
        <x:f t="shared" si="22">IF(B244="","",IF(AND(P244="",N244&lt;&gt;"Lump Sum / Quote"),"RESOURCE CODE",IF(Y244=0,"RATE MISSING",IF(AND(O244="Plant",AD244="Yes",COUNTIFS($B$7:$B$306,B244,$O$7:$O$306,"Labour",$Q$7:$Q$306,"*Operator*")&gt;0),"OPERATOR DOUBLE-COUNT",IF(AND(O244="Plant",AE244="Yes",COUNTIFS($B$7:$B$306,B244,$Q$7:$Q$306,"*Fuel*")&gt;0),"FUEL DOUBLE-COUNT",IF(AH244&lt;&gt;"Yes","VERIFY","OK"))))))</x:f>
      </x:c>
      <x:c r="AJ244" s="54"/>
      <x:c r="AK244" s="473"/>
      <x:c r="AL244" s="473"/>
      <x:c r="AM244" s="473"/>
      <x:c r="AN244" s="500" t="n">
        <x:f>IF(AND(AK244="Yes",OR(O244="Labour",O244="Plant")),Z244,0)</x:f>
        <x:v>0</x:v>
      </x:c>
    </x:row>
    <x:row r="245">
      <x:c r="A245" s="80" t="str">
        <x:f>IF(B245="","",B245&amp;"-"&amp;TEXT(COUNTIF($B$7:B245,B245),"000"))</x:f>
      </x:c>
      <x:c r="B245" s="53"/>
      <x:c r="C245" s="81" t="str">
        <x:f>IFERROR(INDEX('QS Takeoff'!$A$3:$A$194,MATCH(B245,'QS Takeoff'!$B$3:$B$194,0)),"")</x:f>
      </x:c>
      <x:c r="D245" s="81" t="str">
        <x:f>IFERROR(INDEX('QS Takeoff'!$C$3:$C$194,MATCH(B245,'QS Takeoff'!$B$3:$B$194,0)),"")</x:f>
      </x:c>
      <x:c r="E245" s="81" t="str">
        <x:f>IFERROR(INDEX('QS Takeoff'!$E$3:$E$194,MATCH(B245,'QS Takeoff'!$B$3:$B$194,0)),"")</x:f>
      </x:c>
      <x:c r="F245" s="81" t="str">
        <x:f>IFERROR(INDEX('QS Takeoff'!$D$3:$D$194,MATCH(B245,'QS Takeoff'!$B$3:$B$194,0)),"")</x:f>
      </x:c>
      <x:c r="G245" s="81" t="str">
        <x:f>IFERROR(INDEX('QS Takeoff'!$J$3:$J$194,MATCH(B245,'QS Takeoff'!$B$3:$B$194,0)),"")</x:f>
      </x:c>
      <x:c r="H245" s="53"/>
      <x:c r="I245" s="60"/>
      <x:c r="J245" s="60"/>
      <x:c r="K245" s="82" t="str">
        <x:f t="shared" si="18">IF(OR(B245="",I245="",I245=0),"",E245/I245)</x:f>
      </x:c>
      <x:c r="L245" s="60"/>
      <x:c r="M245" s="82" t="str">
        <x:f t="shared" si="19">IF(L245&gt;0,L245,K245)</x:f>
      </x:c>
      <x:c r="N245" s="53"/>
      <x:c r="O245" s="53"/>
      <x:c r="P245" s="53"/>
      <x:c r="Q245" s="81" t="str">
        <x:f>IFERROR(INDEX('Resource Rate Library'!$C$5:$C$85,MATCH(P245,'Resource Rate Library'!$A$5:$A$85,0)),"")</x:f>
      </x:c>
      <x:c r="R245" s="53"/>
      <x:c r="S245" s="53"/>
      <x:c r="T245" s="81" t="str">
        <x:f>IFERROR(INDEX('Resource Rate Library'!$E$5:$E$85,MATCH(P245,'Resource Rate Library'!$A$5:$A$85,0)),"")</x:f>
      </x:c>
      <x:c r="U245" s="62"/>
      <x:c r="V245" s="62"/>
      <x:c r="W245" s="83" t="n">
        <x:f>IFERROR(INDEX('Resource Rate Library'!$I$5:$I$85,MATCH(P245,'Resource Rate Library'!$A$5:$A$85,0)),0)</x:f>
        <x:v>0</x:v>
      </x:c>
      <x:c r="X245" s="52"/>
      <x:c r="Y245" s="83" t="n">
        <x:f t="shared" si="20">IF(X245&gt;0,X245,W245)</x:f>
        <x:v>0</x:v>
      </x:c>
      <x:c r="Z245" s="83" t="str">
        <x:f t="shared" si="21">IF(B245="","",IF(N245="Time x Count",M245*R245*IF(U245="",1,U245)*Y245,IF(N245="QS Qty x Factor",E245*R245*(1+IF(V245="",0,V245))*Y245,IF(N245="Direct Qty",S245*(1+IF(V245="",0,V245))*Y245,IF(N245="Lump Sum / Quote",S245*Y245,0)))))</x:f>
      </x:c>
      <x:c r="AA245" s="81" t="str">
        <x:f>IFERROR(INDEX('Resource Rate Library'!$N$5:$N$85,MATCH(P245,'Resource Rate Library'!$A$5:$A$85,0)),"")</x:f>
      </x:c>
      <x:c r="AB245" s="53"/>
      <x:c r="AC245" s="59"/>
      <x:c r="AD245" s="81" t="str">
        <x:f>IFERROR(INDEX('Resource Rate Library'!$G$5:$G$85,MATCH(P245,'Resource Rate Library'!$A$5:$A$85,0)),"")</x:f>
      </x:c>
      <x:c r="AE245" s="81" t="str">
        <x:f>IFERROR(INDEX('Resource Rate Library'!$H$5:$H$85,MATCH(P245,'Resource Rate Library'!$A$5:$A$85,0)),"")</x:f>
      </x:c>
      <x:c r="AF245" s="53"/>
      <x:c r="AG245" s="53"/>
      <x:c r="AH245" s="53"/>
      <x:c r="AI245" s="81" t="str">
        <x:f t="shared" si="22">IF(B245="","",IF(AND(P245="",N245&lt;&gt;"Lump Sum / Quote"),"RESOURCE CODE",IF(Y245=0,"RATE MISSING",IF(AND(O245="Plant",AD245="Yes",COUNTIFS($B$7:$B$306,B245,$O$7:$O$306,"Labour",$Q$7:$Q$306,"*Operator*")&gt;0),"OPERATOR DOUBLE-COUNT",IF(AND(O245="Plant",AE245="Yes",COUNTIFS($B$7:$B$306,B245,$Q$7:$Q$306,"*Fuel*")&gt;0),"FUEL DOUBLE-COUNT",IF(AH245&lt;&gt;"Yes","VERIFY","OK"))))))</x:f>
      </x:c>
      <x:c r="AJ245" s="54"/>
      <x:c r="AK245" s="473"/>
      <x:c r="AL245" s="473"/>
      <x:c r="AM245" s="473"/>
      <x:c r="AN245" s="500" t="n">
        <x:f>IF(AND(AK245="Yes",OR(O245="Labour",O245="Plant")),Z245,0)</x:f>
        <x:v>0</x:v>
      </x:c>
    </x:row>
    <x:row r="246">
      <x:c r="A246" s="80" t="str">
        <x:f>IF(B246="","",B246&amp;"-"&amp;TEXT(COUNTIF($B$7:B246,B246),"000"))</x:f>
      </x:c>
      <x:c r="B246" s="53"/>
      <x:c r="C246" s="81" t="str">
        <x:f>IFERROR(INDEX('QS Takeoff'!$A$3:$A$194,MATCH(B246,'QS Takeoff'!$B$3:$B$194,0)),"")</x:f>
      </x:c>
      <x:c r="D246" s="81" t="str">
        <x:f>IFERROR(INDEX('QS Takeoff'!$C$3:$C$194,MATCH(B246,'QS Takeoff'!$B$3:$B$194,0)),"")</x:f>
      </x:c>
      <x:c r="E246" s="81" t="str">
        <x:f>IFERROR(INDEX('QS Takeoff'!$E$3:$E$194,MATCH(B246,'QS Takeoff'!$B$3:$B$194,0)),"")</x:f>
      </x:c>
      <x:c r="F246" s="81" t="str">
        <x:f>IFERROR(INDEX('QS Takeoff'!$D$3:$D$194,MATCH(B246,'QS Takeoff'!$B$3:$B$194,0)),"")</x:f>
      </x:c>
      <x:c r="G246" s="81" t="str">
        <x:f>IFERROR(INDEX('QS Takeoff'!$J$3:$J$194,MATCH(B246,'QS Takeoff'!$B$3:$B$194,0)),"")</x:f>
      </x:c>
      <x:c r="H246" s="53"/>
      <x:c r="I246" s="60"/>
      <x:c r="J246" s="60"/>
      <x:c r="K246" s="82" t="str">
        <x:f t="shared" si="18">IF(OR(B246="",I246="",I246=0),"",E246/I246)</x:f>
      </x:c>
      <x:c r="L246" s="60"/>
      <x:c r="M246" s="82" t="str">
        <x:f t="shared" si="19">IF(L246&gt;0,L246,K246)</x:f>
      </x:c>
      <x:c r="N246" s="53"/>
      <x:c r="O246" s="53"/>
      <x:c r="P246" s="53"/>
      <x:c r="Q246" s="81" t="str">
        <x:f>IFERROR(INDEX('Resource Rate Library'!$C$5:$C$85,MATCH(P246,'Resource Rate Library'!$A$5:$A$85,0)),"")</x:f>
      </x:c>
      <x:c r="R246" s="53"/>
      <x:c r="S246" s="53"/>
      <x:c r="T246" s="81" t="str">
        <x:f>IFERROR(INDEX('Resource Rate Library'!$E$5:$E$85,MATCH(P246,'Resource Rate Library'!$A$5:$A$85,0)),"")</x:f>
      </x:c>
      <x:c r="U246" s="62"/>
      <x:c r="V246" s="62"/>
      <x:c r="W246" s="83" t="n">
        <x:f>IFERROR(INDEX('Resource Rate Library'!$I$5:$I$85,MATCH(P246,'Resource Rate Library'!$A$5:$A$85,0)),0)</x:f>
        <x:v>0</x:v>
      </x:c>
      <x:c r="X246" s="52"/>
      <x:c r="Y246" s="83" t="n">
        <x:f t="shared" si="20">IF(X246&gt;0,X246,W246)</x:f>
        <x:v>0</x:v>
      </x:c>
      <x:c r="Z246" s="83" t="str">
        <x:f t="shared" si="21">IF(B246="","",IF(N246="Time x Count",M246*R246*IF(U246="",1,U246)*Y246,IF(N246="QS Qty x Factor",E246*R246*(1+IF(V246="",0,V246))*Y246,IF(N246="Direct Qty",S246*(1+IF(V246="",0,V246))*Y246,IF(N246="Lump Sum / Quote",S246*Y246,0)))))</x:f>
      </x:c>
      <x:c r="AA246" s="81" t="str">
        <x:f>IFERROR(INDEX('Resource Rate Library'!$N$5:$N$85,MATCH(P246,'Resource Rate Library'!$A$5:$A$85,0)),"")</x:f>
      </x:c>
      <x:c r="AB246" s="53"/>
      <x:c r="AC246" s="59"/>
      <x:c r="AD246" s="81" t="str">
        <x:f>IFERROR(INDEX('Resource Rate Library'!$G$5:$G$85,MATCH(P246,'Resource Rate Library'!$A$5:$A$85,0)),"")</x:f>
      </x:c>
      <x:c r="AE246" s="81" t="str">
        <x:f>IFERROR(INDEX('Resource Rate Library'!$H$5:$H$85,MATCH(P246,'Resource Rate Library'!$A$5:$A$85,0)),"")</x:f>
      </x:c>
      <x:c r="AF246" s="53"/>
      <x:c r="AG246" s="53"/>
      <x:c r="AH246" s="53"/>
      <x:c r="AI246" s="81" t="str">
        <x:f t="shared" si="22">IF(B246="","",IF(AND(P246="",N246&lt;&gt;"Lump Sum / Quote"),"RESOURCE CODE",IF(Y246=0,"RATE MISSING",IF(AND(O246="Plant",AD246="Yes",COUNTIFS($B$7:$B$306,B246,$O$7:$O$306,"Labour",$Q$7:$Q$306,"*Operator*")&gt;0),"OPERATOR DOUBLE-COUNT",IF(AND(O246="Plant",AE246="Yes",COUNTIFS($B$7:$B$306,B246,$Q$7:$Q$306,"*Fuel*")&gt;0),"FUEL DOUBLE-COUNT",IF(AH246&lt;&gt;"Yes","VERIFY","OK"))))))</x:f>
      </x:c>
      <x:c r="AJ246" s="54"/>
      <x:c r="AK246" s="473"/>
      <x:c r="AL246" s="473"/>
      <x:c r="AM246" s="473"/>
      <x:c r="AN246" s="500" t="n">
        <x:f>IF(AND(AK246="Yes",OR(O246="Labour",O246="Plant")),Z246,0)</x:f>
        <x:v>0</x:v>
      </x:c>
    </x:row>
    <x:row r="247">
      <x:c r="A247" s="80" t="str">
        <x:f>IF(B247="","",B247&amp;"-"&amp;TEXT(COUNTIF($B$7:B247,B247),"000"))</x:f>
      </x:c>
      <x:c r="B247" s="53"/>
      <x:c r="C247" s="81" t="str">
        <x:f>IFERROR(INDEX('QS Takeoff'!$A$3:$A$194,MATCH(B247,'QS Takeoff'!$B$3:$B$194,0)),"")</x:f>
      </x:c>
      <x:c r="D247" s="81" t="str">
        <x:f>IFERROR(INDEX('QS Takeoff'!$C$3:$C$194,MATCH(B247,'QS Takeoff'!$B$3:$B$194,0)),"")</x:f>
      </x:c>
      <x:c r="E247" s="81" t="str">
        <x:f>IFERROR(INDEX('QS Takeoff'!$E$3:$E$194,MATCH(B247,'QS Takeoff'!$B$3:$B$194,0)),"")</x:f>
      </x:c>
      <x:c r="F247" s="81" t="str">
        <x:f>IFERROR(INDEX('QS Takeoff'!$D$3:$D$194,MATCH(B247,'QS Takeoff'!$B$3:$B$194,0)),"")</x:f>
      </x:c>
      <x:c r="G247" s="81" t="str">
        <x:f>IFERROR(INDEX('QS Takeoff'!$J$3:$J$194,MATCH(B247,'QS Takeoff'!$B$3:$B$194,0)),"")</x:f>
      </x:c>
      <x:c r="H247" s="53"/>
      <x:c r="I247" s="60"/>
      <x:c r="J247" s="60"/>
      <x:c r="K247" s="82" t="str">
        <x:f t="shared" si="18">IF(OR(B247="",I247="",I247=0),"",E247/I247)</x:f>
      </x:c>
      <x:c r="L247" s="60"/>
      <x:c r="M247" s="82" t="str">
        <x:f t="shared" si="19">IF(L247&gt;0,L247,K247)</x:f>
      </x:c>
      <x:c r="N247" s="53"/>
      <x:c r="O247" s="53"/>
      <x:c r="P247" s="53"/>
      <x:c r="Q247" s="81" t="str">
        <x:f>IFERROR(INDEX('Resource Rate Library'!$C$5:$C$85,MATCH(P247,'Resource Rate Library'!$A$5:$A$85,0)),"")</x:f>
      </x:c>
      <x:c r="R247" s="53"/>
      <x:c r="S247" s="53"/>
      <x:c r="T247" s="81" t="str">
        <x:f>IFERROR(INDEX('Resource Rate Library'!$E$5:$E$85,MATCH(P247,'Resource Rate Library'!$A$5:$A$85,0)),"")</x:f>
      </x:c>
      <x:c r="U247" s="62"/>
      <x:c r="V247" s="62"/>
      <x:c r="W247" s="83" t="n">
        <x:f>IFERROR(INDEX('Resource Rate Library'!$I$5:$I$85,MATCH(P247,'Resource Rate Library'!$A$5:$A$85,0)),0)</x:f>
        <x:v>0</x:v>
      </x:c>
      <x:c r="X247" s="52"/>
      <x:c r="Y247" s="83" t="n">
        <x:f t="shared" si="20">IF(X247&gt;0,X247,W247)</x:f>
        <x:v>0</x:v>
      </x:c>
      <x:c r="Z247" s="83" t="str">
        <x:f t="shared" si="21">IF(B247="","",IF(N247="Time x Count",M247*R247*IF(U247="",1,U247)*Y247,IF(N247="QS Qty x Factor",E247*R247*(1+IF(V247="",0,V247))*Y247,IF(N247="Direct Qty",S247*(1+IF(V247="",0,V247))*Y247,IF(N247="Lump Sum / Quote",S247*Y247,0)))))</x:f>
      </x:c>
      <x:c r="AA247" s="81" t="str">
        <x:f>IFERROR(INDEX('Resource Rate Library'!$N$5:$N$85,MATCH(P247,'Resource Rate Library'!$A$5:$A$85,0)),"")</x:f>
      </x:c>
      <x:c r="AB247" s="53"/>
      <x:c r="AC247" s="59"/>
      <x:c r="AD247" s="81" t="str">
        <x:f>IFERROR(INDEX('Resource Rate Library'!$G$5:$G$85,MATCH(P247,'Resource Rate Library'!$A$5:$A$85,0)),"")</x:f>
      </x:c>
      <x:c r="AE247" s="81" t="str">
        <x:f>IFERROR(INDEX('Resource Rate Library'!$H$5:$H$85,MATCH(P247,'Resource Rate Library'!$A$5:$A$85,0)),"")</x:f>
      </x:c>
      <x:c r="AF247" s="53"/>
      <x:c r="AG247" s="53"/>
      <x:c r="AH247" s="53"/>
      <x:c r="AI247" s="81" t="str">
        <x:f t="shared" si="22">IF(B247="","",IF(AND(P247="",N247&lt;&gt;"Lump Sum / Quote"),"RESOURCE CODE",IF(Y247=0,"RATE MISSING",IF(AND(O247="Plant",AD247="Yes",COUNTIFS($B$7:$B$306,B247,$O$7:$O$306,"Labour",$Q$7:$Q$306,"*Operator*")&gt;0),"OPERATOR DOUBLE-COUNT",IF(AND(O247="Plant",AE247="Yes",COUNTIFS($B$7:$B$306,B247,$Q$7:$Q$306,"*Fuel*")&gt;0),"FUEL DOUBLE-COUNT",IF(AH247&lt;&gt;"Yes","VERIFY","OK"))))))</x:f>
      </x:c>
      <x:c r="AJ247" s="54"/>
      <x:c r="AK247" s="473"/>
      <x:c r="AL247" s="473"/>
      <x:c r="AM247" s="473"/>
      <x:c r="AN247" s="500" t="n">
        <x:f>IF(AND(AK247="Yes",OR(O247="Labour",O247="Plant")),Z247,0)</x:f>
        <x:v>0</x:v>
      </x:c>
    </x:row>
    <x:row r="248">
      <x:c r="A248" s="80" t="str">
        <x:f>IF(B248="","",B248&amp;"-"&amp;TEXT(COUNTIF($B$7:B248,B248),"000"))</x:f>
      </x:c>
      <x:c r="B248" s="53"/>
      <x:c r="C248" s="81" t="str">
        <x:f>IFERROR(INDEX('QS Takeoff'!$A$3:$A$194,MATCH(B248,'QS Takeoff'!$B$3:$B$194,0)),"")</x:f>
      </x:c>
      <x:c r="D248" s="81" t="str">
        <x:f>IFERROR(INDEX('QS Takeoff'!$C$3:$C$194,MATCH(B248,'QS Takeoff'!$B$3:$B$194,0)),"")</x:f>
      </x:c>
      <x:c r="E248" s="81" t="str">
        <x:f>IFERROR(INDEX('QS Takeoff'!$E$3:$E$194,MATCH(B248,'QS Takeoff'!$B$3:$B$194,0)),"")</x:f>
      </x:c>
      <x:c r="F248" s="81" t="str">
        <x:f>IFERROR(INDEX('QS Takeoff'!$D$3:$D$194,MATCH(B248,'QS Takeoff'!$B$3:$B$194,0)),"")</x:f>
      </x:c>
      <x:c r="G248" s="81" t="str">
        <x:f>IFERROR(INDEX('QS Takeoff'!$J$3:$J$194,MATCH(B248,'QS Takeoff'!$B$3:$B$194,0)),"")</x:f>
      </x:c>
      <x:c r="H248" s="53"/>
      <x:c r="I248" s="60"/>
      <x:c r="J248" s="60"/>
      <x:c r="K248" s="82" t="str">
        <x:f t="shared" si="18">IF(OR(B248="",I248="",I248=0),"",E248/I248)</x:f>
      </x:c>
      <x:c r="L248" s="60"/>
      <x:c r="M248" s="82" t="str">
        <x:f t="shared" si="19">IF(L248&gt;0,L248,K248)</x:f>
      </x:c>
      <x:c r="N248" s="53"/>
      <x:c r="O248" s="53"/>
      <x:c r="P248" s="53"/>
      <x:c r="Q248" s="81" t="str">
        <x:f>IFERROR(INDEX('Resource Rate Library'!$C$5:$C$85,MATCH(P248,'Resource Rate Library'!$A$5:$A$85,0)),"")</x:f>
      </x:c>
      <x:c r="R248" s="53"/>
      <x:c r="S248" s="53"/>
      <x:c r="T248" s="81" t="str">
        <x:f>IFERROR(INDEX('Resource Rate Library'!$E$5:$E$85,MATCH(P248,'Resource Rate Library'!$A$5:$A$85,0)),"")</x:f>
      </x:c>
      <x:c r="U248" s="62"/>
      <x:c r="V248" s="62"/>
      <x:c r="W248" s="83" t="n">
        <x:f>IFERROR(INDEX('Resource Rate Library'!$I$5:$I$85,MATCH(P248,'Resource Rate Library'!$A$5:$A$85,0)),0)</x:f>
        <x:v>0</x:v>
      </x:c>
      <x:c r="X248" s="52"/>
      <x:c r="Y248" s="83" t="n">
        <x:f t="shared" si="20">IF(X248&gt;0,X248,W248)</x:f>
        <x:v>0</x:v>
      </x:c>
      <x:c r="Z248" s="83" t="str">
        <x:f t="shared" si="21">IF(B248="","",IF(N248="Time x Count",M248*R248*IF(U248="",1,U248)*Y248,IF(N248="QS Qty x Factor",E248*R248*(1+IF(V248="",0,V248))*Y248,IF(N248="Direct Qty",S248*(1+IF(V248="",0,V248))*Y248,IF(N248="Lump Sum / Quote",S248*Y248,0)))))</x:f>
      </x:c>
      <x:c r="AA248" s="81" t="str">
        <x:f>IFERROR(INDEX('Resource Rate Library'!$N$5:$N$85,MATCH(P248,'Resource Rate Library'!$A$5:$A$85,0)),"")</x:f>
      </x:c>
      <x:c r="AB248" s="53"/>
      <x:c r="AC248" s="59"/>
      <x:c r="AD248" s="81" t="str">
        <x:f>IFERROR(INDEX('Resource Rate Library'!$G$5:$G$85,MATCH(P248,'Resource Rate Library'!$A$5:$A$85,0)),"")</x:f>
      </x:c>
      <x:c r="AE248" s="81" t="str">
        <x:f>IFERROR(INDEX('Resource Rate Library'!$H$5:$H$85,MATCH(P248,'Resource Rate Library'!$A$5:$A$85,0)),"")</x:f>
      </x:c>
      <x:c r="AF248" s="53"/>
      <x:c r="AG248" s="53"/>
      <x:c r="AH248" s="53"/>
      <x:c r="AI248" s="81" t="str">
        <x:f t="shared" si="22">IF(B248="","",IF(AND(P248="",N248&lt;&gt;"Lump Sum / Quote"),"RESOURCE CODE",IF(Y248=0,"RATE MISSING",IF(AND(O248="Plant",AD248="Yes",COUNTIFS($B$7:$B$306,B248,$O$7:$O$306,"Labour",$Q$7:$Q$306,"*Operator*")&gt;0),"OPERATOR DOUBLE-COUNT",IF(AND(O248="Plant",AE248="Yes",COUNTIFS($B$7:$B$306,B248,$Q$7:$Q$306,"*Fuel*")&gt;0),"FUEL DOUBLE-COUNT",IF(AH248&lt;&gt;"Yes","VERIFY","OK"))))))</x:f>
      </x:c>
      <x:c r="AJ248" s="54"/>
      <x:c r="AK248" s="473"/>
      <x:c r="AL248" s="473"/>
      <x:c r="AM248" s="473"/>
      <x:c r="AN248" s="500" t="n">
        <x:f>IF(AND(AK248="Yes",OR(O248="Labour",O248="Plant")),Z248,0)</x:f>
        <x:v>0</x:v>
      </x:c>
    </x:row>
    <x:row r="249">
      <x:c r="A249" s="80" t="str">
        <x:f>IF(B249="","",B249&amp;"-"&amp;TEXT(COUNTIF($B$7:B249,B249),"000"))</x:f>
      </x:c>
      <x:c r="B249" s="53"/>
      <x:c r="C249" s="81" t="str">
        <x:f>IFERROR(INDEX('QS Takeoff'!$A$3:$A$194,MATCH(B249,'QS Takeoff'!$B$3:$B$194,0)),"")</x:f>
      </x:c>
      <x:c r="D249" s="81" t="str">
        <x:f>IFERROR(INDEX('QS Takeoff'!$C$3:$C$194,MATCH(B249,'QS Takeoff'!$B$3:$B$194,0)),"")</x:f>
      </x:c>
      <x:c r="E249" s="81" t="str">
        <x:f>IFERROR(INDEX('QS Takeoff'!$E$3:$E$194,MATCH(B249,'QS Takeoff'!$B$3:$B$194,0)),"")</x:f>
      </x:c>
      <x:c r="F249" s="81" t="str">
        <x:f>IFERROR(INDEX('QS Takeoff'!$D$3:$D$194,MATCH(B249,'QS Takeoff'!$B$3:$B$194,0)),"")</x:f>
      </x:c>
      <x:c r="G249" s="81" t="str">
        <x:f>IFERROR(INDEX('QS Takeoff'!$J$3:$J$194,MATCH(B249,'QS Takeoff'!$B$3:$B$194,0)),"")</x:f>
      </x:c>
      <x:c r="H249" s="53"/>
      <x:c r="I249" s="60"/>
      <x:c r="J249" s="60"/>
      <x:c r="K249" s="82" t="str">
        <x:f t="shared" si="18">IF(OR(B249="",I249="",I249=0),"",E249/I249)</x:f>
      </x:c>
      <x:c r="L249" s="60"/>
      <x:c r="M249" s="82" t="str">
        <x:f t="shared" si="19">IF(L249&gt;0,L249,K249)</x:f>
      </x:c>
      <x:c r="N249" s="53"/>
      <x:c r="O249" s="53"/>
      <x:c r="P249" s="53"/>
      <x:c r="Q249" s="81" t="str">
        <x:f>IFERROR(INDEX('Resource Rate Library'!$C$5:$C$85,MATCH(P249,'Resource Rate Library'!$A$5:$A$85,0)),"")</x:f>
      </x:c>
      <x:c r="R249" s="53"/>
      <x:c r="S249" s="53"/>
      <x:c r="T249" s="81" t="str">
        <x:f>IFERROR(INDEX('Resource Rate Library'!$E$5:$E$85,MATCH(P249,'Resource Rate Library'!$A$5:$A$85,0)),"")</x:f>
      </x:c>
      <x:c r="U249" s="62"/>
      <x:c r="V249" s="62"/>
      <x:c r="W249" s="83" t="n">
        <x:f>IFERROR(INDEX('Resource Rate Library'!$I$5:$I$85,MATCH(P249,'Resource Rate Library'!$A$5:$A$85,0)),0)</x:f>
        <x:v>0</x:v>
      </x:c>
      <x:c r="X249" s="52"/>
      <x:c r="Y249" s="83" t="n">
        <x:f t="shared" si="20">IF(X249&gt;0,X249,W249)</x:f>
        <x:v>0</x:v>
      </x:c>
      <x:c r="Z249" s="83" t="str">
        <x:f t="shared" si="21">IF(B249="","",IF(N249="Time x Count",M249*R249*IF(U249="",1,U249)*Y249,IF(N249="QS Qty x Factor",E249*R249*(1+IF(V249="",0,V249))*Y249,IF(N249="Direct Qty",S249*(1+IF(V249="",0,V249))*Y249,IF(N249="Lump Sum / Quote",S249*Y249,0)))))</x:f>
      </x:c>
      <x:c r="AA249" s="81" t="str">
        <x:f>IFERROR(INDEX('Resource Rate Library'!$N$5:$N$85,MATCH(P249,'Resource Rate Library'!$A$5:$A$85,0)),"")</x:f>
      </x:c>
      <x:c r="AB249" s="53"/>
      <x:c r="AC249" s="59"/>
      <x:c r="AD249" s="81" t="str">
        <x:f>IFERROR(INDEX('Resource Rate Library'!$G$5:$G$85,MATCH(P249,'Resource Rate Library'!$A$5:$A$85,0)),"")</x:f>
      </x:c>
      <x:c r="AE249" s="81" t="str">
        <x:f>IFERROR(INDEX('Resource Rate Library'!$H$5:$H$85,MATCH(P249,'Resource Rate Library'!$A$5:$A$85,0)),"")</x:f>
      </x:c>
      <x:c r="AF249" s="53"/>
      <x:c r="AG249" s="53"/>
      <x:c r="AH249" s="53"/>
      <x:c r="AI249" s="81" t="str">
        <x:f t="shared" ref="AI249:AI280" si="23">IF(B249="","",IF(AND(P249="",N249&lt;&gt;"Lump Sum / Quote"),"RESOURCE CODE",IF(Y249=0,"RATE MISSING",IF(AND(O249="Plant",AD249="Yes",COUNTIFS($B$7:$B$306,B249,$O$7:$O$306,"Labour",$Q$7:$Q$306,"*Operator*")&gt;0),"OPERATOR DOUBLE-COUNT",IF(AND(O249="Plant",AE249="Yes",COUNTIFS($B$7:$B$306,B249,$Q$7:$Q$306,"*Fuel*")&gt;0),"FUEL DOUBLE-COUNT",IF(AH249&lt;&gt;"Yes","VERIFY","OK"))))))</x:f>
      </x:c>
      <x:c r="AJ249" s="54"/>
      <x:c r="AK249" s="473"/>
      <x:c r="AL249" s="473"/>
      <x:c r="AM249" s="473"/>
      <x:c r="AN249" s="500" t="n">
        <x:f>IF(AND(AK249="Yes",OR(O249="Labour",O249="Plant")),Z249,0)</x:f>
        <x:v>0</x:v>
      </x:c>
    </x:row>
    <x:row r="250">
      <x:c r="A250" s="80" t="str">
        <x:f>IF(B250="","",B250&amp;"-"&amp;TEXT(COUNTIF($B$7:B250,B250),"000"))</x:f>
      </x:c>
      <x:c r="B250" s="53"/>
      <x:c r="C250" s="81" t="str">
        <x:f>IFERROR(INDEX('QS Takeoff'!$A$3:$A$194,MATCH(B250,'QS Takeoff'!$B$3:$B$194,0)),"")</x:f>
      </x:c>
      <x:c r="D250" s="81" t="str">
        <x:f>IFERROR(INDEX('QS Takeoff'!$C$3:$C$194,MATCH(B250,'QS Takeoff'!$B$3:$B$194,0)),"")</x:f>
      </x:c>
      <x:c r="E250" s="81" t="str">
        <x:f>IFERROR(INDEX('QS Takeoff'!$E$3:$E$194,MATCH(B250,'QS Takeoff'!$B$3:$B$194,0)),"")</x:f>
      </x:c>
      <x:c r="F250" s="81" t="str">
        <x:f>IFERROR(INDEX('QS Takeoff'!$D$3:$D$194,MATCH(B250,'QS Takeoff'!$B$3:$B$194,0)),"")</x:f>
      </x:c>
      <x:c r="G250" s="81" t="str">
        <x:f>IFERROR(INDEX('QS Takeoff'!$J$3:$J$194,MATCH(B250,'QS Takeoff'!$B$3:$B$194,0)),"")</x:f>
      </x:c>
      <x:c r="H250" s="53"/>
      <x:c r="I250" s="60"/>
      <x:c r="J250" s="60"/>
      <x:c r="K250" s="82" t="str">
        <x:f t="shared" si="18">IF(OR(B250="",I250="",I250=0),"",E250/I250)</x:f>
      </x:c>
      <x:c r="L250" s="60"/>
      <x:c r="M250" s="82" t="str">
        <x:f t="shared" si="19">IF(L250&gt;0,L250,K250)</x:f>
      </x:c>
      <x:c r="N250" s="53"/>
      <x:c r="O250" s="53"/>
      <x:c r="P250" s="53"/>
      <x:c r="Q250" s="81" t="str">
        <x:f>IFERROR(INDEX('Resource Rate Library'!$C$5:$C$85,MATCH(P250,'Resource Rate Library'!$A$5:$A$85,0)),"")</x:f>
      </x:c>
      <x:c r="R250" s="53"/>
      <x:c r="S250" s="53"/>
      <x:c r="T250" s="81" t="str">
        <x:f>IFERROR(INDEX('Resource Rate Library'!$E$5:$E$85,MATCH(P250,'Resource Rate Library'!$A$5:$A$85,0)),"")</x:f>
      </x:c>
      <x:c r="U250" s="62"/>
      <x:c r="V250" s="62"/>
      <x:c r="W250" s="83" t="n">
        <x:f>IFERROR(INDEX('Resource Rate Library'!$I$5:$I$85,MATCH(P250,'Resource Rate Library'!$A$5:$A$85,0)),0)</x:f>
        <x:v>0</x:v>
      </x:c>
      <x:c r="X250" s="52"/>
      <x:c r="Y250" s="83" t="n">
        <x:f t="shared" si="20">IF(X250&gt;0,X250,W250)</x:f>
        <x:v>0</x:v>
      </x:c>
      <x:c r="Z250" s="83" t="str">
        <x:f t="shared" si="21">IF(B250="","",IF(N250="Time x Count",M250*R250*IF(U250="",1,U250)*Y250,IF(N250="QS Qty x Factor",E250*R250*(1+IF(V250="",0,V250))*Y250,IF(N250="Direct Qty",S250*(1+IF(V250="",0,V250))*Y250,IF(N250="Lump Sum / Quote",S250*Y250,0)))))</x:f>
      </x:c>
      <x:c r="AA250" s="81" t="str">
        <x:f>IFERROR(INDEX('Resource Rate Library'!$N$5:$N$85,MATCH(P250,'Resource Rate Library'!$A$5:$A$85,0)),"")</x:f>
      </x:c>
      <x:c r="AB250" s="53"/>
      <x:c r="AC250" s="59"/>
      <x:c r="AD250" s="81" t="str">
        <x:f>IFERROR(INDEX('Resource Rate Library'!$G$5:$G$85,MATCH(P250,'Resource Rate Library'!$A$5:$A$85,0)),"")</x:f>
      </x:c>
      <x:c r="AE250" s="81" t="str">
        <x:f>IFERROR(INDEX('Resource Rate Library'!$H$5:$H$85,MATCH(P250,'Resource Rate Library'!$A$5:$A$85,0)),"")</x:f>
      </x:c>
      <x:c r="AF250" s="53"/>
      <x:c r="AG250" s="53"/>
      <x:c r="AH250" s="53"/>
      <x:c r="AI250" s="81" t="str">
        <x:f t="shared" si="23">IF(B250="","",IF(AND(P250="",N250&lt;&gt;"Lump Sum / Quote"),"RESOURCE CODE",IF(Y250=0,"RATE MISSING",IF(AND(O250="Plant",AD250="Yes",COUNTIFS($B$7:$B$306,B250,$O$7:$O$306,"Labour",$Q$7:$Q$306,"*Operator*")&gt;0),"OPERATOR DOUBLE-COUNT",IF(AND(O250="Plant",AE250="Yes",COUNTIFS($B$7:$B$306,B250,$Q$7:$Q$306,"*Fuel*")&gt;0),"FUEL DOUBLE-COUNT",IF(AH250&lt;&gt;"Yes","VERIFY","OK"))))))</x:f>
      </x:c>
      <x:c r="AJ250" s="54"/>
      <x:c r="AK250" s="473"/>
      <x:c r="AL250" s="473"/>
      <x:c r="AM250" s="473"/>
      <x:c r="AN250" s="500" t="n">
        <x:f>IF(AND(AK250="Yes",OR(O250="Labour",O250="Plant")),Z250,0)</x:f>
        <x:v>0</x:v>
      </x:c>
    </x:row>
    <x:row r="251">
      <x:c r="A251" s="80" t="str">
        <x:f>IF(B251="","",B251&amp;"-"&amp;TEXT(COUNTIF($B$7:B251,B251),"000"))</x:f>
      </x:c>
      <x:c r="B251" s="53"/>
      <x:c r="C251" s="81" t="str">
        <x:f>IFERROR(INDEX('QS Takeoff'!$A$3:$A$194,MATCH(B251,'QS Takeoff'!$B$3:$B$194,0)),"")</x:f>
      </x:c>
      <x:c r="D251" s="81" t="str">
        <x:f>IFERROR(INDEX('QS Takeoff'!$C$3:$C$194,MATCH(B251,'QS Takeoff'!$B$3:$B$194,0)),"")</x:f>
      </x:c>
      <x:c r="E251" s="81" t="str">
        <x:f>IFERROR(INDEX('QS Takeoff'!$E$3:$E$194,MATCH(B251,'QS Takeoff'!$B$3:$B$194,0)),"")</x:f>
      </x:c>
      <x:c r="F251" s="81" t="str">
        <x:f>IFERROR(INDEX('QS Takeoff'!$D$3:$D$194,MATCH(B251,'QS Takeoff'!$B$3:$B$194,0)),"")</x:f>
      </x:c>
      <x:c r="G251" s="81" t="str">
        <x:f>IFERROR(INDEX('QS Takeoff'!$J$3:$J$194,MATCH(B251,'QS Takeoff'!$B$3:$B$194,0)),"")</x:f>
      </x:c>
      <x:c r="H251" s="53"/>
      <x:c r="I251" s="60"/>
      <x:c r="J251" s="60"/>
      <x:c r="K251" s="82" t="str">
        <x:f t="shared" si="18">IF(OR(B251="",I251="",I251=0),"",E251/I251)</x:f>
      </x:c>
      <x:c r="L251" s="60"/>
      <x:c r="M251" s="82" t="str">
        <x:f t="shared" si="19">IF(L251&gt;0,L251,K251)</x:f>
      </x:c>
      <x:c r="N251" s="53"/>
      <x:c r="O251" s="53"/>
      <x:c r="P251" s="53"/>
      <x:c r="Q251" s="81" t="str">
        <x:f>IFERROR(INDEX('Resource Rate Library'!$C$5:$C$85,MATCH(P251,'Resource Rate Library'!$A$5:$A$85,0)),"")</x:f>
      </x:c>
      <x:c r="R251" s="53"/>
      <x:c r="S251" s="53"/>
      <x:c r="T251" s="81" t="str">
        <x:f>IFERROR(INDEX('Resource Rate Library'!$E$5:$E$85,MATCH(P251,'Resource Rate Library'!$A$5:$A$85,0)),"")</x:f>
      </x:c>
      <x:c r="U251" s="62"/>
      <x:c r="V251" s="62"/>
      <x:c r="W251" s="83" t="n">
        <x:f>IFERROR(INDEX('Resource Rate Library'!$I$5:$I$85,MATCH(P251,'Resource Rate Library'!$A$5:$A$85,0)),0)</x:f>
        <x:v>0</x:v>
      </x:c>
      <x:c r="X251" s="52"/>
      <x:c r="Y251" s="83" t="n">
        <x:f t="shared" si="20">IF(X251&gt;0,X251,W251)</x:f>
        <x:v>0</x:v>
      </x:c>
      <x:c r="Z251" s="83" t="str">
        <x:f t="shared" si="21">IF(B251="","",IF(N251="Time x Count",M251*R251*IF(U251="",1,U251)*Y251,IF(N251="QS Qty x Factor",E251*R251*(1+IF(V251="",0,V251))*Y251,IF(N251="Direct Qty",S251*(1+IF(V251="",0,V251))*Y251,IF(N251="Lump Sum / Quote",S251*Y251,0)))))</x:f>
      </x:c>
      <x:c r="AA251" s="81" t="str">
        <x:f>IFERROR(INDEX('Resource Rate Library'!$N$5:$N$85,MATCH(P251,'Resource Rate Library'!$A$5:$A$85,0)),"")</x:f>
      </x:c>
      <x:c r="AB251" s="53"/>
      <x:c r="AC251" s="59"/>
      <x:c r="AD251" s="81" t="str">
        <x:f>IFERROR(INDEX('Resource Rate Library'!$G$5:$G$85,MATCH(P251,'Resource Rate Library'!$A$5:$A$85,0)),"")</x:f>
      </x:c>
      <x:c r="AE251" s="81" t="str">
        <x:f>IFERROR(INDEX('Resource Rate Library'!$H$5:$H$85,MATCH(P251,'Resource Rate Library'!$A$5:$A$85,0)),"")</x:f>
      </x:c>
      <x:c r="AF251" s="53"/>
      <x:c r="AG251" s="53"/>
      <x:c r="AH251" s="53"/>
      <x:c r="AI251" s="81" t="str">
        <x:f t="shared" si="23">IF(B251="","",IF(AND(P251="",N251&lt;&gt;"Lump Sum / Quote"),"RESOURCE CODE",IF(Y251=0,"RATE MISSING",IF(AND(O251="Plant",AD251="Yes",COUNTIFS($B$7:$B$306,B251,$O$7:$O$306,"Labour",$Q$7:$Q$306,"*Operator*")&gt;0),"OPERATOR DOUBLE-COUNT",IF(AND(O251="Plant",AE251="Yes",COUNTIFS($B$7:$B$306,B251,$Q$7:$Q$306,"*Fuel*")&gt;0),"FUEL DOUBLE-COUNT",IF(AH251&lt;&gt;"Yes","VERIFY","OK"))))))</x:f>
      </x:c>
      <x:c r="AJ251" s="54"/>
      <x:c r="AK251" s="473"/>
      <x:c r="AL251" s="473"/>
      <x:c r="AM251" s="473"/>
      <x:c r="AN251" s="500" t="n">
        <x:f>IF(AND(AK251="Yes",OR(O251="Labour",O251="Plant")),Z251,0)</x:f>
        <x:v>0</x:v>
      </x:c>
    </x:row>
    <x:row r="252">
      <x:c r="A252" s="80" t="str">
        <x:f>IF(B252="","",B252&amp;"-"&amp;TEXT(COUNTIF($B$7:B252,B252),"000"))</x:f>
      </x:c>
      <x:c r="B252" s="53"/>
      <x:c r="C252" s="81" t="str">
        <x:f>IFERROR(INDEX('QS Takeoff'!$A$3:$A$194,MATCH(B252,'QS Takeoff'!$B$3:$B$194,0)),"")</x:f>
      </x:c>
      <x:c r="D252" s="81" t="str">
        <x:f>IFERROR(INDEX('QS Takeoff'!$C$3:$C$194,MATCH(B252,'QS Takeoff'!$B$3:$B$194,0)),"")</x:f>
      </x:c>
      <x:c r="E252" s="81" t="str">
        <x:f>IFERROR(INDEX('QS Takeoff'!$E$3:$E$194,MATCH(B252,'QS Takeoff'!$B$3:$B$194,0)),"")</x:f>
      </x:c>
      <x:c r="F252" s="81" t="str">
        <x:f>IFERROR(INDEX('QS Takeoff'!$D$3:$D$194,MATCH(B252,'QS Takeoff'!$B$3:$B$194,0)),"")</x:f>
      </x:c>
      <x:c r="G252" s="81" t="str">
        <x:f>IFERROR(INDEX('QS Takeoff'!$J$3:$J$194,MATCH(B252,'QS Takeoff'!$B$3:$B$194,0)),"")</x:f>
      </x:c>
      <x:c r="H252" s="53"/>
      <x:c r="I252" s="60"/>
      <x:c r="J252" s="60"/>
      <x:c r="K252" s="82" t="str">
        <x:f t="shared" si="18">IF(OR(B252="",I252="",I252=0),"",E252/I252)</x:f>
      </x:c>
      <x:c r="L252" s="60"/>
      <x:c r="M252" s="82" t="str">
        <x:f t="shared" si="19">IF(L252&gt;0,L252,K252)</x:f>
      </x:c>
      <x:c r="N252" s="53"/>
      <x:c r="O252" s="53"/>
      <x:c r="P252" s="53"/>
      <x:c r="Q252" s="81" t="str">
        <x:f>IFERROR(INDEX('Resource Rate Library'!$C$5:$C$85,MATCH(P252,'Resource Rate Library'!$A$5:$A$85,0)),"")</x:f>
      </x:c>
      <x:c r="R252" s="53"/>
      <x:c r="S252" s="53"/>
      <x:c r="T252" s="81" t="str">
        <x:f>IFERROR(INDEX('Resource Rate Library'!$E$5:$E$85,MATCH(P252,'Resource Rate Library'!$A$5:$A$85,0)),"")</x:f>
      </x:c>
      <x:c r="U252" s="62"/>
      <x:c r="V252" s="62"/>
      <x:c r="W252" s="83" t="n">
        <x:f>IFERROR(INDEX('Resource Rate Library'!$I$5:$I$85,MATCH(P252,'Resource Rate Library'!$A$5:$A$85,0)),0)</x:f>
        <x:v>0</x:v>
      </x:c>
      <x:c r="X252" s="52"/>
      <x:c r="Y252" s="83" t="n">
        <x:f t="shared" si="20">IF(X252&gt;0,X252,W252)</x:f>
        <x:v>0</x:v>
      </x:c>
      <x:c r="Z252" s="83" t="str">
        <x:f t="shared" si="21">IF(B252="","",IF(N252="Time x Count",M252*R252*IF(U252="",1,U252)*Y252,IF(N252="QS Qty x Factor",E252*R252*(1+IF(V252="",0,V252))*Y252,IF(N252="Direct Qty",S252*(1+IF(V252="",0,V252))*Y252,IF(N252="Lump Sum / Quote",S252*Y252,0)))))</x:f>
      </x:c>
      <x:c r="AA252" s="81" t="str">
        <x:f>IFERROR(INDEX('Resource Rate Library'!$N$5:$N$85,MATCH(P252,'Resource Rate Library'!$A$5:$A$85,0)),"")</x:f>
      </x:c>
      <x:c r="AB252" s="53"/>
      <x:c r="AC252" s="59"/>
      <x:c r="AD252" s="81" t="str">
        <x:f>IFERROR(INDEX('Resource Rate Library'!$G$5:$G$85,MATCH(P252,'Resource Rate Library'!$A$5:$A$85,0)),"")</x:f>
      </x:c>
      <x:c r="AE252" s="81" t="str">
        <x:f>IFERROR(INDEX('Resource Rate Library'!$H$5:$H$85,MATCH(P252,'Resource Rate Library'!$A$5:$A$85,0)),"")</x:f>
      </x:c>
      <x:c r="AF252" s="53"/>
      <x:c r="AG252" s="53"/>
      <x:c r="AH252" s="53"/>
      <x:c r="AI252" s="81" t="str">
        <x:f t="shared" si="23">IF(B252="","",IF(AND(P252="",N252&lt;&gt;"Lump Sum / Quote"),"RESOURCE CODE",IF(Y252=0,"RATE MISSING",IF(AND(O252="Plant",AD252="Yes",COUNTIFS($B$7:$B$306,B252,$O$7:$O$306,"Labour",$Q$7:$Q$306,"*Operator*")&gt;0),"OPERATOR DOUBLE-COUNT",IF(AND(O252="Plant",AE252="Yes",COUNTIFS($B$7:$B$306,B252,$Q$7:$Q$306,"*Fuel*")&gt;0),"FUEL DOUBLE-COUNT",IF(AH252&lt;&gt;"Yes","VERIFY","OK"))))))</x:f>
      </x:c>
      <x:c r="AJ252" s="54"/>
      <x:c r="AK252" s="473"/>
      <x:c r="AL252" s="473"/>
      <x:c r="AM252" s="473"/>
      <x:c r="AN252" s="500" t="n">
        <x:f>IF(AND(AK252="Yes",OR(O252="Labour",O252="Plant")),Z252,0)</x:f>
        <x:v>0</x:v>
      </x:c>
    </x:row>
    <x:row r="253">
      <x:c r="A253" s="80" t="str">
        <x:f>IF(B253="","",B253&amp;"-"&amp;TEXT(COUNTIF($B$7:B253,B253),"000"))</x:f>
      </x:c>
      <x:c r="B253" s="53"/>
      <x:c r="C253" s="81" t="str">
        <x:f>IFERROR(INDEX('QS Takeoff'!$A$3:$A$194,MATCH(B253,'QS Takeoff'!$B$3:$B$194,0)),"")</x:f>
      </x:c>
      <x:c r="D253" s="81" t="str">
        <x:f>IFERROR(INDEX('QS Takeoff'!$C$3:$C$194,MATCH(B253,'QS Takeoff'!$B$3:$B$194,0)),"")</x:f>
      </x:c>
      <x:c r="E253" s="81" t="str">
        <x:f>IFERROR(INDEX('QS Takeoff'!$E$3:$E$194,MATCH(B253,'QS Takeoff'!$B$3:$B$194,0)),"")</x:f>
      </x:c>
      <x:c r="F253" s="81" t="str">
        <x:f>IFERROR(INDEX('QS Takeoff'!$D$3:$D$194,MATCH(B253,'QS Takeoff'!$B$3:$B$194,0)),"")</x:f>
      </x:c>
      <x:c r="G253" s="81" t="str">
        <x:f>IFERROR(INDEX('QS Takeoff'!$J$3:$J$194,MATCH(B253,'QS Takeoff'!$B$3:$B$194,0)),"")</x:f>
      </x:c>
      <x:c r="H253" s="53"/>
      <x:c r="I253" s="60"/>
      <x:c r="J253" s="60"/>
      <x:c r="K253" s="82" t="str">
        <x:f t="shared" si="18">IF(OR(B253="",I253="",I253=0),"",E253/I253)</x:f>
      </x:c>
      <x:c r="L253" s="60"/>
      <x:c r="M253" s="82" t="str">
        <x:f t="shared" si="19">IF(L253&gt;0,L253,K253)</x:f>
      </x:c>
      <x:c r="N253" s="53"/>
      <x:c r="O253" s="53"/>
      <x:c r="P253" s="53"/>
      <x:c r="Q253" s="81" t="str">
        <x:f>IFERROR(INDEX('Resource Rate Library'!$C$5:$C$85,MATCH(P253,'Resource Rate Library'!$A$5:$A$85,0)),"")</x:f>
      </x:c>
      <x:c r="R253" s="53"/>
      <x:c r="S253" s="53"/>
      <x:c r="T253" s="81" t="str">
        <x:f>IFERROR(INDEX('Resource Rate Library'!$E$5:$E$85,MATCH(P253,'Resource Rate Library'!$A$5:$A$85,0)),"")</x:f>
      </x:c>
      <x:c r="U253" s="62"/>
      <x:c r="V253" s="62"/>
      <x:c r="W253" s="83" t="n">
        <x:f>IFERROR(INDEX('Resource Rate Library'!$I$5:$I$85,MATCH(P253,'Resource Rate Library'!$A$5:$A$85,0)),0)</x:f>
        <x:v>0</x:v>
      </x:c>
      <x:c r="X253" s="52"/>
      <x:c r="Y253" s="83" t="n">
        <x:f t="shared" si="20">IF(X253&gt;0,X253,W253)</x:f>
        <x:v>0</x:v>
      </x:c>
      <x:c r="Z253" s="83" t="str">
        <x:f t="shared" si="21">IF(B253="","",IF(N253="Time x Count",M253*R253*IF(U253="",1,U253)*Y253,IF(N253="QS Qty x Factor",E253*R253*(1+IF(V253="",0,V253))*Y253,IF(N253="Direct Qty",S253*(1+IF(V253="",0,V253))*Y253,IF(N253="Lump Sum / Quote",S253*Y253,0)))))</x:f>
      </x:c>
      <x:c r="AA253" s="81" t="str">
        <x:f>IFERROR(INDEX('Resource Rate Library'!$N$5:$N$85,MATCH(P253,'Resource Rate Library'!$A$5:$A$85,0)),"")</x:f>
      </x:c>
      <x:c r="AB253" s="53"/>
      <x:c r="AC253" s="59"/>
      <x:c r="AD253" s="81" t="str">
        <x:f>IFERROR(INDEX('Resource Rate Library'!$G$5:$G$85,MATCH(P253,'Resource Rate Library'!$A$5:$A$85,0)),"")</x:f>
      </x:c>
      <x:c r="AE253" s="81" t="str">
        <x:f>IFERROR(INDEX('Resource Rate Library'!$H$5:$H$85,MATCH(P253,'Resource Rate Library'!$A$5:$A$85,0)),"")</x:f>
      </x:c>
      <x:c r="AF253" s="53"/>
      <x:c r="AG253" s="53"/>
      <x:c r="AH253" s="53"/>
      <x:c r="AI253" s="81" t="str">
        <x:f t="shared" si="23">IF(B253="","",IF(AND(P253="",N253&lt;&gt;"Lump Sum / Quote"),"RESOURCE CODE",IF(Y253=0,"RATE MISSING",IF(AND(O253="Plant",AD253="Yes",COUNTIFS($B$7:$B$306,B253,$O$7:$O$306,"Labour",$Q$7:$Q$306,"*Operator*")&gt;0),"OPERATOR DOUBLE-COUNT",IF(AND(O253="Plant",AE253="Yes",COUNTIFS($B$7:$B$306,B253,$Q$7:$Q$306,"*Fuel*")&gt;0),"FUEL DOUBLE-COUNT",IF(AH253&lt;&gt;"Yes","VERIFY","OK"))))))</x:f>
      </x:c>
      <x:c r="AJ253" s="54"/>
      <x:c r="AK253" s="473"/>
      <x:c r="AL253" s="473"/>
      <x:c r="AM253" s="473"/>
      <x:c r="AN253" s="500" t="n">
        <x:f>IF(AND(AK253="Yes",OR(O253="Labour",O253="Plant")),Z253,0)</x:f>
        <x:v>0</x:v>
      </x:c>
    </x:row>
    <x:row r="254">
      <x:c r="A254" s="80" t="str">
        <x:f>IF(B254="","",B254&amp;"-"&amp;TEXT(COUNTIF($B$7:B254,B254),"000"))</x:f>
      </x:c>
      <x:c r="B254" s="53"/>
      <x:c r="C254" s="81" t="str">
        <x:f>IFERROR(INDEX('QS Takeoff'!$A$3:$A$194,MATCH(B254,'QS Takeoff'!$B$3:$B$194,0)),"")</x:f>
      </x:c>
      <x:c r="D254" s="81" t="str">
        <x:f>IFERROR(INDEX('QS Takeoff'!$C$3:$C$194,MATCH(B254,'QS Takeoff'!$B$3:$B$194,0)),"")</x:f>
      </x:c>
      <x:c r="E254" s="81" t="str">
        <x:f>IFERROR(INDEX('QS Takeoff'!$E$3:$E$194,MATCH(B254,'QS Takeoff'!$B$3:$B$194,0)),"")</x:f>
      </x:c>
      <x:c r="F254" s="81" t="str">
        <x:f>IFERROR(INDEX('QS Takeoff'!$D$3:$D$194,MATCH(B254,'QS Takeoff'!$B$3:$B$194,0)),"")</x:f>
      </x:c>
      <x:c r="G254" s="81" t="str">
        <x:f>IFERROR(INDEX('QS Takeoff'!$J$3:$J$194,MATCH(B254,'QS Takeoff'!$B$3:$B$194,0)),"")</x:f>
      </x:c>
      <x:c r="H254" s="53"/>
      <x:c r="I254" s="60"/>
      <x:c r="J254" s="60"/>
      <x:c r="K254" s="82" t="str">
        <x:f t="shared" si="18">IF(OR(B254="",I254="",I254=0),"",E254/I254)</x:f>
      </x:c>
      <x:c r="L254" s="60"/>
      <x:c r="M254" s="82" t="str">
        <x:f t="shared" si="19">IF(L254&gt;0,L254,K254)</x:f>
      </x:c>
      <x:c r="N254" s="53"/>
      <x:c r="O254" s="53"/>
      <x:c r="P254" s="53"/>
      <x:c r="Q254" s="81" t="str">
        <x:f>IFERROR(INDEX('Resource Rate Library'!$C$5:$C$85,MATCH(P254,'Resource Rate Library'!$A$5:$A$85,0)),"")</x:f>
      </x:c>
      <x:c r="R254" s="53"/>
      <x:c r="S254" s="53"/>
      <x:c r="T254" s="81" t="str">
        <x:f>IFERROR(INDEX('Resource Rate Library'!$E$5:$E$85,MATCH(P254,'Resource Rate Library'!$A$5:$A$85,0)),"")</x:f>
      </x:c>
      <x:c r="U254" s="62"/>
      <x:c r="V254" s="62"/>
      <x:c r="W254" s="83" t="n">
        <x:f>IFERROR(INDEX('Resource Rate Library'!$I$5:$I$85,MATCH(P254,'Resource Rate Library'!$A$5:$A$85,0)),0)</x:f>
        <x:v>0</x:v>
      </x:c>
      <x:c r="X254" s="52"/>
      <x:c r="Y254" s="83" t="n">
        <x:f t="shared" si="20">IF(X254&gt;0,X254,W254)</x:f>
        <x:v>0</x:v>
      </x:c>
      <x:c r="Z254" s="83" t="str">
        <x:f t="shared" si="21">IF(B254="","",IF(N254="Time x Count",M254*R254*IF(U254="",1,U254)*Y254,IF(N254="QS Qty x Factor",E254*R254*(1+IF(V254="",0,V254))*Y254,IF(N254="Direct Qty",S254*(1+IF(V254="",0,V254))*Y254,IF(N254="Lump Sum / Quote",S254*Y254,0)))))</x:f>
      </x:c>
      <x:c r="AA254" s="81" t="str">
        <x:f>IFERROR(INDEX('Resource Rate Library'!$N$5:$N$85,MATCH(P254,'Resource Rate Library'!$A$5:$A$85,0)),"")</x:f>
      </x:c>
      <x:c r="AB254" s="53"/>
      <x:c r="AC254" s="59"/>
      <x:c r="AD254" s="81" t="str">
        <x:f>IFERROR(INDEX('Resource Rate Library'!$G$5:$G$85,MATCH(P254,'Resource Rate Library'!$A$5:$A$85,0)),"")</x:f>
      </x:c>
      <x:c r="AE254" s="81" t="str">
        <x:f>IFERROR(INDEX('Resource Rate Library'!$H$5:$H$85,MATCH(P254,'Resource Rate Library'!$A$5:$A$85,0)),"")</x:f>
      </x:c>
      <x:c r="AF254" s="53"/>
      <x:c r="AG254" s="53"/>
      <x:c r="AH254" s="53"/>
      <x:c r="AI254" s="81" t="str">
        <x:f t="shared" si="23">IF(B254="","",IF(AND(P254="",N254&lt;&gt;"Lump Sum / Quote"),"RESOURCE CODE",IF(Y254=0,"RATE MISSING",IF(AND(O254="Plant",AD254="Yes",COUNTIFS($B$7:$B$306,B254,$O$7:$O$306,"Labour",$Q$7:$Q$306,"*Operator*")&gt;0),"OPERATOR DOUBLE-COUNT",IF(AND(O254="Plant",AE254="Yes",COUNTIFS($B$7:$B$306,B254,$Q$7:$Q$306,"*Fuel*")&gt;0),"FUEL DOUBLE-COUNT",IF(AH254&lt;&gt;"Yes","VERIFY","OK"))))))</x:f>
      </x:c>
      <x:c r="AJ254" s="54"/>
      <x:c r="AK254" s="473"/>
      <x:c r="AL254" s="473"/>
      <x:c r="AM254" s="473"/>
      <x:c r="AN254" s="500" t="n">
        <x:f>IF(AND(AK254="Yes",OR(O254="Labour",O254="Plant")),Z254,0)</x:f>
        <x:v>0</x:v>
      </x:c>
    </x:row>
    <x:row r="255">
      <x:c r="A255" s="80" t="str">
        <x:f>IF(B255="","",B255&amp;"-"&amp;TEXT(COUNTIF($B$7:B255,B255),"000"))</x:f>
      </x:c>
      <x:c r="B255" s="53"/>
      <x:c r="C255" s="81" t="str">
        <x:f>IFERROR(INDEX('QS Takeoff'!$A$3:$A$194,MATCH(B255,'QS Takeoff'!$B$3:$B$194,0)),"")</x:f>
      </x:c>
      <x:c r="D255" s="81" t="str">
        <x:f>IFERROR(INDEX('QS Takeoff'!$C$3:$C$194,MATCH(B255,'QS Takeoff'!$B$3:$B$194,0)),"")</x:f>
      </x:c>
      <x:c r="E255" s="81" t="str">
        <x:f>IFERROR(INDEX('QS Takeoff'!$E$3:$E$194,MATCH(B255,'QS Takeoff'!$B$3:$B$194,0)),"")</x:f>
      </x:c>
      <x:c r="F255" s="81" t="str">
        <x:f>IFERROR(INDEX('QS Takeoff'!$D$3:$D$194,MATCH(B255,'QS Takeoff'!$B$3:$B$194,0)),"")</x:f>
      </x:c>
      <x:c r="G255" s="81" t="str">
        <x:f>IFERROR(INDEX('QS Takeoff'!$J$3:$J$194,MATCH(B255,'QS Takeoff'!$B$3:$B$194,0)),"")</x:f>
      </x:c>
      <x:c r="H255" s="53"/>
      <x:c r="I255" s="60"/>
      <x:c r="J255" s="60"/>
      <x:c r="K255" s="82" t="str">
        <x:f t="shared" si="18">IF(OR(B255="",I255="",I255=0),"",E255/I255)</x:f>
      </x:c>
      <x:c r="L255" s="60"/>
      <x:c r="M255" s="82" t="str">
        <x:f t="shared" si="19">IF(L255&gt;0,L255,K255)</x:f>
      </x:c>
      <x:c r="N255" s="53"/>
      <x:c r="O255" s="53"/>
      <x:c r="P255" s="53"/>
      <x:c r="Q255" s="81" t="str">
        <x:f>IFERROR(INDEX('Resource Rate Library'!$C$5:$C$85,MATCH(P255,'Resource Rate Library'!$A$5:$A$85,0)),"")</x:f>
      </x:c>
      <x:c r="R255" s="53"/>
      <x:c r="S255" s="53"/>
      <x:c r="T255" s="81" t="str">
        <x:f>IFERROR(INDEX('Resource Rate Library'!$E$5:$E$85,MATCH(P255,'Resource Rate Library'!$A$5:$A$85,0)),"")</x:f>
      </x:c>
      <x:c r="U255" s="62"/>
      <x:c r="V255" s="62"/>
      <x:c r="W255" s="83" t="n">
        <x:f>IFERROR(INDEX('Resource Rate Library'!$I$5:$I$85,MATCH(P255,'Resource Rate Library'!$A$5:$A$85,0)),0)</x:f>
        <x:v>0</x:v>
      </x:c>
      <x:c r="X255" s="52"/>
      <x:c r="Y255" s="83" t="n">
        <x:f t="shared" si="20">IF(X255&gt;0,X255,W255)</x:f>
        <x:v>0</x:v>
      </x:c>
      <x:c r="Z255" s="83" t="str">
        <x:f t="shared" si="21">IF(B255="","",IF(N255="Time x Count",M255*R255*IF(U255="",1,U255)*Y255,IF(N255="QS Qty x Factor",E255*R255*(1+IF(V255="",0,V255))*Y255,IF(N255="Direct Qty",S255*(1+IF(V255="",0,V255))*Y255,IF(N255="Lump Sum / Quote",S255*Y255,0)))))</x:f>
      </x:c>
      <x:c r="AA255" s="81" t="str">
        <x:f>IFERROR(INDEX('Resource Rate Library'!$N$5:$N$85,MATCH(P255,'Resource Rate Library'!$A$5:$A$85,0)),"")</x:f>
      </x:c>
      <x:c r="AB255" s="53"/>
      <x:c r="AC255" s="59"/>
      <x:c r="AD255" s="81" t="str">
        <x:f>IFERROR(INDEX('Resource Rate Library'!$G$5:$G$85,MATCH(P255,'Resource Rate Library'!$A$5:$A$85,0)),"")</x:f>
      </x:c>
      <x:c r="AE255" s="81" t="str">
        <x:f>IFERROR(INDEX('Resource Rate Library'!$H$5:$H$85,MATCH(P255,'Resource Rate Library'!$A$5:$A$85,0)),"")</x:f>
      </x:c>
      <x:c r="AF255" s="53"/>
      <x:c r="AG255" s="53"/>
      <x:c r="AH255" s="53"/>
      <x:c r="AI255" s="81" t="str">
        <x:f t="shared" si="23">IF(B255="","",IF(AND(P255="",N255&lt;&gt;"Lump Sum / Quote"),"RESOURCE CODE",IF(Y255=0,"RATE MISSING",IF(AND(O255="Plant",AD255="Yes",COUNTIFS($B$7:$B$306,B255,$O$7:$O$306,"Labour",$Q$7:$Q$306,"*Operator*")&gt;0),"OPERATOR DOUBLE-COUNT",IF(AND(O255="Plant",AE255="Yes",COUNTIFS($B$7:$B$306,B255,$Q$7:$Q$306,"*Fuel*")&gt;0),"FUEL DOUBLE-COUNT",IF(AH255&lt;&gt;"Yes","VERIFY","OK"))))))</x:f>
      </x:c>
      <x:c r="AJ255" s="54"/>
      <x:c r="AK255" s="473"/>
      <x:c r="AL255" s="473"/>
      <x:c r="AM255" s="473"/>
      <x:c r="AN255" s="500" t="n">
        <x:f>IF(AND(AK255="Yes",OR(O255="Labour",O255="Plant")),Z255,0)</x:f>
        <x:v>0</x:v>
      </x:c>
    </x:row>
    <x:row r="256">
      <x:c r="A256" s="80" t="str">
        <x:f>IF(B256="","",B256&amp;"-"&amp;TEXT(COUNTIF($B$7:B256,B256),"000"))</x:f>
      </x:c>
      <x:c r="B256" s="53"/>
      <x:c r="C256" s="81" t="str">
        <x:f>IFERROR(INDEX('QS Takeoff'!$A$3:$A$194,MATCH(B256,'QS Takeoff'!$B$3:$B$194,0)),"")</x:f>
      </x:c>
      <x:c r="D256" s="81" t="str">
        <x:f>IFERROR(INDEX('QS Takeoff'!$C$3:$C$194,MATCH(B256,'QS Takeoff'!$B$3:$B$194,0)),"")</x:f>
      </x:c>
      <x:c r="E256" s="81" t="str">
        <x:f>IFERROR(INDEX('QS Takeoff'!$E$3:$E$194,MATCH(B256,'QS Takeoff'!$B$3:$B$194,0)),"")</x:f>
      </x:c>
      <x:c r="F256" s="81" t="str">
        <x:f>IFERROR(INDEX('QS Takeoff'!$D$3:$D$194,MATCH(B256,'QS Takeoff'!$B$3:$B$194,0)),"")</x:f>
      </x:c>
      <x:c r="G256" s="81" t="str">
        <x:f>IFERROR(INDEX('QS Takeoff'!$J$3:$J$194,MATCH(B256,'QS Takeoff'!$B$3:$B$194,0)),"")</x:f>
      </x:c>
      <x:c r="H256" s="53"/>
      <x:c r="I256" s="60"/>
      <x:c r="J256" s="60"/>
      <x:c r="K256" s="82" t="str">
        <x:f t="shared" si="18">IF(OR(B256="",I256="",I256=0),"",E256/I256)</x:f>
      </x:c>
      <x:c r="L256" s="60"/>
      <x:c r="M256" s="82" t="str">
        <x:f t="shared" si="19">IF(L256&gt;0,L256,K256)</x:f>
      </x:c>
      <x:c r="N256" s="53"/>
      <x:c r="O256" s="53"/>
      <x:c r="P256" s="53"/>
      <x:c r="Q256" s="81" t="str">
        <x:f>IFERROR(INDEX('Resource Rate Library'!$C$5:$C$85,MATCH(P256,'Resource Rate Library'!$A$5:$A$85,0)),"")</x:f>
      </x:c>
      <x:c r="R256" s="53"/>
      <x:c r="S256" s="53"/>
      <x:c r="T256" s="81" t="str">
        <x:f>IFERROR(INDEX('Resource Rate Library'!$E$5:$E$85,MATCH(P256,'Resource Rate Library'!$A$5:$A$85,0)),"")</x:f>
      </x:c>
      <x:c r="U256" s="62"/>
      <x:c r="V256" s="62"/>
      <x:c r="W256" s="83" t="n">
        <x:f>IFERROR(INDEX('Resource Rate Library'!$I$5:$I$85,MATCH(P256,'Resource Rate Library'!$A$5:$A$85,0)),0)</x:f>
        <x:v>0</x:v>
      </x:c>
      <x:c r="X256" s="52"/>
      <x:c r="Y256" s="83" t="n">
        <x:f t="shared" si="20">IF(X256&gt;0,X256,W256)</x:f>
        <x:v>0</x:v>
      </x:c>
      <x:c r="Z256" s="83" t="str">
        <x:f t="shared" si="21">IF(B256="","",IF(N256="Time x Count",M256*R256*IF(U256="",1,U256)*Y256,IF(N256="QS Qty x Factor",E256*R256*(1+IF(V256="",0,V256))*Y256,IF(N256="Direct Qty",S256*(1+IF(V256="",0,V256))*Y256,IF(N256="Lump Sum / Quote",S256*Y256,0)))))</x:f>
      </x:c>
      <x:c r="AA256" s="81" t="str">
        <x:f>IFERROR(INDEX('Resource Rate Library'!$N$5:$N$85,MATCH(P256,'Resource Rate Library'!$A$5:$A$85,0)),"")</x:f>
      </x:c>
      <x:c r="AB256" s="53"/>
      <x:c r="AC256" s="59"/>
      <x:c r="AD256" s="81" t="str">
        <x:f>IFERROR(INDEX('Resource Rate Library'!$G$5:$G$85,MATCH(P256,'Resource Rate Library'!$A$5:$A$85,0)),"")</x:f>
      </x:c>
      <x:c r="AE256" s="81" t="str">
        <x:f>IFERROR(INDEX('Resource Rate Library'!$H$5:$H$85,MATCH(P256,'Resource Rate Library'!$A$5:$A$85,0)),"")</x:f>
      </x:c>
      <x:c r="AF256" s="53"/>
      <x:c r="AG256" s="53"/>
      <x:c r="AH256" s="53"/>
      <x:c r="AI256" s="81" t="str">
        <x:f t="shared" si="23">IF(B256="","",IF(AND(P256="",N256&lt;&gt;"Lump Sum / Quote"),"RESOURCE CODE",IF(Y256=0,"RATE MISSING",IF(AND(O256="Plant",AD256="Yes",COUNTIFS($B$7:$B$306,B256,$O$7:$O$306,"Labour",$Q$7:$Q$306,"*Operator*")&gt;0),"OPERATOR DOUBLE-COUNT",IF(AND(O256="Plant",AE256="Yes",COUNTIFS($B$7:$B$306,B256,$Q$7:$Q$306,"*Fuel*")&gt;0),"FUEL DOUBLE-COUNT",IF(AH256&lt;&gt;"Yes","VERIFY","OK"))))))</x:f>
      </x:c>
      <x:c r="AJ256" s="54"/>
      <x:c r="AK256" s="473"/>
      <x:c r="AL256" s="473"/>
      <x:c r="AM256" s="473"/>
      <x:c r="AN256" s="500" t="n">
        <x:f>IF(AND(AK256="Yes",OR(O256="Labour",O256="Plant")),Z256,0)</x:f>
        <x:v>0</x:v>
      </x:c>
    </x:row>
    <x:row r="257">
      <x:c r="A257" s="80" t="str">
        <x:f>IF(B257="","",B257&amp;"-"&amp;TEXT(COUNTIF($B$7:B257,B257),"000"))</x:f>
      </x:c>
      <x:c r="B257" s="53"/>
      <x:c r="C257" s="81" t="str">
        <x:f>IFERROR(INDEX('QS Takeoff'!$A$3:$A$194,MATCH(B257,'QS Takeoff'!$B$3:$B$194,0)),"")</x:f>
      </x:c>
      <x:c r="D257" s="81" t="str">
        <x:f>IFERROR(INDEX('QS Takeoff'!$C$3:$C$194,MATCH(B257,'QS Takeoff'!$B$3:$B$194,0)),"")</x:f>
      </x:c>
      <x:c r="E257" s="81" t="str">
        <x:f>IFERROR(INDEX('QS Takeoff'!$E$3:$E$194,MATCH(B257,'QS Takeoff'!$B$3:$B$194,0)),"")</x:f>
      </x:c>
      <x:c r="F257" s="81" t="str">
        <x:f>IFERROR(INDEX('QS Takeoff'!$D$3:$D$194,MATCH(B257,'QS Takeoff'!$B$3:$B$194,0)),"")</x:f>
      </x:c>
      <x:c r="G257" s="81" t="str">
        <x:f>IFERROR(INDEX('QS Takeoff'!$J$3:$J$194,MATCH(B257,'QS Takeoff'!$B$3:$B$194,0)),"")</x:f>
      </x:c>
      <x:c r="H257" s="53"/>
      <x:c r="I257" s="60"/>
      <x:c r="J257" s="60"/>
      <x:c r="K257" s="82" t="str">
        <x:f t="shared" si="18">IF(OR(B257="",I257="",I257=0),"",E257/I257)</x:f>
      </x:c>
      <x:c r="L257" s="60"/>
      <x:c r="M257" s="82" t="str">
        <x:f t="shared" si="19">IF(L257&gt;0,L257,K257)</x:f>
      </x:c>
      <x:c r="N257" s="53"/>
      <x:c r="O257" s="53"/>
      <x:c r="P257" s="53"/>
      <x:c r="Q257" s="81" t="str">
        <x:f>IFERROR(INDEX('Resource Rate Library'!$C$5:$C$85,MATCH(P257,'Resource Rate Library'!$A$5:$A$85,0)),"")</x:f>
      </x:c>
      <x:c r="R257" s="53"/>
      <x:c r="S257" s="53"/>
      <x:c r="T257" s="81" t="str">
        <x:f>IFERROR(INDEX('Resource Rate Library'!$E$5:$E$85,MATCH(P257,'Resource Rate Library'!$A$5:$A$85,0)),"")</x:f>
      </x:c>
      <x:c r="U257" s="62"/>
      <x:c r="V257" s="62"/>
      <x:c r="W257" s="83" t="n">
        <x:f>IFERROR(INDEX('Resource Rate Library'!$I$5:$I$85,MATCH(P257,'Resource Rate Library'!$A$5:$A$85,0)),0)</x:f>
        <x:v>0</x:v>
      </x:c>
      <x:c r="X257" s="52"/>
      <x:c r="Y257" s="83" t="n">
        <x:f t="shared" si="20">IF(X257&gt;0,X257,W257)</x:f>
        <x:v>0</x:v>
      </x:c>
      <x:c r="Z257" s="83" t="str">
        <x:f t="shared" si="21">IF(B257="","",IF(N257="Time x Count",M257*R257*IF(U257="",1,U257)*Y257,IF(N257="QS Qty x Factor",E257*R257*(1+IF(V257="",0,V257))*Y257,IF(N257="Direct Qty",S257*(1+IF(V257="",0,V257))*Y257,IF(N257="Lump Sum / Quote",S257*Y257,0)))))</x:f>
      </x:c>
      <x:c r="AA257" s="81" t="str">
        <x:f>IFERROR(INDEX('Resource Rate Library'!$N$5:$N$85,MATCH(P257,'Resource Rate Library'!$A$5:$A$85,0)),"")</x:f>
      </x:c>
      <x:c r="AB257" s="53"/>
      <x:c r="AC257" s="59"/>
      <x:c r="AD257" s="81" t="str">
        <x:f>IFERROR(INDEX('Resource Rate Library'!$G$5:$G$85,MATCH(P257,'Resource Rate Library'!$A$5:$A$85,0)),"")</x:f>
      </x:c>
      <x:c r="AE257" s="81" t="str">
        <x:f>IFERROR(INDEX('Resource Rate Library'!$H$5:$H$85,MATCH(P257,'Resource Rate Library'!$A$5:$A$85,0)),"")</x:f>
      </x:c>
      <x:c r="AF257" s="53"/>
      <x:c r="AG257" s="53"/>
      <x:c r="AH257" s="53"/>
      <x:c r="AI257" s="81" t="str">
        <x:f t="shared" si="23">IF(B257="","",IF(AND(P257="",N257&lt;&gt;"Lump Sum / Quote"),"RESOURCE CODE",IF(Y257=0,"RATE MISSING",IF(AND(O257="Plant",AD257="Yes",COUNTIFS($B$7:$B$306,B257,$O$7:$O$306,"Labour",$Q$7:$Q$306,"*Operator*")&gt;0),"OPERATOR DOUBLE-COUNT",IF(AND(O257="Plant",AE257="Yes",COUNTIFS($B$7:$B$306,B257,$Q$7:$Q$306,"*Fuel*")&gt;0),"FUEL DOUBLE-COUNT",IF(AH257&lt;&gt;"Yes","VERIFY","OK"))))))</x:f>
      </x:c>
      <x:c r="AJ257" s="54"/>
      <x:c r="AK257" s="473"/>
      <x:c r="AL257" s="473"/>
      <x:c r="AM257" s="473"/>
      <x:c r="AN257" s="500" t="n">
        <x:f>IF(AND(AK257="Yes",OR(O257="Labour",O257="Plant")),Z257,0)</x:f>
        <x:v>0</x:v>
      </x:c>
    </x:row>
    <x:row r="258">
      <x:c r="A258" s="80" t="str">
        <x:f>IF(B258="","",B258&amp;"-"&amp;TEXT(COUNTIF($B$7:B258,B258),"000"))</x:f>
      </x:c>
      <x:c r="B258" s="53"/>
      <x:c r="C258" s="81" t="str">
        <x:f>IFERROR(INDEX('QS Takeoff'!$A$3:$A$194,MATCH(B258,'QS Takeoff'!$B$3:$B$194,0)),"")</x:f>
      </x:c>
      <x:c r="D258" s="81" t="str">
        <x:f>IFERROR(INDEX('QS Takeoff'!$C$3:$C$194,MATCH(B258,'QS Takeoff'!$B$3:$B$194,0)),"")</x:f>
      </x:c>
      <x:c r="E258" s="81" t="str">
        <x:f>IFERROR(INDEX('QS Takeoff'!$E$3:$E$194,MATCH(B258,'QS Takeoff'!$B$3:$B$194,0)),"")</x:f>
      </x:c>
      <x:c r="F258" s="81" t="str">
        <x:f>IFERROR(INDEX('QS Takeoff'!$D$3:$D$194,MATCH(B258,'QS Takeoff'!$B$3:$B$194,0)),"")</x:f>
      </x:c>
      <x:c r="G258" s="81" t="str">
        <x:f>IFERROR(INDEX('QS Takeoff'!$J$3:$J$194,MATCH(B258,'QS Takeoff'!$B$3:$B$194,0)),"")</x:f>
      </x:c>
      <x:c r="H258" s="53"/>
      <x:c r="I258" s="60"/>
      <x:c r="J258" s="60"/>
      <x:c r="K258" s="82" t="str">
        <x:f t="shared" si="18">IF(OR(B258="",I258="",I258=0),"",E258/I258)</x:f>
      </x:c>
      <x:c r="L258" s="60"/>
      <x:c r="M258" s="82" t="str">
        <x:f t="shared" si="19">IF(L258&gt;0,L258,K258)</x:f>
      </x:c>
      <x:c r="N258" s="53"/>
      <x:c r="O258" s="53"/>
      <x:c r="P258" s="53"/>
      <x:c r="Q258" s="81" t="str">
        <x:f>IFERROR(INDEX('Resource Rate Library'!$C$5:$C$85,MATCH(P258,'Resource Rate Library'!$A$5:$A$85,0)),"")</x:f>
      </x:c>
      <x:c r="R258" s="53"/>
      <x:c r="S258" s="53"/>
      <x:c r="T258" s="81" t="str">
        <x:f>IFERROR(INDEX('Resource Rate Library'!$E$5:$E$85,MATCH(P258,'Resource Rate Library'!$A$5:$A$85,0)),"")</x:f>
      </x:c>
      <x:c r="U258" s="62"/>
      <x:c r="V258" s="62"/>
      <x:c r="W258" s="83" t="n">
        <x:f>IFERROR(INDEX('Resource Rate Library'!$I$5:$I$85,MATCH(P258,'Resource Rate Library'!$A$5:$A$85,0)),0)</x:f>
        <x:v>0</x:v>
      </x:c>
      <x:c r="X258" s="52"/>
      <x:c r="Y258" s="83" t="n">
        <x:f t="shared" si="20">IF(X258&gt;0,X258,W258)</x:f>
        <x:v>0</x:v>
      </x:c>
      <x:c r="Z258" s="83" t="str">
        <x:f t="shared" si="21">IF(B258="","",IF(N258="Time x Count",M258*R258*IF(U258="",1,U258)*Y258,IF(N258="QS Qty x Factor",E258*R258*(1+IF(V258="",0,V258))*Y258,IF(N258="Direct Qty",S258*(1+IF(V258="",0,V258))*Y258,IF(N258="Lump Sum / Quote",S258*Y258,0)))))</x:f>
      </x:c>
      <x:c r="AA258" s="81" t="str">
        <x:f>IFERROR(INDEX('Resource Rate Library'!$N$5:$N$85,MATCH(P258,'Resource Rate Library'!$A$5:$A$85,0)),"")</x:f>
      </x:c>
      <x:c r="AB258" s="53"/>
      <x:c r="AC258" s="59"/>
      <x:c r="AD258" s="81" t="str">
        <x:f>IFERROR(INDEX('Resource Rate Library'!$G$5:$G$85,MATCH(P258,'Resource Rate Library'!$A$5:$A$85,0)),"")</x:f>
      </x:c>
      <x:c r="AE258" s="81" t="str">
        <x:f>IFERROR(INDEX('Resource Rate Library'!$H$5:$H$85,MATCH(P258,'Resource Rate Library'!$A$5:$A$85,0)),"")</x:f>
      </x:c>
      <x:c r="AF258" s="53"/>
      <x:c r="AG258" s="53"/>
      <x:c r="AH258" s="53"/>
      <x:c r="AI258" s="81" t="str">
        <x:f t="shared" si="23">IF(B258="","",IF(AND(P258="",N258&lt;&gt;"Lump Sum / Quote"),"RESOURCE CODE",IF(Y258=0,"RATE MISSING",IF(AND(O258="Plant",AD258="Yes",COUNTIFS($B$7:$B$306,B258,$O$7:$O$306,"Labour",$Q$7:$Q$306,"*Operator*")&gt;0),"OPERATOR DOUBLE-COUNT",IF(AND(O258="Plant",AE258="Yes",COUNTIFS($B$7:$B$306,B258,$Q$7:$Q$306,"*Fuel*")&gt;0),"FUEL DOUBLE-COUNT",IF(AH258&lt;&gt;"Yes","VERIFY","OK"))))))</x:f>
      </x:c>
      <x:c r="AJ258" s="54"/>
      <x:c r="AK258" s="473"/>
      <x:c r="AL258" s="473"/>
      <x:c r="AM258" s="473"/>
      <x:c r="AN258" s="500" t="n">
        <x:f>IF(AND(AK258="Yes",OR(O258="Labour",O258="Plant")),Z258,0)</x:f>
        <x:v>0</x:v>
      </x:c>
    </x:row>
    <x:row r="259">
      <x:c r="A259" s="80" t="str">
        <x:f>IF(B259="","",B259&amp;"-"&amp;TEXT(COUNTIF($B$7:B259,B259),"000"))</x:f>
      </x:c>
      <x:c r="B259" s="53"/>
      <x:c r="C259" s="81" t="str">
        <x:f>IFERROR(INDEX('QS Takeoff'!$A$3:$A$194,MATCH(B259,'QS Takeoff'!$B$3:$B$194,0)),"")</x:f>
      </x:c>
      <x:c r="D259" s="81" t="str">
        <x:f>IFERROR(INDEX('QS Takeoff'!$C$3:$C$194,MATCH(B259,'QS Takeoff'!$B$3:$B$194,0)),"")</x:f>
      </x:c>
      <x:c r="E259" s="81" t="str">
        <x:f>IFERROR(INDEX('QS Takeoff'!$E$3:$E$194,MATCH(B259,'QS Takeoff'!$B$3:$B$194,0)),"")</x:f>
      </x:c>
      <x:c r="F259" s="81" t="str">
        <x:f>IFERROR(INDEX('QS Takeoff'!$D$3:$D$194,MATCH(B259,'QS Takeoff'!$B$3:$B$194,0)),"")</x:f>
      </x:c>
      <x:c r="G259" s="81" t="str">
        <x:f>IFERROR(INDEX('QS Takeoff'!$J$3:$J$194,MATCH(B259,'QS Takeoff'!$B$3:$B$194,0)),"")</x:f>
      </x:c>
      <x:c r="H259" s="53"/>
      <x:c r="I259" s="60"/>
      <x:c r="J259" s="60"/>
      <x:c r="K259" s="82" t="str">
        <x:f t="shared" si="18">IF(OR(B259="",I259="",I259=0),"",E259/I259)</x:f>
      </x:c>
      <x:c r="L259" s="60"/>
      <x:c r="M259" s="82" t="str">
        <x:f t="shared" si="19">IF(L259&gt;0,L259,K259)</x:f>
      </x:c>
      <x:c r="N259" s="53"/>
      <x:c r="O259" s="53"/>
      <x:c r="P259" s="53"/>
      <x:c r="Q259" s="81" t="str">
        <x:f>IFERROR(INDEX('Resource Rate Library'!$C$5:$C$85,MATCH(P259,'Resource Rate Library'!$A$5:$A$85,0)),"")</x:f>
      </x:c>
      <x:c r="R259" s="53"/>
      <x:c r="S259" s="53"/>
      <x:c r="T259" s="81" t="str">
        <x:f>IFERROR(INDEX('Resource Rate Library'!$E$5:$E$85,MATCH(P259,'Resource Rate Library'!$A$5:$A$85,0)),"")</x:f>
      </x:c>
      <x:c r="U259" s="62"/>
      <x:c r="V259" s="62"/>
      <x:c r="W259" s="83" t="n">
        <x:f>IFERROR(INDEX('Resource Rate Library'!$I$5:$I$85,MATCH(P259,'Resource Rate Library'!$A$5:$A$85,0)),0)</x:f>
        <x:v>0</x:v>
      </x:c>
      <x:c r="X259" s="52"/>
      <x:c r="Y259" s="83" t="n">
        <x:f t="shared" si="20">IF(X259&gt;0,X259,W259)</x:f>
        <x:v>0</x:v>
      </x:c>
      <x:c r="Z259" s="83" t="str">
        <x:f t="shared" si="21">IF(B259="","",IF(N259="Time x Count",M259*R259*IF(U259="",1,U259)*Y259,IF(N259="QS Qty x Factor",E259*R259*(1+IF(V259="",0,V259))*Y259,IF(N259="Direct Qty",S259*(1+IF(V259="",0,V259))*Y259,IF(N259="Lump Sum / Quote",S259*Y259,0)))))</x:f>
      </x:c>
      <x:c r="AA259" s="81" t="str">
        <x:f>IFERROR(INDEX('Resource Rate Library'!$N$5:$N$85,MATCH(P259,'Resource Rate Library'!$A$5:$A$85,0)),"")</x:f>
      </x:c>
      <x:c r="AB259" s="53"/>
      <x:c r="AC259" s="59"/>
      <x:c r="AD259" s="81" t="str">
        <x:f>IFERROR(INDEX('Resource Rate Library'!$G$5:$G$85,MATCH(P259,'Resource Rate Library'!$A$5:$A$85,0)),"")</x:f>
      </x:c>
      <x:c r="AE259" s="81" t="str">
        <x:f>IFERROR(INDEX('Resource Rate Library'!$H$5:$H$85,MATCH(P259,'Resource Rate Library'!$A$5:$A$85,0)),"")</x:f>
      </x:c>
      <x:c r="AF259" s="53"/>
      <x:c r="AG259" s="53"/>
      <x:c r="AH259" s="53"/>
      <x:c r="AI259" s="81" t="str">
        <x:f t="shared" si="23">IF(B259="","",IF(AND(P259="",N259&lt;&gt;"Lump Sum / Quote"),"RESOURCE CODE",IF(Y259=0,"RATE MISSING",IF(AND(O259="Plant",AD259="Yes",COUNTIFS($B$7:$B$306,B259,$O$7:$O$306,"Labour",$Q$7:$Q$306,"*Operator*")&gt;0),"OPERATOR DOUBLE-COUNT",IF(AND(O259="Plant",AE259="Yes",COUNTIFS($B$7:$B$306,B259,$Q$7:$Q$306,"*Fuel*")&gt;0),"FUEL DOUBLE-COUNT",IF(AH259&lt;&gt;"Yes","VERIFY","OK"))))))</x:f>
      </x:c>
      <x:c r="AJ259" s="54"/>
      <x:c r="AK259" s="473"/>
      <x:c r="AL259" s="473"/>
      <x:c r="AM259" s="473"/>
      <x:c r="AN259" s="500" t="n">
        <x:f>IF(AND(AK259="Yes",OR(O259="Labour",O259="Plant")),Z259,0)</x:f>
        <x:v>0</x:v>
      </x:c>
    </x:row>
    <x:row r="260">
      <x:c r="A260" s="80" t="str">
        <x:f>IF(B260="","",B260&amp;"-"&amp;TEXT(COUNTIF($B$7:B260,B260),"000"))</x:f>
      </x:c>
      <x:c r="B260" s="53"/>
      <x:c r="C260" s="81" t="str">
        <x:f>IFERROR(INDEX('QS Takeoff'!$A$3:$A$194,MATCH(B260,'QS Takeoff'!$B$3:$B$194,0)),"")</x:f>
      </x:c>
      <x:c r="D260" s="81" t="str">
        <x:f>IFERROR(INDEX('QS Takeoff'!$C$3:$C$194,MATCH(B260,'QS Takeoff'!$B$3:$B$194,0)),"")</x:f>
      </x:c>
      <x:c r="E260" s="81" t="str">
        <x:f>IFERROR(INDEX('QS Takeoff'!$E$3:$E$194,MATCH(B260,'QS Takeoff'!$B$3:$B$194,0)),"")</x:f>
      </x:c>
      <x:c r="F260" s="81" t="str">
        <x:f>IFERROR(INDEX('QS Takeoff'!$D$3:$D$194,MATCH(B260,'QS Takeoff'!$B$3:$B$194,0)),"")</x:f>
      </x:c>
      <x:c r="G260" s="81" t="str">
        <x:f>IFERROR(INDEX('QS Takeoff'!$J$3:$J$194,MATCH(B260,'QS Takeoff'!$B$3:$B$194,0)),"")</x:f>
      </x:c>
      <x:c r="H260" s="53"/>
      <x:c r="I260" s="60"/>
      <x:c r="J260" s="60"/>
      <x:c r="K260" s="82" t="str">
        <x:f t="shared" si="18">IF(OR(B260="",I260="",I260=0),"",E260/I260)</x:f>
      </x:c>
      <x:c r="L260" s="60"/>
      <x:c r="M260" s="82" t="str">
        <x:f t="shared" si="19">IF(L260&gt;0,L260,K260)</x:f>
      </x:c>
      <x:c r="N260" s="53"/>
      <x:c r="O260" s="53"/>
      <x:c r="P260" s="53"/>
      <x:c r="Q260" s="81" t="str">
        <x:f>IFERROR(INDEX('Resource Rate Library'!$C$5:$C$85,MATCH(P260,'Resource Rate Library'!$A$5:$A$85,0)),"")</x:f>
      </x:c>
      <x:c r="R260" s="53"/>
      <x:c r="S260" s="53"/>
      <x:c r="T260" s="81" t="str">
        <x:f>IFERROR(INDEX('Resource Rate Library'!$E$5:$E$85,MATCH(P260,'Resource Rate Library'!$A$5:$A$85,0)),"")</x:f>
      </x:c>
      <x:c r="U260" s="62"/>
      <x:c r="V260" s="62"/>
      <x:c r="W260" s="83" t="n">
        <x:f>IFERROR(INDEX('Resource Rate Library'!$I$5:$I$85,MATCH(P260,'Resource Rate Library'!$A$5:$A$85,0)),0)</x:f>
        <x:v>0</x:v>
      </x:c>
      <x:c r="X260" s="52"/>
      <x:c r="Y260" s="83" t="n">
        <x:f t="shared" si="20">IF(X260&gt;0,X260,W260)</x:f>
        <x:v>0</x:v>
      </x:c>
      <x:c r="Z260" s="83" t="str">
        <x:f t="shared" si="21">IF(B260="","",IF(N260="Time x Count",M260*R260*IF(U260="",1,U260)*Y260,IF(N260="QS Qty x Factor",E260*R260*(1+IF(V260="",0,V260))*Y260,IF(N260="Direct Qty",S260*(1+IF(V260="",0,V260))*Y260,IF(N260="Lump Sum / Quote",S260*Y260,0)))))</x:f>
      </x:c>
      <x:c r="AA260" s="81" t="str">
        <x:f>IFERROR(INDEX('Resource Rate Library'!$N$5:$N$85,MATCH(P260,'Resource Rate Library'!$A$5:$A$85,0)),"")</x:f>
      </x:c>
      <x:c r="AB260" s="53"/>
      <x:c r="AC260" s="59"/>
      <x:c r="AD260" s="81" t="str">
        <x:f>IFERROR(INDEX('Resource Rate Library'!$G$5:$G$85,MATCH(P260,'Resource Rate Library'!$A$5:$A$85,0)),"")</x:f>
      </x:c>
      <x:c r="AE260" s="81" t="str">
        <x:f>IFERROR(INDEX('Resource Rate Library'!$H$5:$H$85,MATCH(P260,'Resource Rate Library'!$A$5:$A$85,0)),"")</x:f>
      </x:c>
      <x:c r="AF260" s="53"/>
      <x:c r="AG260" s="53"/>
      <x:c r="AH260" s="53"/>
      <x:c r="AI260" s="81" t="str">
        <x:f t="shared" si="23">IF(B260="","",IF(AND(P260="",N260&lt;&gt;"Lump Sum / Quote"),"RESOURCE CODE",IF(Y260=0,"RATE MISSING",IF(AND(O260="Plant",AD260="Yes",COUNTIFS($B$7:$B$306,B260,$O$7:$O$306,"Labour",$Q$7:$Q$306,"*Operator*")&gt;0),"OPERATOR DOUBLE-COUNT",IF(AND(O260="Plant",AE260="Yes",COUNTIFS($B$7:$B$306,B260,$Q$7:$Q$306,"*Fuel*")&gt;0),"FUEL DOUBLE-COUNT",IF(AH260&lt;&gt;"Yes","VERIFY","OK"))))))</x:f>
      </x:c>
      <x:c r="AJ260" s="54"/>
      <x:c r="AK260" s="473"/>
      <x:c r="AL260" s="473"/>
      <x:c r="AM260" s="473"/>
      <x:c r="AN260" s="500" t="n">
        <x:f>IF(AND(AK260="Yes",OR(O260="Labour",O260="Plant")),Z260,0)</x:f>
        <x:v>0</x:v>
      </x:c>
    </x:row>
    <x:row r="261">
      <x:c r="A261" s="80" t="str">
        <x:f>IF(B261="","",B261&amp;"-"&amp;TEXT(COUNTIF($B$7:B261,B261),"000"))</x:f>
      </x:c>
      <x:c r="B261" s="53"/>
      <x:c r="C261" s="81" t="str">
        <x:f>IFERROR(INDEX('QS Takeoff'!$A$3:$A$194,MATCH(B261,'QS Takeoff'!$B$3:$B$194,0)),"")</x:f>
      </x:c>
      <x:c r="D261" s="81" t="str">
        <x:f>IFERROR(INDEX('QS Takeoff'!$C$3:$C$194,MATCH(B261,'QS Takeoff'!$B$3:$B$194,0)),"")</x:f>
      </x:c>
      <x:c r="E261" s="81" t="str">
        <x:f>IFERROR(INDEX('QS Takeoff'!$E$3:$E$194,MATCH(B261,'QS Takeoff'!$B$3:$B$194,0)),"")</x:f>
      </x:c>
      <x:c r="F261" s="81" t="str">
        <x:f>IFERROR(INDEX('QS Takeoff'!$D$3:$D$194,MATCH(B261,'QS Takeoff'!$B$3:$B$194,0)),"")</x:f>
      </x:c>
      <x:c r="G261" s="81" t="str">
        <x:f>IFERROR(INDEX('QS Takeoff'!$J$3:$J$194,MATCH(B261,'QS Takeoff'!$B$3:$B$194,0)),"")</x:f>
      </x:c>
      <x:c r="H261" s="53"/>
      <x:c r="I261" s="60"/>
      <x:c r="J261" s="60"/>
      <x:c r="K261" s="82" t="str">
        <x:f t="shared" si="18">IF(OR(B261="",I261="",I261=0),"",E261/I261)</x:f>
      </x:c>
      <x:c r="L261" s="60"/>
      <x:c r="M261" s="82" t="str">
        <x:f t="shared" si="19">IF(L261&gt;0,L261,K261)</x:f>
      </x:c>
      <x:c r="N261" s="53"/>
      <x:c r="O261" s="53"/>
      <x:c r="P261" s="53"/>
      <x:c r="Q261" s="81" t="str">
        <x:f>IFERROR(INDEX('Resource Rate Library'!$C$5:$C$85,MATCH(P261,'Resource Rate Library'!$A$5:$A$85,0)),"")</x:f>
      </x:c>
      <x:c r="R261" s="53"/>
      <x:c r="S261" s="53"/>
      <x:c r="T261" s="81" t="str">
        <x:f>IFERROR(INDEX('Resource Rate Library'!$E$5:$E$85,MATCH(P261,'Resource Rate Library'!$A$5:$A$85,0)),"")</x:f>
      </x:c>
      <x:c r="U261" s="62"/>
      <x:c r="V261" s="62"/>
      <x:c r="W261" s="83" t="n">
        <x:f>IFERROR(INDEX('Resource Rate Library'!$I$5:$I$85,MATCH(P261,'Resource Rate Library'!$A$5:$A$85,0)),0)</x:f>
        <x:v>0</x:v>
      </x:c>
      <x:c r="X261" s="52"/>
      <x:c r="Y261" s="83" t="n">
        <x:f t="shared" si="20">IF(X261&gt;0,X261,W261)</x:f>
        <x:v>0</x:v>
      </x:c>
      <x:c r="Z261" s="83" t="str">
        <x:f t="shared" si="21">IF(B261="","",IF(N261="Time x Count",M261*R261*IF(U261="",1,U261)*Y261,IF(N261="QS Qty x Factor",E261*R261*(1+IF(V261="",0,V261))*Y261,IF(N261="Direct Qty",S261*(1+IF(V261="",0,V261))*Y261,IF(N261="Lump Sum / Quote",S261*Y261,0)))))</x:f>
      </x:c>
      <x:c r="AA261" s="81" t="str">
        <x:f>IFERROR(INDEX('Resource Rate Library'!$N$5:$N$85,MATCH(P261,'Resource Rate Library'!$A$5:$A$85,0)),"")</x:f>
      </x:c>
      <x:c r="AB261" s="53"/>
      <x:c r="AC261" s="59"/>
      <x:c r="AD261" s="81" t="str">
        <x:f>IFERROR(INDEX('Resource Rate Library'!$G$5:$G$85,MATCH(P261,'Resource Rate Library'!$A$5:$A$85,0)),"")</x:f>
      </x:c>
      <x:c r="AE261" s="81" t="str">
        <x:f>IFERROR(INDEX('Resource Rate Library'!$H$5:$H$85,MATCH(P261,'Resource Rate Library'!$A$5:$A$85,0)),"")</x:f>
      </x:c>
      <x:c r="AF261" s="53"/>
      <x:c r="AG261" s="53"/>
      <x:c r="AH261" s="53"/>
      <x:c r="AI261" s="81" t="str">
        <x:f t="shared" si="23">IF(B261="","",IF(AND(P261="",N261&lt;&gt;"Lump Sum / Quote"),"RESOURCE CODE",IF(Y261=0,"RATE MISSING",IF(AND(O261="Plant",AD261="Yes",COUNTIFS($B$7:$B$306,B261,$O$7:$O$306,"Labour",$Q$7:$Q$306,"*Operator*")&gt;0),"OPERATOR DOUBLE-COUNT",IF(AND(O261="Plant",AE261="Yes",COUNTIFS($B$7:$B$306,B261,$Q$7:$Q$306,"*Fuel*")&gt;0),"FUEL DOUBLE-COUNT",IF(AH261&lt;&gt;"Yes","VERIFY","OK"))))))</x:f>
      </x:c>
      <x:c r="AJ261" s="54"/>
      <x:c r="AK261" s="473"/>
      <x:c r="AL261" s="473"/>
      <x:c r="AM261" s="473"/>
      <x:c r="AN261" s="500" t="n">
        <x:f>IF(AND(AK261="Yes",OR(O261="Labour",O261="Plant")),Z261,0)</x:f>
        <x:v>0</x:v>
      </x:c>
    </x:row>
    <x:row r="262">
      <x:c r="A262" s="80" t="str">
        <x:f>IF(B262="","",B262&amp;"-"&amp;TEXT(COUNTIF($B$7:B262,B262),"000"))</x:f>
      </x:c>
      <x:c r="B262" s="53"/>
      <x:c r="C262" s="81" t="str">
        <x:f>IFERROR(INDEX('QS Takeoff'!$A$3:$A$194,MATCH(B262,'QS Takeoff'!$B$3:$B$194,0)),"")</x:f>
      </x:c>
      <x:c r="D262" s="81" t="str">
        <x:f>IFERROR(INDEX('QS Takeoff'!$C$3:$C$194,MATCH(B262,'QS Takeoff'!$B$3:$B$194,0)),"")</x:f>
      </x:c>
      <x:c r="E262" s="81" t="str">
        <x:f>IFERROR(INDEX('QS Takeoff'!$E$3:$E$194,MATCH(B262,'QS Takeoff'!$B$3:$B$194,0)),"")</x:f>
      </x:c>
      <x:c r="F262" s="81" t="str">
        <x:f>IFERROR(INDEX('QS Takeoff'!$D$3:$D$194,MATCH(B262,'QS Takeoff'!$B$3:$B$194,0)),"")</x:f>
      </x:c>
      <x:c r="G262" s="81" t="str">
        <x:f>IFERROR(INDEX('QS Takeoff'!$J$3:$J$194,MATCH(B262,'QS Takeoff'!$B$3:$B$194,0)),"")</x:f>
      </x:c>
      <x:c r="H262" s="53"/>
      <x:c r="I262" s="60"/>
      <x:c r="J262" s="60"/>
      <x:c r="K262" s="82" t="str">
        <x:f t="shared" si="18">IF(OR(B262="",I262="",I262=0),"",E262/I262)</x:f>
      </x:c>
      <x:c r="L262" s="60"/>
      <x:c r="M262" s="82" t="str">
        <x:f t="shared" si="19">IF(L262&gt;0,L262,K262)</x:f>
      </x:c>
      <x:c r="N262" s="53"/>
      <x:c r="O262" s="53"/>
      <x:c r="P262" s="53"/>
      <x:c r="Q262" s="81" t="str">
        <x:f>IFERROR(INDEX('Resource Rate Library'!$C$5:$C$85,MATCH(P262,'Resource Rate Library'!$A$5:$A$85,0)),"")</x:f>
      </x:c>
      <x:c r="R262" s="53"/>
      <x:c r="S262" s="53"/>
      <x:c r="T262" s="81" t="str">
        <x:f>IFERROR(INDEX('Resource Rate Library'!$E$5:$E$85,MATCH(P262,'Resource Rate Library'!$A$5:$A$85,0)),"")</x:f>
      </x:c>
      <x:c r="U262" s="62"/>
      <x:c r="V262" s="62"/>
      <x:c r="W262" s="83" t="n">
        <x:f>IFERROR(INDEX('Resource Rate Library'!$I$5:$I$85,MATCH(P262,'Resource Rate Library'!$A$5:$A$85,0)),0)</x:f>
        <x:v>0</x:v>
      </x:c>
      <x:c r="X262" s="52"/>
      <x:c r="Y262" s="83" t="n">
        <x:f t="shared" si="20">IF(X262&gt;0,X262,W262)</x:f>
        <x:v>0</x:v>
      </x:c>
      <x:c r="Z262" s="83" t="str">
        <x:f t="shared" si="21">IF(B262="","",IF(N262="Time x Count",M262*R262*IF(U262="",1,U262)*Y262,IF(N262="QS Qty x Factor",E262*R262*(1+IF(V262="",0,V262))*Y262,IF(N262="Direct Qty",S262*(1+IF(V262="",0,V262))*Y262,IF(N262="Lump Sum / Quote",S262*Y262,0)))))</x:f>
      </x:c>
      <x:c r="AA262" s="81" t="str">
        <x:f>IFERROR(INDEX('Resource Rate Library'!$N$5:$N$85,MATCH(P262,'Resource Rate Library'!$A$5:$A$85,0)),"")</x:f>
      </x:c>
      <x:c r="AB262" s="53"/>
      <x:c r="AC262" s="59"/>
      <x:c r="AD262" s="81" t="str">
        <x:f>IFERROR(INDEX('Resource Rate Library'!$G$5:$G$85,MATCH(P262,'Resource Rate Library'!$A$5:$A$85,0)),"")</x:f>
      </x:c>
      <x:c r="AE262" s="81" t="str">
        <x:f>IFERROR(INDEX('Resource Rate Library'!$H$5:$H$85,MATCH(P262,'Resource Rate Library'!$A$5:$A$85,0)),"")</x:f>
      </x:c>
      <x:c r="AF262" s="53"/>
      <x:c r="AG262" s="53"/>
      <x:c r="AH262" s="53"/>
      <x:c r="AI262" s="81" t="str">
        <x:f t="shared" si="23">IF(B262="","",IF(AND(P262="",N262&lt;&gt;"Lump Sum / Quote"),"RESOURCE CODE",IF(Y262=0,"RATE MISSING",IF(AND(O262="Plant",AD262="Yes",COUNTIFS($B$7:$B$306,B262,$O$7:$O$306,"Labour",$Q$7:$Q$306,"*Operator*")&gt;0),"OPERATOR DOUBLE-COUNT",IF(AND(O262="Plant",AE262="Yes",COUNTIFS($B$7:$B$306,B262,$Q$7:$Q$306,"*Fuel*")&gt;0),"FUEL DOUBLE-COUNT",IF(AH262&lt;&gt;"Yes","VERIFY","OK"))))))</x:f>
      </x:c>
      <x:c r="AJ262" s="54"/>
      <x:c r="AK262" s="473"/>
      <x:c r="AL262" s="473"/>
      <x:c r="AM262" s="473"/>
      <x:c r="AN262" s="500" t="n">
        <x:f>IF(AND(AK262="Yes",OR(O262="Labour",O262="Plant")),Z262,0)</x:f>
        <x:v>0</x:v>
      </x:c>
    </x:row>
    <x:row r="263">
      <x:c r="A263" s="80" t="str">
        <x:f>IF(B263="","",B263&amp;"-"&amp;TEXT(COUNTIF($B$7:B263,B263),"000"))</x:f>
      </x:c>
      <x:c r="B263" s="53"/>
      <x:c r="C263" s="81" t="str">
        <x:f>IFERROR(INDEX('QS Takeoff'!$A$3:$A$194,MATCH(B263,'QS Takeoff'!$B$3:$B$194,0)),"")</x:f>
      </x:c>
      <x:c r="D263" s="81" t="str">
        <x:f>IFERROR(INDEX('QS Takeoff'!$C$3:$C$194,MATCH(B263,'QS Takeoff'!$B$3:$B$194,0)),"")</x:f>
      </x:c>
      <x:c r="E263" s="81" t="str">
        <x:f>IFERROR(INDEX('QS Takeoff'!$E$3:$E$194,MATCH(B263,'QS Takeoff'!$B$3:$B$194,0)),"")</x:f>
      </x:c>
      <x:c r="F263" s="81" t="str">
        <x:f>IFERROR(INDEX('QS Takeoff'!$D$3:$D$194,MATCH(B263,'QS Takeoff'!$B$3:$B$194,0)),"")</x:f>
      </x:c>
      <x:c r="G263" s="81" t="str">
        <x:f>IFERROR(INDEX('QS Takeoff'!$J$3:$J$194,MATCH(B263,'QS Takeoff'!$B$3:$B$194,0)),"")</x:f>
      </x:c>
      <x:c r="H263" s="53"/>
      <x:c r="I263" s="60"/>
      <x:c r="J263" s="60"/>
      <x:c r="K263" s="82" t="str">
        <x:f t="shared" ref="K263:K306" si="24">IF(OR(B263="",I263="",I263=0),"",E263/I263)</x:f>
      </x:c>
      <x:c r="L263" s="60"/>
      <x:c r="M263" s="82" t="str">
        <x:f t="shared" ref="M263:M306" si="25">IF(L263&gt;0,L263,K263)</x:f>
      </x:c>
      <x:c r="N263" s="53"/>
      <x:c r="O263" s="53"/>
      <x:c r="P263" s="53"/>
      <x:c r="Q263" s="81" t="str">
        <x:f>IFERROR(INDEX('Resource Rate Library'!$C$5:$C$85,MATCH(P263,'Resource Rate Library'!$A$5:$A$85,0)),"")</x:f>
      </x:c>
      <x:c r="R263" s="53"/>
      <x:c r="S263" s="53"/>
      <x:c r="T263" s="81" t="str">
        <x:f>IFERROR(INDEX('Resource Rate Library'!$E$5:$E$85,MATCH(P263,'Resource Rate Library'!$A$5:$A$85,0)),"")</x:f>
      </x:c>
      <x:c r="U263" s="62"/>
      <x:c r="V263" s="62"/>
      <x:c r="W263" s="83" t="n">
        <x:f>IFERROR(INDEX('Resource Rate Library'!$I$5:$I$85,MATCH(P263,'Resource Rate Library'!$A$5:$A$85,0)),0)</x:f>
        <x:v>0</x:v>
      </x:c>
      <x:c r="X263" s="52"/>
      <x:c r="Y263" s="83" t="n">
        <x:f t="shared" ref="Y263:Y306" si="26">IF(X263&gt;0,X263,W263)</x:f>
        <x:v>0</x:v>
      </x:c>
      <x:c r="Z263" s="83" t="str">
        <x:f t="shared" ref="Z263:Z306" si="27">IF(B263="","",IF(N263="Time x Count",M263*R263*IF(U263="",1,U263)*Y263,IF(N263="QS Qty x Factor",E263*R263*(1+IF(V263="",0,V263))*Y263,IF(N263="Direct Qty",S263*(1+IF(V263="",0,V263))*Y263,IF(N263="Lump Sum / Quote",S263*Y263,0)))))</x:f>
      </x:c>
      <x:c r="AA263" s="81" t="str">
        <x:f>IFERROR(INDEX('Resource Rate Library'!$N$5:$N$85,MATCH(P263,'Resource Rate Library'!$A$5:$A$85,0)),"")</x:f>
      </x:c>
      <x:c r="AB263" s="53"/>
      <x:c r="AC263" s="59"/>
      <x:c r="AD263" s="81" t="str">
        <x:f>IFERROR(INDEX('Resource Rate Library'!$G$5:$G$85,MATCH(P263,'Resource Rate Library'!$A$5:$A$85,0)),"")</x:f>
      </x:c>
      <x:c r="AE263" s="81" t="str">
        <x:f>IFERROR(INDEX('Resource Rate Library'!$H$5:$H$85,MATCH(P263,'Resource Rate Library'!$A$5:$A$85,0)),"")</x:f>
      </x:c>
      <x:c r="AF263" s="53"/>
      <x:c r="AG263" s="53"/>
      <x:c r="AH263" s="53"/>
      <x:c r="AI263" s="81" t="str">
        <x:f t="shared" si="23">IF(B263="","",IF(AND(P263="",N263&lt;&gt;"Lump Sum / Quote"),"RESOURCE CODE",IF(Y263=0,"RATE MISSING",IF(AND(O263="Plant",AD263="Yes",COUNTIFS($B$7:$B$306,B263,$O$7:$O$306,"Labour",$Q$7:$Q$306,"*Operator*")&gt;0),"OPERATOR DOUBLE-COUNT",IF(AND(O263="Plant",AE263="Yes",COUNTIFS($B$7:$B$306,B263,$Q$7:$Q$306,"*Fuel*")&gt;0),"FUEL DOUBLE-COUNT",IF(AH263&lt;&gt;"Yes","VERIFY","OK"))))))</x:f>
      </x:c>
      <x:c r="AJ263" s="54"/>
      <x:c r="AK263" s="473"/>
      <x:c r="AL263" s="473"/>
      <x:c r="AM263" s="473"/>
      <x:c r="AN263" s="500" t="n">
        <x:f>IF(AND(AK263="Yes",OR(O263="Labour",O263="Plant")),Z263,0)</x:f>
        <x:v>0</x:v>
      </x:c>
    </x:row>
    <x:row r="264">
      <x:c r="A264" s="80" t="str">
        <x:f>IF(B264="","",B264&amp;"-"&amp;TEXT(COUNTIF($B$7:B264,B264),"000"))</x:f>
      </x:c>
      <x:c r="B264" s="53"/>
      <x:c r="C264" s="81" t="str">
        <x:f>IFERROR(INDEX('QS Takeoff'!$A$3:$A$194,MATCH(B264,'QS Takeoff'!$B$3:$B$194,0)),"")</x:f>
      </x:c>
      <x:c r="D264" s="81" t="str">
        <x:f>IFERROR(INDEX('QS Takeoff'!$C$3:$C$194,MATCH(B264,'QS Takeoff'!$B$3:$B$194,0)),"")</x:f>
      </x:c>
      <x:c r="E264" s="81" t="str">
        <x:f>IFERROR(INDEX('QS Takeoff'!$E$3:$E$194,MATCH(B264,'QS Takeoff'!$B$3:$B$194,0)),"")</x:f>
      </x:c>
      <x:c r="F264" s="81" t="str">
        <x:f>IFERROR(INDEX('QS Takeoff'!$D$3:$D$194,MATCH(B264,'QS Takeoff'!$B$3:$B$194,0)),"")</x:f>
      </x:c>
      <x:c r="G264" s="81" t="str">
        <x:f>IFERROR(INDEX('QS Takeoff'!$J$3:$J$194,MATCH(B264,'QS Takeoff'!$B$3:$B$194,0)),"")</x:f>
      </x:c>
      <x:c r="H264" s="53"/>
      <x:c r="I264" s="60"/>
      <x:c r="J264" s="60"/>
      <x:c r="K264" s="82" t="str">
        <x:f t="shared" si="24">IF(OR(B264="",I264="",I264=0),"",E264/I264)</x:f>
      </x:c>
      <x:c r="L264" s="60"/>
      <x:c r="M264" s="82" t="str">
        <x:f t="shared" si="25">IF(L264&gt;0,L264,K264)</x:f>
      </x:c>
      <x:c r="N264" s="53"/>
      <x:c r="O264" s="53"/>
      <x:c r="P264" s="53"/>
      <x:c r="Q264" s="81" t="str">
        <x:f>IFERROR(INDEX('Resource Rate Library'!$C$5:$C$85,MATCH(P264,'Resource Rate Library'!$A$5:$A$85,0)),"")</x:f>
      </x:c>
      <x:c r="R264" s="53"/>
      <x:c r="S264" s="53"/>
      <x:c r="T264" s="81" t="str">
        <x:f>IFERROR(INDEX('Resource Rate Library'!$E$5:$E$85,MATCH(P264,'Resource Rate Library'!$A$5:$A$85,0)),"")</x:f>
      </x:c>
      <x:c r="U264" s="62"/>
      <x:c r="V264" s="62"/>
      <x:c r="W264" s="83" t="n">
        <x:f>IFERROR(INDEX('Resource Rate Library'!$I$5:$I$85,MATCH(P264,'Resource Rate Library'!$A$5:$A$85,0)),0)</x:f>
        <x:v>0</x:v>
      </x:c>
      <x:c r="X264" s="52"/>
      <x:c r="Y264" s="83" t="n">
        <x:f t="shared" si="26">IF(X264&gt;0,X264,W264)</x:f>
        <x:v>0</x:v>
      </x:c>
      <x:c r="Z264" s="83" t="str">
        <x:f t="shared" si="27">IF(B264="","",IF(N264="Time x Count",M264*R264*IF(U264="",1,U264)*Y264,IF(N264="QS Qty x Factor",E264*R264*(1+IF(V264="",0,V264))*Y264,IF(N264="Direct Qty",S264*(1+IF(V264="",0,V264))*Y264,IF(N264="Lump Sum / Quote",S264*Y264,0)))))</x:f>
      </x:c>
      <x:c r="AA264" s="81" t="str">
        <x:f>IFERROR(INDEX('Resource Rate Library'!$N$5:$N$85,MATCH(P264,'Resource Rate Library'!$A$5:$A$85,0)),"")</x:f>
      </x:c>
      <x:c r="AB264" s="53"/>
      <x:c r="AC264" s="59"/>
      <x:c r="AD264" s="81" t="str">
        <x:f>IFERROR(INDEX('Resource Rate Library'!$G$5:$G$85,MATCH(P264,'Resource Rate Library'!$A$5:$A$85,0)),"")</x:f>
      </x:c>
      <x:c r="AE264" s="81" t="str">
        <x:f>IFERROR(INDEX('Resource Rate Library'!$H$5:$H$85,MATCH(P264,'Resource Rate Library'!$A$5:$A$85,0)),"")</x:f>
      </x:c>
      <x:c r="AF264" s="53"/>
      <x:c r="AG264" s="53"/>
      <x:c r="AH264" s="53"/>
      <x:c r="AI264" s="81" t="str">
        <x:f t="shared" si="23">IF(B264="","",IF(AND(P264="",N264&lt;&gt;"Lump Sum / Quote"),"RESOURCE CODE",IF(Y264=0,"RATE MISSING",IF(AND(O264="Plant",AD264="Yes",COUNTIFS($B$7:$B$306,B264,$O$7:$O$306,"Labour",$Q$7:$Q$306,"*Operator*")&gt;0),"OPERATOR DOUBLE-COUNT",IF(AND(O264="Plant",AE264="Yes",COUNTIFS($B$7:$B$306,B264,$Q$7:$Q$306,"*Fuel*")&gt;0),"FUEL DOUBLE-COUNT",IF(AH264&lt;&gt;"Yes","VERIFY","OK"))))))</x:f>
      </x:c>
      <x:c r="AJ264" s="54"/>
      <x:c r="AK264" s="473"/>
      <x:c r="AL264" s="473"/>
      <x:c r="AM264" s="473"/>
      <x:c r="AN264" s="500" t="n">
        <x:f>IF(AND(AK264="Yes",OR(O264="Labour",O264="Plant")),Z264,0)</x:f>
        <x:v>0</x:v>
      </x:c>
    </x:row>
    <x:row r="265">
      <x:c r="A265" s="80" t="str">
        <x:f>IF(B265="","",B265&amp;"-"&amp;TEXT(COUNTIF($B$7:B265,B265),"000"))</x:f>
      </x:c>
      <x:c r="B265" s="53"/>
      <x:c r="C265" s="81" t="str">
        <x:f>IFERROR(INDEX('QS Takeoff'!$A$3:$A$194,MATCH(B265,'QS Takeoff'!$B$3:$B$194,0)),"")</x:f>
      </x:c>
      <x:c r="D265" s="81" t="str">
        <x:f>IFERROR(INDEX('QS Takeoff'!$C$3:$C$194,MATCH(B265,'QS Takeoff'!$B$3:$B$194,0)),"")</x:f>
      </x:c>
      <x:c r="E265" s="81" t="str">
        <x:f>IFERROR(INDEX('QS Takeoff'!$E$3:$E$194,MATCH(B265,'QS Takeoff'!$B$3:$B$194,0)),"")</x:f>
      </x:c>
      <x:c r="F265" s="81" t="str">
        <x:f>IFERROR(INDEX('QS Takeoff'!$D$3:$D$194,MATCH(B265,'QS Takeoff'!$B$3:$B$194,0)),"")</x:f>
      </x:c>
      <x:c r="G265" s="81" t="str">
        <x:f>IFERROR(INDEX('QS Takeoff'!$J$3:$J$194,MATCH(B265,'QS Takeoff'!$B$3:$B$194,0)),"")</x:f>
      </x:c>
      <x:c r="H265" s="53"/>
      <x:c r="I265" s="60"/>
      <x:c r="J265" s="60"/>
      <x:c r="K265" s="82" t="str">
        <x:f t="shared" si="24">IF(OR(B265="",I265="",I265=0),"",E265/I265)</x:f>
      </x:c>
      <x:c r="L265" s="60"/>
      <x:c r="M265" s="82" t="str">
        <x:f t="shared" si="25">IF(L265&gt;0,L265,K265)</x:f>
      </x:c>
      <x:c r="N265" s="53"/>
      <x:c r="O265" s="53"/>
      <x:c r="P265" s="53"/>
      <x:c r="Q265" s="81" t="str">
        <x:f>IFERROR(INDEX('Resource Rate Library'!$C$5:$C$85,MATCH(P265,'Resource Rate Library'!$A$5:$A$85,0)),"")</x:f>
      </x:c>
      <x:c r="R265" s="53"/>
      <x:c r="S265" s="53"/>
      <x:c r="T265" s="81" t="str">
        <x:f>IFERROR(INDEX('Resource Rate Library'!$E$5:$E$85,MATCH(P265,'Resource Rate Library'!$A$5:$A$85,0)),"")</x:f>
      </x:c>
      <x:c r="U265" s="62"/>
      <x:c r="V265" s="62"/>
      <x:c r="W265" s="83" t="n">
        <x:f>IFERROR(INDEX('Resource Rate Library'!$I$5:$I$85,MATCH(P265,'Resource Rate Library'!$A$5:$A$85,0)),0)</x:f>
        <x:v>0</x:v>
      </x:c>
      <x:c r="X265" s="52"/>
      <x:c r="Y265" s="83" t="n">
        <x:f t="shared" si="26">IF(X265&gt;0,X265,W265)</x:f>
        <x:v>0</x:v>
      </x:c>
      <x:c r="Z265" s="83" t="str">
        <x:f t="shared" si="27">IF(B265="","",IF(N265="Time x Count",M265*R265*IF(U265="",1,U265)*Y265,IF(N265="QS Qty x Factor",E265*R265*(1+IF(V265="",0,V265))*Y265,IF(N265="Direct Qty",S265*(1+IF(V265="",0,V265))*Y265,IF(N265="Lump Sum / Quote",S265*Y265,0)))))</x:f>
      </x:c>
      <x:c r="AA265" s="81" t="str">
        <x:f>IFERROR(INDEX('Resource Rate Library'!$N$5:$N$85,MATCH(P265,'Resource Rate Library'!$A$5:$A$85,0)),"")</x:f>
      </x:c>
      <x:c r="AB265" s="53"/>
      <x:c r="AC265" s="59"/>
      <x:c r="AD265" s="81" t="str">
        <x:f>IFERROR(INDEX('Resource Rate Library'!$G$5:$G$85,MATCH(P265,'Resource Rate Library'!$A$5:$A$85,0)),"")</x:f>
      </x:c>
      <x:c r="AE265" s="81" t="str">
        <x:f>IFERROR(INDEX('Resource Rate Library'!$H$5:$H$85,MATCH(P265,'Resource Rate Library'!$A$5:$A$85,0)),"")</x:f>
      </x:c>
      <x:c r="AF265" s="53"/>
      <x:c r="AG265" s="53"/>
      <x:c r="AH265" s="53"/>
      <x:c r="AI265" s="81" t="str">
        <x:f t="shared" si="23">IF(B265="","",IF(AND(P265="",N265&lt;&gt;"Lump Sum / Quote"),"RESOURCE CODE",IF(Y265=0,"RATE MISSING",IF(AND(O265="Plant",AD265="Yes",COUNTIFS($B$7:$B$306,B265,$O$7:$O$306,"Labour",$Q$7:$Q$306,"*Operator*")&gt;0),"OPERATOR DOUBLE-COUNT",IF(AND(O265="Plant",AE265="Yes",COUNTIFS($B$7:$B$306,B265,$Q$7:$Q$306,"*Fuel*")&gt;0),"FUEL DOUBLE-COUNT",IF(AH265&lt;&gt;"Yes","VERIFY","OK"))))))</x:f>
      </x:c>
      <x:c r="AJ265" s="54"/>
      <x:c r="AK265" s="473"/>
      <x:c r="AL265" s="473"/>
      <x:c r="AM265" s="473"/>
      <x:c r="AN265" s="500" t="n">
        <x:f>IF(AND(AK265="Yes",OR(O265="Labour",O265="Plant")),Z265,0)</x:f>
        <x:v>0</x:v>
      </x:c>
    </x:row>
    <x:row r="266">
      <x:c r="A266" s="80" t="str">
        <x:f>IF(B266="","",B266&amp;"-"&amp;TEXT(COUNTIF($B$7:B266,B266),"000"))</x:f>
      </x:c>
      <x:c r="B266" s="53"/>
      <x:c r="C266" s="81" t="str">
        <x:f>IFERROR(INDEX('QS Takeoff'!$A$3:$A$194,MATCH(B266,'QS Takeoff'!$B$3:$B$194,0)),"")</x:f>
      </x:c>
      <x:c r="D266" s="81" t="str">
        <x:f>IFERROR(INDEX('QS Takeoff'!$C$3:$C$194,MATCH(B266,'QS Takeoff'!$B$3:$B$194,0)),"")</x:f>
      </x:c>
      <x:c r="E266" s="81" t="str">
        <x:f>IFERROR(INDEX('QS Takeoff'!$E$3:$E$194,MATCH(B266,'QS Takeoff'!$B$3:$B$194,0)),"")</x:f>
      </x:c>
      <x:c r="F266" s="81" t="str">
        <x:f>IFERROR(INDEX('QS Takeoff'!$D$3:$D$194,MATCH(B266,'QS Takeoff'!$B$3:$B$194,0)),"")</x:f>
      </x:c>
      <x:c r="G266" s="81" t="str">
        <x:f>IFERROR(INDEX('QS Takeoff'!$J$3:$J$194,MATCH(B266,'QS Takeoff'!$B$3:$B$194,0)),"")</x:f>
      </x:c>
      <x:c r="H266" s="53"/>
      <x:c r="I266" s="60"/>
      <x:c r="J266" s="60"/>
      <x:c r="K266" s="82" t="str">
        <x:f t="shared" si="24">IF(OR(B266="",I266="",I266=0),"",E266/I266)</x:f>
      </x:c>
      <x:c r="L266" s="60"/>
      <x:c r="M266" s="82" t="str">
        <x:f t="shared" si="25">IF(L266&gt;0,L266,K266)</x:f>
      </x:c>
      <x:c r="N266" s="53"/>
      <x:c r="O266" s="53"/>
      <x:c r="P266" s="53"/>
      <x:c r="Q266" s="81" t="str">
        <x:f>IFERROR(INDEX('Resource Rate Library'!$C$5:$C$85,MATCH(P266,'Resource Rate Library'!$A$5:$A$85,0)),"")</x:f>
      </x:c>
      <x:c r="R266" s="53"/>
      <x:c r="S266" s="53"/>
      <x:c r="T266" s="81" t="str">
        <x:f>IFERROR(INDEX('Resource Rate Library'!$E$5:$E$85,MATCH(P266,'Resource Rate Library'!$A$5:$A$85,0)),"")</x:f>
      </x:c>
      <x:c r="U266" s="62"/>
      <x:c r="V266" s="62"/>
      <x:c r="W266" s="83" t="n">
        <x:f>IFERROR(INDEX('Resource Rate Library'!$I$5:$I$85,MATCH(P266,'Resource Rate Library'!$A$5:$A$85,0)),0)</x:f>
        <x:v>0</x:v>
      </x:c>
      <x:c r="X266" s="52"/>
      <x:c r="Y266" s="83" t="n">
        <x:f t="shared" si="26">IF(X266&gt;0,X266,W266)</x:f>
        <x:v>0</x:v>
      </x:c>
      <x:c r="Z266" s="83" t="str">
        <x:f t="shared" si="27">IF(B266="","",IF(N266="Time x Count",M266*R266*IF(U266="",1,U266)*Y266,IF(N266="QS Qty x Factor",E266*R266*(1+IF(V266="",0,V266))*Y266,IF(N266="Direct Qty",S266*(1+IF(V266="",0,V266))*Y266,IF(N266="Lump Sum / Quote",S266*Y266,0)))))</x:f>
      </x:c>
      <x:c r="AA266" s="81" t="str">
        <x:f>IFERROR(INDEX('Resource Rate Library'!$N$5:$N$85,MATCH(P266,'Resource Rate Library'!$A$5:$A$85,0)),"")</x:f>
      </x:c>
      <x:c r="AB266" s="53"/>
      <x:c r="AC266" s="59"/>
      <x:c r="AD266" s="81" t="str">
        <x:f>IFERROR(INDEX('Resource Rate Library'!$G$5:$G$85,MATCH(P266,'Resource Rate Library'!$A$5:$A$85,0)),"")</x:f>
      </x:c>
      <x:c r="AE266" s="81" t="str">
        <x:f>IFERROR(INDEX('Resource Rate Library'!$H$5:$H$85,MATCH(P266,'Resource Rate Library'!$A$5:$A$85,0)),"")</x:f>
      </x:c>
      <x:c r="AF266" s="53"/>
      <x:c r="AG266" s="53"/>
      <x:c r="AH266" s="53"/>
      <x:c r="AI266" s="81" t="str">
        <x:f t="shared" si="23">IF(B266="","",IF(AND(P266="",N266&lt;&gt;"Lump Sum / Quote"),"RESOURCE CODE",IF(Y266=0,"RATE MISSING",IF(AND(O266="Plant",AD266="Yes",COUNTIFS($B$7:$B$306,B266,$O$7:$O$306,"Labour",$Q$7:$Q$306,"*Operator*")&gt;0),"OPERATOR DOUBLE-COUNT",IF(AND(O266="Plant",AE266="Yes",COUNTIFS($B$7:$B$306,B266,$Q$7:$Q$306,"*Fuel*")&gt;0),"FUEL DOUBLE-COUNT",IF(AH266&lt;&gt;"Yes","VERIFY","OK"))))))</x:f>
      </x:c>
      <x:c r="AJ266" s="54"/>
      <x:c r="AK266" s="473"/>
      <x:c r="AL266" s="473"/>
      <x:c r="AM266" s="473"/>
      <x:c r="AN266" s="500" t="n">
        <x:f>IF(AND(AK266="Yes",OR(O266="Labour",O266="Plant")),Z266,0)</x:f>
        <x:v>0</x:v>
      </x:c>
    </x:row>
    <x:row r="267">
      <x:c r="A267" s="80" t="str">
        <x:f>IF(B267="","",B267&amp;"-"&amp;TEXT(COUNTIF($B$7:B267,B267),"000"))</x:f>
      </x:c>
      <x:c r="B267" s="53"/>
      <x:c r="C267" s="81" t="str">
        <x:f>IFERROR(INDEX('QS Takeoff'!$A$3:$A$194,MATCH(B267,'QS Takeoff'!$B$3:$B$194,0)),"")</x:f>
      </x:c>
      <x:c r="D267" s="81" t="str">
        <x:f>IFERROR(INDEX('QS Takeoff'!$C$3:$C$194,MATCH(B267,'QS Takeoff'!$B$3:$B$194,0)),"")</x:f>
      </x:c>
      <x:c r="E267" s="81" t="str">
        <x:f>IFERROR(INDEX('QS Takeoff'!$E$3:$E$194,MATCH(B267,'QS Takeoff'!$B$3:$B$194,0)),"")</x:f>
      </x:c>
      <x:c r="F267" s="81" t="str">
        <x:f>IFERROR(INDEX('QS Takeoff'!$D$3:$D$194,MATCH(B267,'QS Takeoff'!$B$3:$B$194,0)),"")</x:f>
      </x:c>
      <x:c r="G267" s="81" t="str">
        <x:f>IFERROR(INDEX('QS Takeoff'!$J$3:$J$194,MATCH(B267,'QS Takeoff'!$B$3:$B$194,0)),"")</x:f>
      </x:c>
      <x:c r="H267" s="53"/>
      <x:c r="I267" s="60"/>
      <x:c r="J267" s="60"/>
      <x:c r="K267" s="82" t="str">
        <x:f t="shared" si="24">IF(OR(B267="",I267="",I267=0),"",E267/I267)</x:f>
      </x:c>
      <x:c r="L267" s="60"/>
      <x:c r="M267" s="82" t="str">
        <x:f t="shared" si="25">IF(L267&gt;0,L267,K267)</x:f>
      </x:c>
      <x:c r="N267" s="53"/>
      <x:c r="O267" s="53"/>
      <x:c r="P267" s="53"/>
      <x:c r="Q267" s="81" t="str">
        <x:f>IFERROR(INDEX('Resource Rate Library'!$C$5:$C$85,MATCH(P267,'Resource Rate Library'!$A$5:$A$85,0)),"")</x:f>
      </x:c>
      <x:c r="R267" s="53"/>
      <x:c r="S267" s="53"/>
      <x:c r="T267" s="81" t="str">
        <x:f>IFERROR(INDEX('Resource Rate Library'!$E$5:$E$85,MATCH(P267,'Resource Rate Library'!$A$5:$A$85,0)),"")</x:f>
      </x:c>
      <x:c r="U267" s="62"/>
      <x:c r="V267" s="62"/>
      <x:c r="W267" s="83" t="n">
        <x:f>IFERROR(INDEX('Resource Rate Library'!$I$5:$I$85,MATCH(P267,'Resource Rate Library'!$A$5:$A$85,0)),0)</x:f>
        <x:v>0</x:v>
      </x:c>
      <x:c r="X267" s="52"/>
      <x:c r="Y267" s="83" t="n">
        <x:f t="shared" si="26">IF(X267&gt;0,X267,W267)</x:f>
        <x:v>0</x:v>
      </x:c>
      <x:c r="Z267" s="83" t="str">
        <x:f t="shared" si="27">IF(B267="","",IF(N267="Time x Count",M267*R267*IF(U267="",1,U267)*Y267,IF(N267="QS Qty x Factor",E267*R267*(1+IF(V267="",0,V267))*Y267,IF(N267="Direct Qty",S267*(1+IF(V267="",0,V267))*Y267,IF(N267="Lump Sum / Quote",S267*Y267,0)))))</x:f>
      </x:c>
      <x:c r="AA267" s="81" t="str">
        <x:f>IFERROR(INDEX('Resource Rate Library'!$N$5:$N$85,MATCH(P267,'Resource Rate Library'!$A$5:$A$85,0)),"")</x:f>
      </x:c>
      <x:c r="AB267" s="53"/>
      <x:c r="AC267" s="59"/>
      <x:c r="AD267" s="81" t="str">
        <x:f>IFERROR(INDEX('Resource Rate Library'!$G$5:$G$85,MATCH(P267,'Resource Rate Library'!$A$5:$A$85,0)),"")</x:f>
      </x:c>
      <x:c r="AE267" s="81" t="str">
        <x:f>IFERROR(INDEX('Resource Rate Library'!$H$5:$H$85,MATCH(P267,'Resource Rate Library'!$A$5:$A$85,0)),"")</x:f>
      </x:c>
      <x:c r="AF267" s="53"/>
      <x:c r="AG267" s="53"/>
      <x:c r="AH267" s="53"/>
      <x:c r="AI267" s="81" t="str">
        <x:f t="shared" si="23">IF(B267="","",IF(AND(P267="",N267&lt;&gt;"Lump Sum / Quote"),"RESOURCE CODE",IF(Y267=0,"RATE MISSING",IF(AND(O267="Plant",AD267="Yes",COUNTIFS($B$7:$B$306,B267,$O$7:$O$306,"Labour",$Q$7:$Q$306,"*Operator*")&gt;0),"OPERATOR DOUBLE-COUNT",IF(AND(O267="Plant",AE267="Yes",COUNTIFS($B$7:$B$306,B267,$Q$7:$Q$306,"*Fuel*")&gt;0),"FUEL DOUBLE-COUNT",IF(AH267&lt;&gt;"Yes","VERIFY","OK"))))))</x:f>
      </x:c>
      <x:c r="AJ267" s="54"/>
      <x:c r="AK267" s="473"/>
      <x:c r="AL267" s="473"/>
      <x:c r="AM267" s="473"/>
      <x:c r="AN267" s="500" t="n">
        <x:f>IF(AND(AK267="Yes",OR(O267="Labour",O267="Plant")),Z267,0)</x:f>
        <x:v>0</x:v>
      </x:c>
    </x:row>
    <x:row r="268">
      <x:c r="A268" s="80" t="str">
        <x:f>IF(B268="","",B268&amp;"-"&amp;TEXT(COUNTIF($B$7:B268,B268),"000"))</x:f>
      </x:c>
      <x:c r="B268" s="53"/>
      <x:c r="C268" s="81" t="str">
        <x:f>IFERROR(INDEX('QS Takeoff'!$A$3:$A$194,MATCH(B268,'QS Takeoff'!$B$3:$B$194,0)),"")</x:f>
      </x:c>
      <x:c r="D268" s="81" t="str">
        <x:f>IFERROR(INDEX('QS Takeoff'!$C$3:$C$194,MATCH(B268,'QS Takeoff'!$B$3:$B$194,0)),"")</x:f>
      </x:c>
      <x:c r="E268" s="81" t="str">
        <x:f>IFERROR(INDEX('QS Takeoff'!$E$3:$E$194,MATCH(B268,'QS Takeoff'!$B$3:$B$194,0)),"")</x:f>
      </x:c>
      <x:c r="F268" s="81" t="str">
        <x:f>IFERROR(INDEX('QS Takeoff'!$D$3:$D$194,MATCH(B268,'QS Takeoff'!$B$3:$B$194,0)),"")</x:f>
      </x:c>
      <x:c r="G268" s="81" t="str">
        <x:f>IFERROR(INDEX('QS Takeoff'!$J$3:$J$194,MATCH(B268,'QS Takeoff'!$B$3:$B$194,0)),"")</x:f>
      </x:c>
      <x:c r="H268" s="53"/>
      <x:c r="I268" s="60"/>
      <x:c r="J268" s="60"/>
      <x:c r="K268" s="82" t="str">
        <x:f t="shared" si="24">IF(OR(B268="",I268="",I268=0),"",E268/I268)</x:f>
      </x:c>
      <x:c r="L268" s="60"/>
      <x:c r="M268" s="82" t="str">
        <x:f t="shared" si="25">IF(L268&gt;0,L268,K268)</x:f>
      </x:c>
      <x:c r="N268" s="53"/>
      <x:c r="O268" s="53"/>
      <x:c r="P268" s="53"/>
      <x:c r="Q268" s="81" t="str">
        <x:f>IFERROR(INDEX('Resource Rate Library'!$C$5:$C$85,MATCH(P268,'Resource Rate Library'!$A$5:$A$85,0)),"")</x:f>
      </x:c>
      <x:c r="R268" s="53"/>
      <x:c r="S268" s="53"/>
      <x:c r="T268" s="81" t="str">
        <x:f>IFERROR(INDEX('Resource Rate Library'!$E$5:$E$85,MATCH(P268,'Resource Rate Library'!$A$5:$A$85,0)),"")</x:f>
      </x:c>
      <x:c r="U268" s="62"/>
      <x:c r="V268" s="62"/>
      <x:c r="W268" s="83" t="n">
        <x:f>IFERROR(INDEX('Resource Rate Library'!$I$5:$I$85,MATCH(P268,'Resource Rate Library'!$A$5:$A$85,0)),0)</x:f>
        <x:v>0</x:v>
      </x:c>
      <x:c r="X268" s="52"/>
      <x:c r="Y268" s="83" t="n">
        <x:f t="shared" si="26">IF(X268&gt;0,X268,W268)</x:f>
        <x:v>0</x:v>
      </x:c>
      <x:c r="Z268" s="83" t="str">
        <x:f t="shared" si="27">IF(B268="","",IF(N268="Time x Count",M268*R268*IF(U268="",1,U268)*Y268,IF(N268="QS Qty x Factor",E268*R268*(1+IF(V268="",0,V268))*Y268,IF(N268="Direct Qty",S268*(1+IF(V268="",0,V268))*Y268,IF(N268="Lump Sum / Quote",S268*Y268,0)))))</x:f>
      </x:c>
      <x:c r="AA268" s="81" t="str">
        <x:f>IFERROR(INDEX('Resource Rate Library'!$N$5:$N$85,MATCH(P268,'Resource Rate Library'!$A$5:$A$85,0)),"")</x:f>
      </x:c>
      <x:c r="AB268" s="53"/>
      <x:c r="AC268" s="59"/>
      <x:c r="AD268" s="81" t="str">
        <x:f>IFERROR(INDEX('Resource Rate Library'!$G$5:$G$85,MATCH(P268,'Resource Rate Library'!$A$5:$A$85,0)),"")</x:f>
      </x:c>
      <x:c r="AE268" s="81" t="str">
        <x:f>IFERROR(INDEX('Resource Rate Library'!$H$5:$H$85,MATCH(P268,'Resource Rate Library'!$A$5:$A$85,0)),"")</x:f>
      </x:c>
      <x:c r="AF268" s="53"/>
      <x:c r="AG268" s="53"/>
      <x:c r="AH268" s="53"/>
      <x:c r="AI268" s="81" t="str">
        <x:f t="shared" si="23">IF(B268="","",IF(AND(P268="",N268&lt;&gt;"Lump Sum / Quote"),"RESOURCE CODE",IF(Y268=0,"RATE MISSING",IF(AND(O268="Plant",AD268="Yes",COUNTIFS($B$7:$B$306,B268,$O$7:$O$306,"Labour",$Q$7:$Q$306,"*Operator*")&gt;0),"OPERATOR DOUBLE-COUNT",IF(AND(O268="Plant",AE268="Yes",COUNTIFS($B$7:$B$306,B268,$Q$7:$Q$306,"*Fuel*")&gt;0),"FUEL DOUBLE-COUNT",IF(AH268&lt;&gt;"Yes","VERIFY","OK"))))))</x:f>
      </x:c>
      <x:c r="AJ268" s="54"/>
      <x:c r="AK268" s="473"/>
      <x:c r="AL268" s="473"/>
      <x:c r="AM268" s="473"/>
      <x:c r="AN268" s="500" t="n">
        <x:f>IF(AND(AK268="Yes",OR(O268="Labour",O268="Plant")),Z268,0)</x:f>
        <x:v>0</x:v>
      </x:c>
    </x:row>
    <x:row r="269">
      <x:c r="A269" s="80" t="str">
        <x:f>IF(B269="","",B269&amp;"-"&amp;TEXT(COUNTIF($B$7:B269,B269),"000"))</x:f>
      </x:c>
      <x:c r="B269" s="53"/>
      <x:c r="C269" s="81" t="str">
        <x:f>IFERROR(INDEX('QS Takeoff'!$A$3:$A$194,MATCH(B269,'QS Takeoff'!$B$3:$B$194,0)),"")</x:f>
      </x:c>
      <x:c r="D269" s="81" t="str">
        <x:f>IFERROR(INDEX('QS Takeoff'!$C$3:$C$194,MATCH(B269,'QS Takeoff'!$B$3:$B$194,0)),"")</x:f>
      </x:c>
      <x:c r="E269" s="81" t="str">
        <x:f>IFERROR(INDEX('QS Takeoff'!$E$3:$E$194,MATCH(B269,'QS Takeoff'!$B$3:$B$194,0)),"")</x:f>
      </x:c>
      <x:c r="F269" s="81" t="str">
        <x:f>IFERROR(INDEX('QS Takeoff'!$D$3:$D$194,MATCH(B269,'QS Takeoff'!$B$3:$B$194,0)),"")</x:f>
      </x:c>
      <x:c r="G269" s="81" t="str">
        <x:f>IFERROR(INDEX('QS Takeoff'!$J$3:$J$194,MATCH(B269,'QS Takeoff'!$B$3:$B$194,0)),"")</x:f>
      </x:c>
      <x:c r="H269" s="53"/>
      <x:c r="I269" s="60"/>
      <x:c r="J269" s="60"/>
      <x:c r="K269" s="82" t="str">
        <x:f t="shared" si="24">IF(OR(B269="",I269="",I269=0),"",E269/I269)</x:f>
      </x:c>
      <x:c r="L269" s="60"/>
      <x:c r="M269" s="82" t="str">
        <x:f t="shared" si="25">IF(L269&gt;0,L269,K269)</x:f>
      </x:c>
      <x:c r="N269" s="53"/>
      <x:c r="O269" s="53"/>
      <x:c r="P269" s="53"/>
      <x:c r="Q269" s="81" t="str">
        <x:f>IFERROR(INDEX('Resource Rate Library'!$C$5:$C$85,MATCH(P269,'Resource Rate Library'!$A$5:$A$85,0)),"")</x:f>
      </x:c>
      <x:c r="R269" s="53"/>
      <x:c r="S269" s="53"/>
      <x:c r="T269" s="81" t="str">
        <x:f>IFERROR(INDEX('Resource Rate Library'!$E$5:$E$85,MATCH(P269,'Resource Rate Library'!$A$5:$A$85,0)),"")</x:f>
      </x:c>
      <x:c r="U269" s="62"/>
      <x:c r="V269" s="62"/>
      <x:c r="W269" s="83" t="n">
        <x:f>IFERROR(INDEX('Resource Rate Library'!$I$5:$I$85,MATCH(P269,'Resource Rate Library'!$A$5:$A$85,0)),0)</x:f>
        <x:v>0</x:v>
      </x:c>
      <x:c r="X269" s="52"/>
      <x:c r="Y269" s="83" t="n">
        <x:f t="shared" si="26">IF(X269&gt;0,X269,W269)</x:f>
        <x:v>0</x:v>
      </x:c>
      <x:c r="Z269" s="83" t="str">
        <x:f t="shared" si="27">IF(B269="","",IF(N269="Time x Count",M269*R269*IF(U269="",1,U269)*Y269,IF(N269="QS Qty x Factor",E269*R269*(1+IF(V269="",0,V269))*Y269,IF(N269="Direct Qty",S269*(1+IF(V269="",0,V269))*Y269,IF(N269="Lump Sum / Quote",S269*Y269,0)))))</x:f>
      </x:c>
      <x:c r="AA269" s="81" t="str">
        <x:f>IFERROR(INDEX('Resource Rate Library'!$N$5:$N$85,MATCH(P269,'Resource Rate Library'!$A$5:$A$85,0)),"")</x:f>
      </x:c>
      <x:c r="AB269" s="53"/>
      <x:c r="AC269" s="59"/>
      <x:c r="AD269" s="81" t="str">
        <x:f>IFERROR(INDEX('Resource Rate Library'!$G$5:$G$85,MATCH(P269,'Resource Rate Library'!$A$5:$A$85,0)),"")</x:f>
      </x:c>
      <x:c r="AE269" s="81" t="str">
        <x:f>IFERROR(INDEX('Resource Rate Library'!$H$5:$H$85,MATCH(P269,'Resource Rate Library'!$A$5:$A$85,0)),"")</x:f>
      </x:c>
      <x:c r="AF269" s="53"/>
      <x:c r="AG269" s="53"/>
      <x:c r="AH269" s="53"/>
      <x:c r="AI269" s="81" t="str">
        <x:f t="shared" si="23">IF(B269="","",IF(AND(P269="",N269&lt;&gt;"Lump Sum / Quote"),"RESOURCE CODE",IF(Y269=0,"RATE MISSING",IF(AND(O269="Plant",AD269="Yes",COUNTIFS($B$7:$B$306,B269,$O$7:$O$306,"Labour",$Q$7:$Q$306,"*Operator*")&gt;0),"OPERATOR DOUBLE-COUNT",IF(AND(O269="Plant",AE269="Yes",COUNTIFS($B$7:$B$306,B269,$Q$7:$Q$306,"*Fuel*")&gt;0),"FUEL DOUBLE-COUNT",IF(AH269&lt;&gt;"Yes","VERIFY","OK"))))))</x:f>
      </x:c>
      <x:c r="AJ269" s="54"/>
      <x:c r="AK269" s="473"/>
      <x:c r="AL269" s="473"/>
      <x:c r="AM269" s="473"/>
      <x:c r="AN269" s="500" t="n">
        <x:f>IF(AND(AK269="Yes",OR(O269="Labour",O269="Plant")),Z269,0)</x:f>
        <x:v>0</x:v>
      </x:c>
    </x:row>
    <x:row r="270">
      <x:c r="A270" s="80" t="str">
        <x:f>IF(B270="","",B270&amp;"-"&amp;TEXT(COUNTIF($B$7:B270,B270),"000"))</x:f>
      </x:c>
      <x:c r="B270" s="53"/>
      <x:c r="C270" s="81" t="str">
        <x:f>IFERROR(INDEX('QS Takeoff'!$A$3:$A$194,MATCH(B270,'QS Takeoff'!$B$3:$B$194,0)),"")</x:f>
      </x:c>
      <x:c r="D270" s="81" t="str">
        <x:f>IFERROR(INDEX('QS Takeoff'!$C$3:$C$194,MATCH(B270,'QS Takeoff'!$B$3:$B$194,0)),"")</x:f>
      </x:c>
      <x:c r="E270" s="81" t="str">
        <x:f>IFERROR(INDEX('QS Takeoff'!$E$3:$E$194,MATCH(B270,'QS Takeoff'!$B$3:$B$194,0)),"")</x:f>
      </x:c>
      <x:c r="F270" s="81" t="str">
        <x:f>IFERROR(INDEX('QS Takeoff'!$D$3:$D$194,MATCH(B270,'QS Takeoff'!$B$3:$B$194,0)),"")</x:f>
      </x:c>
      <x:c r="G270" s="81" t="str">
        <x:f>IFERROR(INDEX('QS Takeoff'!$J$3:$J$194,MATCH(B270,'QS Takeoff'!$B$3:$B$194,0)),"")</x:f>
      </x:c>
      <x:c r="H270" s="53"/>
      <x:c r="I270" s="60"/>
      <x:c r="J270" s="60"/>
      <x:c r="K270" s="82" t="str">
        <x:f t="shared" si="24">IF(OR(B270="",I270="",I270=0),"",E270/I270)</x:f>
      </x:c>
      <x:c r="L270" s="60"/>
      <x:c r="M270" s="82" t="str">
        <x:f t="shared" si="25">IF(L270&gt;0,L270,K270)</x:f>
      </x:c>
      <x:c r="N270" s="53"/>
      <x:c r="O270" s="53"/>
      <x:c r="P270" s="53"/>
      <x:c r="Q270" s="81" t="str">
        <x:f>IFERROR(INDEX('Resource Rate Library'!$C$5:$C$85,MATCH(P270,'Resource Rate Library'!$A$5:$A$85,0)),"")</x:f>
      </x:c>
      <x:c r="R270" s="53"/>
      <x:c r="S270" s="53"/>
      <x:c r="T270" s="81" t="str">
        <x:f>IFERROR(INDEX('Resource Rate Library'!$E$5:$E$85,MATCH(P270,'Resource Rate Library'!$A$5:$A$85,0)),"")</x:f>
      </x:c>
      <x:c r="U270" s="62"/>
      <x:c r="V270" s="62"/>
      <x:c r="W270" s="83" t="n">
        <x:f>IFERROR(INDEX('Resource Rate Library'!$I$5:$I$85,MATCH(P270,'Resource Rate Library'!$A$5:$A$85,0)),0)</x:f>
        <x:v>0</x:v>
      </x:c>
      <x:c r="X270" s="52"/>
      <x:c r="Y270" s="83" t="n">
        <x:f t="shared" si="26">IF(X270&gt;0,X270,W270)</x:f>
        <x:v>0</x:v>
      </x:c>
      <x:c r="Z270" s="83" t="str">
        <x:f t="shared" si="27">IF(B270="","",IF(N270="Time x Count",M270*R270*IF(U270="",1,U270)*Y270,IF(N270="QS Qty x Factor",E270*R270*(1+IF(V270="",0,V270))*Y270,IF(N270="Direct Qty",S270*(1+IF(V270="",0,V270))*Y270,IF(N270="Lump Sum / Quote",S270*Y270,0)))))</x:f>
      </x:c>
      <x:c r="AA270" s="81" t="str">
        <x:f>IFERROR(INDEX('Resource Rate Library'!$N$5:$N$85,MATCH(P270,'Resource Rate Library'!$A$5:$A$85,0)),"")</x:f>
      </x:c>
      <x:c r="AB270" s="53"/>
      <x:c r="AC270" s="59"/>
      <x:c r="AD270" s="81" t="str">
        <x:f>IFERROR(INDEX('Resource Rate Library'!$G$5:$G$85,MATCH(P270,'Resource Rate Library'!$A$5:$A$85,0)),"")</x:f>
      </x:c>
      <x:c r="AE270" s="81" t="str">
        <x:f>IFERROR(INDEX('Resource Rate Library'!$H$5:$H$85,MATCH(P270,'Resource Rate Library'!$A$5:$A$85,0)),"")</x:f>
      </x:c>
      <x:c r="AF270" s="53"/>
      <x:c r="AG270" s="53"/>
      <x:c r="AH270" s="53"/>
      <x:c r="AI270" s="81" t="str">
        <x:f t="shared" si="23">IF(B270="","",IF(AND(P270="",N270&lt;&gt;"Lump Sum / Quote"),"RESOURCE CODE",IF(Y270=0,"RATE MISSING",IF(AND(O270="Plant",AD270="Yes",COUNTIFS($B$7:$B$306,B270,$O$7:$O$306,"Labour",$Q$7:$Q$306,"*Operator*")&gt;0),"OPERATOR DOUBLE-COUNT",IF(AND(O270="Plant",AE270="Yes",COUNTIFS($B$7:$B$306,B270,$Q$7:$Q$306,"*Fuel*")&gt;0),"FUEL DOUBLE-COUNT",IF(AH270&lt;&gt;"Yes","VERIFY","OK"))))))</x:f>
      </x:c>
      <x:c r="AJ270" s="54"/>
      <x:c r="AK270" s="473"/>
      <x:c r="AL270" s="473"/>
      <x:c r="AM270" s="473"/>
      <x:c r="AN270" s="500" t="n">
        <x:f>IF(AND(AK270="Yes",OR(O270="Labour",O270="Plant")),Z270,0)</x:f>
        <x:v>0</x:v>
      </x:c>
    </x:row>
    <x:row r="271">
      <x:c r="A271" s="80" t="str">
        <x:f>IF(B271="","",B271&amp;"-"&amp;TEXT(COUNTIF($B$7:B271,B271),"000"))</x:f>
      </x:c>
      <x:c r="B271" s="53"/>
      <x:c r="C271" s="81" t="str">
        <x:f>IFERROR(INDEX('QS Takeoff'!$A$3:$A$194,MATCH(B271,'QS Takeoff'!$B$3:$B$194,0)),"")</x:f>
      </x:c>
      <x:c r="D271" s="81" t="str">
        <x:f>IFERROR(INDEX('QS Takeoff'!$C$3:$C$194,MATCH(B271,'QS Takeoff'!$B$3:$B$194,0)),"")</x:f>
      </x:c>
      <x:c r="E271" s="81" t="str">
        <x:f>IFERROR(INDEX('QS Takeoff'!$E$3:$E$194,MATCH(B271,'QS Takeoff'!$B$3:$B$194,0)),"")</x:f>
      </x:c>
      <x:c r="F271" s="81" t="str">
        <x:f>IFERROR(INDEX('QS Takeoff'!$D$3:$D$194,MATCH(B271,'QS Takeoff'!$B$3:$B$194,0)),"")</x:f>
      </x:c>
      <x:c r="G271" s="81" t="str">
        <x:f>IFERROR(INDEX('QS Takeoff'!$J$3:$J$194,MATCH(B271,'QS Takeoff'!$B$3:$B$194,0)),"")</x:f>
      </x:c>
      <x:c r="H271" s="53"/>
      <x:c r="I271" s="60"/>
      <x:c r="J271" s="60"/>
      <x:c r="K271" s="82" t="str">
        <x:f t="shared" si="24">IF(OR(B271="",I271="",I271=0),"",E271/I271)</x:f>
      </x:c>
      <x:c r="L271" s="60"/>
      <x:c r="M271" s="82" t="str">
        <x:f t="shared" si="25">IF(L271&gt;0,L271,K271)</x:f>
      </x:c>
      <x:c r="N271" s="53"/>
      <x:c r="O271" s="53"/>
      <x:c r="P271" s="53"/>
      <x:c r="Q271" s="81" t="str">
        <x:f>IFERROR(INDEX('Resource Rate Library'!$C$5:$C$85,MATCH(P271,'Resource Rate Library'!$A$5:$A$85,0)),"")</x:f>
      </x:c>
      <x:c r="R271" s="53"/>
      <x:c r="S271" s="53"/>
      <x:c r="T271" s="81" t="str">
        <x:f>IFERROR(INDEX('Resource Rate Library'!$E$5:$E$85,MATCH(P271,'Resource Rate Library'!$A$5:$A$85,0)),"")</x:f>
      </x:c>
      <x:c r="U271" s="62"/>
      <x:c r="V271" s="62"/>
      <x:c r="W271" s="83" t="n">
        <x:f>IFERROR(INDEX('Resource Rate Library'!$I$5:$I$85,MATCH(P271,'Resource Rate Library'!$A$5:$A$85,0)),0)</x:f>
        <x:v>0</x:v>
      </x:c>
      <x:c r="X271" s="52"/>
      <x:c r="Y271" s="83" t="n">
        <x:f t="shared" si="26">IF(X271&gt;0,X271,W271)</x:f>
        <x:v>0</x:v>
      </x:c>
      <x:c r="Z271" s="83" t="str">
        <x:f t="shared" si="27">IF(B271="","",IF(N271="Time x Count",M271*R271*IF(U271="",1,U271)*Y271,IF(N271="QS Qty x Factor",E271*R271*(1+IF(V271="",0,V271))*Y271,IF(N271="Direct Qty",S271*(1+IF(V271="",0,V271))*Y271,IF(N271="Lump Sum / Quote",S271*Y271,0)))))</x:f>
      </x:c>
      <x:c r="AA271" s="81" t="str">
        <x:f>IFERROR(INDEX('Resource Rate Library'!$N$5:$N$85,MATCH(P271,'Resource Rate Library'!$A$5:$A$85,0)),"")</x:f>
      </x:c>
      <x:c r="AB271" s="53"/>
      <x:c r="AC271" s="59"/>
      <x:c r="AD271" s="81" t="str">
        <x:f>IFERROR(INDEX('Resource Rate Library'!$G$5:$G$85,MATCH(P271,'Resource Rate Library'!$A$5:$A$85,0)),"")</x:f>
      </x:c>
      <x:c r="AE271" s="81" t="str">
        <x:f>IFERROR(INDEX('Resource Rate Library'!$H$5:$H$85,MATCH(P271,'Resource Rate Library'!$A$5:$A$85,0)),"")</x:f>
      </x:c>
      <x:c r="AF271" s="53"/>
      <x:c r="AG271" s="53"/>
      <x:c r="AH271" s="53"/>
      <x:c r="AI271" s="81" t="str">
        <x:f t="shared" si="23">IF(B271="","",IF(AND(P271="",N271&lt;&gt;"Lump Sum / Quote"),"RESOURCE CODE",IF(Y271=0,"RATE MISSING",IF(AND(O271="Plant",AD271="Yes",COUNTIFS($B$7:$B$306,B271,$O$7:$O$306,"Labour",$Q$7:$Q$306,"*Operator*")&gt;0),"OPERATOR DOUBLE-COUNT",IF(AND(O271="Plant",AE271="Yes",COUNTIFS($B$7:$B$306,B271,$Q$7:$Q$306,"*Fuel*")&gt;0),"FUEL DOUBLE-COUNT",IF(AH271&lt;&gt;"Yes","VERIFY","OK"))))))</x:f>
      </x:c>
      <x:c r="AJ271" s="54"/>
      <x:c r="AK271" s="473"/>
      <x:c r="AL271" s="473"/>
      <x:c r="AM271" s="473"/>
      <x:c r="AN271" s="500" t="n">
        <x:f>IF(AND(AK271="Yes",OR(O271="Labour",O271="Plant")),Z271,0)</x:f>
        <x:v>0</x:v>
      </x:c>
    </x:row>
    <x:row r="272">
      <x:c r="A272" s="80" t="str">
        <x:f>IF(B272="","",B272&amp;"-"&amp;TEXT(COUNTIF($B$7:B272,B272),"000"))</x:f>
      </x:c>
      <x:c r="B272" s="53"/>
      <x:c r="C272" s="81" t="str">
        <x:f>IFERROR(INDEX('QS Takeoff'!$A$3:$A$194,MATCH(B272,'QS Takeoff'!$B$3:$B$194,0)),"")</x:f>
      </x:c>
      <x:c r="D272" s="81" t="str">
        <x:f>IFERROR(INDEX('QS Takeoff'!$C$3:$C$194,MATCH(B272,'QS Takeoff'!$B$3:$B$194,0)),"")</x:f>
      </x:c>
      <x:c r="E272" s="81" t="str">
        <x:f>IFERROR(INDEX('QS Takeoff'!$E$3:$E$194,MATCH(B272,'QS Takeoff'!$B$3:$B$194,0)),"")</x:f>
      </x:c>
      <x:c r="F272" s="81" t="str">
        <x:f>IFERROR(INDEX('QS Takeoff'!$D$3:$D$194,MATCH(B272,'QS Takeoff'!$B$3:$B$194,0)),"")</x:f>
      </x:c>
      <x:c r="G272" s="81" t="str">
        <x:f>IFERROR(INDEX('QS Takeoff'!$J$3:$J$194,MATCH(B272,'QS Takeoff'!$B$3:$B$194,0)),"")</x:f>
      </x:c>
      <x:c r="H272" s="53"/>
      <x:c r="I272" s="60"/>
      <x:c r="J272" s="60"/>
      <x:c r="K272" s="82" t="str">
        <x:f t="shared" si="24">IF(OR(B272="",I272="",I272=0),"",E272/I272)</x:f>
      </x:c>
      <x:c r="L272" s="60"/>
      <x:c r="M272" s="82" t="str">
        <x:f t="shared" si="25">IF(L272&gt;0,L272,K272)</x:f>
      </x:c>
      <x:c r="N272" s="53"/>
      <x:c r="O272" s="53"/>
      <x:c r="P272" s="53"/>
      <x:c r="Q272" s="81" t="str">
        <x:f>IFERROR(INDEX('Resource Rate Library'!$C$5:$C$85,MATCH(P272,'Resource Rate Library'!$A$5:$A$85,0)),"")</x:f>
      </x:c>
      <x:c r="R272" s="53"/>
      <x:c r="S272" s="53"/>
      <x:c r="T272" s="81" t="str">
        <x:f>IFERROR(INDEX('Resource Rate Library'!$E$5:$E$85,MATCH(P272,'Resource Rate Library'!$A$5:$A$85,0)),"")</x:f>
      </x:c>
      <x:c r="U272" s="62"/>
      <x:c r="V272" s="62"/>
      <x:c r="W272" s="83" t="n">
        <x:f>IFERROR(INDEX('Resource Rate Library'!$I$5:$I$85,MATCH(P272,'Resource Rate Library'!$A$5:$A$85,0)),0)</x:f>
        <x:v>0</x:v>
      </x:c>
      <x:c r="X272" s="52"/>
      <x:c r="Y272" s="83" t="n">
        <x:f t="shared" si="26">IF(X272&gt;0,X272,W272)</x:f>
        <x:v>0</x:v>
      </x:c>
      <x:c r="Z272" s="83" t="str">
        <x:f t="shared" si="27">IF(B272="","",IF(N272="Time x Count",M272*R272*IF(U272="",1,U272)*Y272,IF(N272="QS Qty x Factor",E272*R272*(1+IF(V272="",0,V272))*Y272,IF(N272="Direct Qty",S272*(1+IF(V272="",0,V272))*Y272,IF(N272="Lump Sum / Quote",S272*Y272,0)))))</x:f>
      </x:c>
      <x:c r="AA272" s="81" t="str">
        <x:f>IFERROR(INDEX('Resource Rate Library'!$N$5:$N$85,MATCH(P272,'Resource Rate Library'!$A$5:$A$85,0)),"")</x:f>
      </x:c>
      <x:c r="AB272" s="53"/>
      <x:c r="AC272" s="59"/>
      <x:c r="AD272" s="81" t="str">
        <x:f>IFERROR(INDEX('Resource Rate Library'!$G$5:$G$85,MATCH(P272,'Resource Rate Library'!$A$5:$A$85,0)),"")</x:f>
      </x:c>
      <x:c r="AE272" s="81" t="str">
        <x:f>IFERROR(INDEX('Resource Rate Library'!$H$5:$H$85,MATCH(P272,'Resource Rate Library'!$A$5:$A$85,0)),"")</x:f>
      </x:c>
      <x:c r="AF272" s="53"/>
      <x:c r="AG272" s="53"/>
      <x:c r="AH272" s="53"/>
      <x:c r="AI272" s="81" t="str">
        <x:f t="shared" si="23">IF(B272="","",IF(AND(P272="",N272&lt;&gt;"Lump Sum / Quote"),"RESOURCE CODE",IF(Y272=0,"RATE MISSING",IF(AND(O272="Plant",AD272="Yes",COUNTIFS($B$7:$B$306,B272,$O$7:$O$306,"Labour",$Q$7:$Q$306,"*Operator*")&gt;0),"OPERATOR DOUBLE-COUNT",IF(AND(O272="Plant",AE272="Yes",COUNTIFS($B$7:$B$306,B272,$Q$7:$Q$306,"*Fuel*")&gt;0),"FUEL DOUBLE-COUNT",IF(AH272&lt;&gt;"Yes","VERIFY","OK"))))))</x:f>
      </x:c>
      <x:c r="AJ272" s="54"/>
      <x:c r="AK272" s="473"/>
      <x:c r="AL272" s="473"/>
      <x:c r="AM272" s="473"/>
      <x:c r="AN272" s="500" t="n">
        <x:f>IF(AND(AK272="Yes",OR(O272="Labour",O272="Plant")),Z272,0)</x:f>
        <x:v>0</x:v>
      </x:c>
    </x:row>
    <x:row r="273">
      <x:c r="A273" s="80" t="str">
        <x:f>IF(B273="","",B273&amp;"-"&amp;TEXT(COUNTIF($B$7:B273,B273),"000"))</x:f>
      </x:c>
      <x:c r="B273" s="53"/>
      <x:c r="C273" s="81" t="str">
        <x:f>IFERROR(INDEX('QS Takeoff'!$A$3:$A$194,MATCH(B273,'QS Takeoff'!$B$3:$B$194,0)),"")</x:f>
      </x:c>
      <x:c r="D273" s="81" t="str">
        <x:f>IFERROR(INDEX('QS Takeoff'!$C$3:$C$194,MATCH(B273,'QS Takeoff'!$B$3:$B$194,0)),"")</x:f>
      </x:c>
      <x:c r="E273" s="81" t="str">
        <x:f>IFERROR(INDEX('QS Takeoff'!$E$3:$E$194,MATCH(B273,'QS Takeoff'!$B$3:$B$194,0)),"")</x:f>
      </x:c>
      <x:c r="F273" s="81" t="str">
        <x:f>IFERROR(INDEX('QS Takeoff'!$D$3:$D$194,MATCH(B273,'QS Takeoff'!$B$3:$B$194,0)),"")</x:f>
      </x:c>
      <x:c r="G273" s="81" t="str">
        <x:f>IFERROR(INDEX('QS Takeoff'!$J$3:$J$194,MATCH(B273,'QS Takeoff'!$B$3:$B$194,0)),"")</x:f>
      </x:c>
      <x:c r="H273" s="53"/>
      <x:c r="I273" s="60"/>
      <x:c r="J273" s="60"/>
      <x:c r="K273" s="82" t="str">
        <x:f t="shared" si="24">IF(OR(B273="",I273="",I273=0),"",E273/I273)</x:f>
      </x:c>
      <x:c r="L273" s="60"/>
      <x:c r="M273" s="82" t="str">
        <x:f t="shared" si="25">IF(L273&gt;0,L273,K273)</x:f>
      </x:c>
      <x:c r="N273" s="53"/>
      <x:c r="O273" s="53"/>
      <x:c r="P273" s="53"/>
      <x:c r="Q273" s="81" t="str">
        <x:f>IFERROR(INDEX('Resource Rate Library'!$C$5:$C$85,MATCH(P273,'Resource Rate Library'!$A$5:$A$85,0)),"")</x:f>
      </x:c>
      <x:c r="R273" s="53"/>
      <x:c r="S273" s="53"/>
      <x:c r="T273" s="81" t="str">
        <x:f>IFERROR(INDEX('Resource Rate Library'!$E$5:$E$85,MATCH(P273,'Resource Rate Library'!$A$5:$A$85,0)),"")</x:f>
      </x:c>
      <x:c r="U273" s="62"/>
      <x:c r="V273" s="62"/>
      <x:c r="W273" s="83" t="n">
        <x:f>IFERROR(INDEX('Resource Rate Library'!$I$5:$I$85,MATCH(P273,'Resource Rate Library'!$A$5:$A$85,0)),0)</x:f>
        <x:v>0</x:v>
      </x:c>
      <x:c r="X273" s="52"/>
      <x:c r="Y273" s="83" t="n">
        <x:f t="shared" si="26">IF(X273&gt;0,X273,W273)</x:f>
        <x:v>0</x:v>
      </x:c>
      <x:c r="Z273" s="83" t="str">
        <x:f t="shared" si="27">IF(B273="","",IF(N273="Time x Count",M273*R273*IF(U273="",1,U273)*Y273,IF(N273="QS Qty x Factor",E273*R273*(1+IF(V273="",0,V273))*Y273,IF(N273="Direct Qty",S273*(1+IF(V273="",0,V273))*Y273,IF(N273="Lump Sum / Quote",S273*Y273,0)))))</x:f>
      </x:c>
      <x:c r="AA273" s="81" t="str">
        <x:f>IFERROR(INDEX('Resource Rate Library'!$N$5:$N$85,MATCH(P273,'Resource Rate Library'!$A$5:$A$85,0)),"")</x:f>
      </x:c>
      <x:c r="AB273" s="53"/>
      <x:c r="AC273" s="59"/>
      <x:c r="AD273" s="81" t="str">
        <x:f>IFERROR(INDEX('Resource Rate Library'!$G$5:$G$85,MATCH(P273,'Resource Rate Library'!$A$5:$A$85,0)),"")</x:f>
      </x:c>
      <x:c r="AE273" s="81" t="str">
        <x:f>IFERROR(INDEX('Resource Rate Library'!$H$5:$H$85,MATCH(P273,'Resource Rate Library'!$A$5:$A$85,0)),"")</x:f>
      </x:c>
      <x:c r="AF273" s="53"/>
      <x:c r="AG273" s="53"/>
      <x:c r="AH273" s="53"/>
      <x:c r="AI273" s="81" t="str">
        <x:f t="shared" si="23">IF(B273="","",IF(AND(P273="",N273&lt;&gt;"Lump Sum / Quote"),"RESOURCE CODE",IF(Y273=0,"RATE MISSING",IF(AND(O273="Plant",AD273="Yes",COUNTIFS($B$7:$B$306,B273,$O$7:$O$306,"Labour",$Q$7:$Q$306,"*Operator*")&gt;0),"OPERATOR DOUBLE-COUNT",IF(AND(O273="Plant",AE273="Yes",COUNTIFS($B$7:$B$306,B273,$Q$7:$Q$306,"*Fuel*")&gt;0),"FUEL DOUBLE-COUNT",IF(AH273&lt;&gt;"Yes","VERIFY","OK"))))))</x:f>
      </x:c>
      <x:c r="AJ273" s="54"/>
      <x:c r="AK273" s="473"/>
      <x:c r="AL273" s="473"/>
      <x:c r="AM273" s="473"/>
      <x:c r="AN273" s="500" t="n">
        <x:f>IF(AND(AK273="Yes",OR(O273="Labour",O273="Plant")),Z273,0)</x:f>
        <x:v>0</x:v>
      </x:c>
    </x:row>
    <x:row r="274">
      <x:c r="A274" s="80" t="str">
        <x:f>IF(B274="","",B274&amp;"-"&amp;TEXT(COUNTIF($B$7:B274,B274),"000"))</x:f>
      </x:c>
      <x:c r="B274" s="53"/>
      <x:c r="C274" s="81" t="str">
        <x:f>IFERROR(INDEX('QS Takeoff'!$A$3:$A$194,MATCH(B274,'QS Takeoff'!$B$3:$B$194,0)),"")</x:f>
      </x:c>
      <x:c r="D274" s="81" t="str">
        <x:f>IFERROR(INDEX('QS Takeoff'!$C$3:$C$194,MATCH(B274,'QS Takeoff'!$B$3:$B$194,0)),"")</x:f>
      </x:c>
      <x:c r="E274" s="81" t="str">
        <x:f>IFERROR(INDEX('QS Takeoff'!$E$3:$E$194,MATCH(B274,'QS Takeoff'!$B$3:$B$194,0)),"")</x:f>
      </x:c>
      <x:c r="F274" s="81" t="str">
        <x:f>IFERROR(INDEX('QS Takeoff'!$D$3:$D$194,MATCH(B274,'QS Takeoff'!$B$3:$B$194,0)),"")</x:f>
      </x:c>
      <x:c r="G274" s="81" t="str">
        <x:f>IFERROR(INDEX('QS Takeoff'!$J$3:$J$194,MATCH(B274,'QS Takeoff'!$B$3:$B$194,0)),"")</x:f>
      </x:c>
      <x:c r="H274" s="53"/>
      <x:c r="I274" s="60"/>
      <x:c r="J274" s="60"/>
      <x:c r="K274" s="82" t="str">
        <x:f t="shared" si="24">IF(OR(B274="",I274="",I274=0),"",E274/I274)</x:f>
      </x:c>
      <x:c r="L274" s="60"/>
      <x:c r="M274" s="82" t="str">
        <x:f t="shared" si="25">IF(L274&gt;0,L274,K274)</x:f>
      </x:c>
      <x:c r="N274" s="53"/>
      <x:c r="O274" s="53"/>
      <x:c r="P274" s="53"/>
      <x:c r="Q274" s="81" t="str">
        <x:f>IFERROR(INDEX('Resource Rate Library'!$C$5:$C$85,MATCH(P274,'Resource Rate Library'!$A$5:$A$85,0)),"")</x:f>
      </x:c>
      <x:c r="R274" s="53"/>
      <x:c r="S274" s="53"/>
      <x:c r="T274" s="81" t="str">
        <x:f>IFERROR(INDEX('Resource Rate Library'!$E$5:$E$85,MATCH(P274,'Resource Rate Library'!$A$5:$A$85,0)),"")</x:f>
      </x:c>
      <x:c r="U274" s="62"/>
      <x:c r="V274" s="62"/>
      <x:c r="W274" s="83" t="n">
        <x:f>IFERROR(INDEX('Resource Rate Library'!$I$5:$I$85,MATCH(P274,'Resource Rate Library'!$A$5:$A$85,0)),0)</x:f>
        <x:v>0</x:v>
      </x:c>
      <x:c r="X274" s="52"/>
      <x:c r="Y274" s="83" t="n">
        <x:f t="shared" si="26">IF(X274&gt;0,X274,W274)</x:f>
        <x:v>0</x:v>
      </x:c>
      <x:c r="Z274" s="83" t="str">
        <x:f t="shared" si="27">IF(B274="","",IF(N274="Time x Count",M274*R274*IF(U274="",1,U274)*Y274,IF(N274="QS Qty x Factor",E274*R274*(1+IF(V274="",0,V274))*Y274,IF(N274="Direct Qty",S274*(1+IF(V274="",0,V274))*Y274,IF(N274="Lump Sum / Quote",S274*Y274,0)))))</x:f>
      </x:c>
      <x:c r="AA274" s="81" t="str">
        <x:f>IFERROR(INDEX('Resource Rate Library'!$N$5:$N$85,MATCH(P274,'Resource Rate Library'!$A$5:$A$85,0)),"")</x:f>
      </x:c>
      <x:c r="AB274" s="53"/>
      <x:c r="AC274" s="59"/>
      <x:c r="AD274" s="81" t="str">
        <x:f>IFERROR(INDEX('Resource Rate Library'!$G$5:$G$85,MATCH(P274,'Resource Rate Library'!$A$5:$A$85,0)),"")</x:f>
      </x:c>
      <x:c r="AE274" s="81" t="str">
        <x:f>IFERROR(INDEX('Resource Rate Library'!$H$5:$H$85,MATCH(P274,'Resource Rate Library'!$A$5:$A$85,0)),"")</x:f>
      </x:c>
      <x:c r="AF274" s="53"/>
      <x:c r="AG274" s="53"/>
      <x:c r="AH274" s="53"/>
      <x:c r="AI274" s="81" t="str">
        <x:f t="shared" si="23">IF(B274="","",IF(AND(P274="",N274&lt;&gt;"Lump Sum / Quote"),"RESOURCE CODE",IF(Y274=0,"RATE MISSING",IF(AND(O274="Plant",AD274="Yes",COUNTIFS($B$7:$B$306,B274,$O$7:$O$306,"Labour",$Q$7:$Q$306,"*Operator*")&gt;0),"OPERATOR DOUBLE-COUNT",IF(AND(O274="Plant",AE274="Yes",COUNTIFS($B$7:$B$306,B274,$Q$7:$Q$306,"*Fuel*")&gt;0),"FUEL DOUBLE-COUNT",IF(AH274&lt;&gt;"Yes","VERIFY","OK"))))))</x:f>
      </x:c>
      <x:c r="AJ274" s="54"/>
      <x:c r="AK274" s="473"/>
      <x:c r="AL274" s="473"/>
      <x:c r="AM274" s="473"/>
      <x:c r="AN274" s="500" t="n">
        <x:f>IF(AND(AK274="Yes",OR(O274="Labour",O274="Plant")),Z274,0)</x:f>
        <x:v>0</x:v>
      </x:c>
    </x:row>
    <x:row r="275">
      <x:c r="A275" s="80" t="str">
        <x:f>IF(B275="","",B275&amp;"-"&amp;TEXT(COUNTIF($B$7:B275,B275),"000"))</x:f>
      </x:c>
      <x:c r="B275" s="53"/>
      <x:c r="C275" s="81" t="str">
        <x:f>IFERROR(INDEX('QS Takeoff'!$A$3:$A$194,MATCH(B275,'QS Takeoff'!$B$3:$B$194,0)),"")</x:f>
      </x:c>
      <x:c r="D275" s="81" t="str">
        <x:f>IFERROR(INDEX('QS Takeoff'!$C$3:$C$194,MATCH(B275,'QS Takeoff'!$B$3:$B$194,0)),"")</x:f>
      </x:c>
      <x:c r="E275" s="81" t="str">
        <x:f>IFERROR(INDEX('QS Takeoff'!$E$3:$E$194,MATCH(B275,'QS Takeoff'!$B$3:$B$194,0)),"")</x:f>
      </x:c>
      <x:c r="F275" s="81" t="str">
        <x:f>IFERROR(INDEX('QS Takeoff'!$D$3:$D$194,MATCH(B275,'QS Takeoff'!$B$3:$B$194,0)),"")</x:f>
      </x:c>
      <x:c r="G275" s="81" t="str">
        <x:f>IFERROR(INDEX('QS Takeoff'!$J$3:$J$194,MATCH(B275,'QS Takeoff'!$B$3:$B$194,0)),"")</x:f>
      </x:c>
      <x:c r="H275" s="53"/>
      <x:c r="I275" s="60"/>
      <x:c r="J275" s="60"/>
      <x:c r="K275" s="82" t="str">
        <x:f t="shared" si="24">IF(OR(B275="",I275="",I275=0),"",E275/I275)</x:f>
      </x:c>
      <x:c r="L275" s="60"/>
      <x:c r="M275" s="82" t="str">
        <x:f t="shared" si="25">IF(L275&gt;0,L275,K275)</x:f>
      </x:c>
      <x:c r="N275" s="53"/>
      <x:c r="O275" s="53"/>
      <x:c r="P275" s="53"/>
      <x:c r="Q275" s="81" t="str">
        <x:f>IFERROR(INDEX('Resource Rate Library'!$C$5:$C$85,MATCH(P275,'Resource Rate Library'!$A$5:$A$85,0)),"")</x:f>
      </x:c>
      <x:c r="R275" s="53"/>
      <x:c r="S275" s="53"/>
      <x:c r="T275" s="81" t="str">
        <x:f>IFERROR(INDEX('Resource Rate Library'!$E$5:$E$85,MATCH(P275,'Resource Rate Library'!$A$5:$A$85,0)),"")</x:f>
      </x:c>
      <x:c r="U275" s="62"/>
      <x:c r="V275" s="62"/>
      <x:c r="W275" s="83" t="n">
        <x:f>IFERROR(INDEX('Resource Rate Library'!$I$5:$I$85,MATCH(P275,'Resource Rate Library'!$A$5:$A$85,0)),0)</x:f>
        <x:v>0</x:v>
      </x:c>
      <x:c r="X275" s="52"/>
      <x:c r="Y275" s="83" t="n">
        <x:f t="shared" si="26">IF(X275&gt;0,X275,W275)</x:f>
        <x:v>0</x:v>
      </x:c>
      <x:c r="Z275" s="83" t="str">
        <x:f t="shared" si="27">IF(B275="","",IF(N275="Time x Count",M275*R275*IF(U275="",1,U275)*Y275,IF(N275="QS Qty x Factor",E275*R275*(1+IF(V275="",0,V275))*Y275,IF(N275="Direct Qty",S275*(1+IF(V275="",0,V275))*Y275,IF(N275="Lump Sum / Quote",S275*Y275,0)))))</x:f>
      </x:c>
      <x:c r="AA275" s="81" t="str">
        <x:f>IFERROR(INDEX('Resource Rate Library'!$N$5:$N$85,MATCH(P275,'Resource Rate Library'!$A$5:$A$85,0)),"")</x:f>
      </x:c>
      <x:c r="AB275" s="53"/>
      <x:c r="AC275" s="59"/>
      <x:c r="AD275" s="81" t="str">
        <x:f>IFERROR(INDEX('Resource Rate Library'!$G$5:$G$85,MATCH(P275,'Resource Rate Library'!$A$5:$A$85,0)),"")</x:f>
      </x:c>
      <x:c r="AE275" s="81" t="str">
        <x:f>IFERROR(INDEX('Resource Rate Library'!$H$5:$H$85,MATCH(P275,'Resource Rate Library'!$A$5:$A$85,0)),"")</x:f>
      </x:c>
      <x:c r="AF275" s="53"/>
      <x:c r="AG275" s="53"/>
      <x:c r="AH275" s="53"/>
      <x:c r="AI275" s="81" t="str">
        <x:f t="shared" si="23">IF(B275="","",IF(AND(P275="",N275&lt;&gt;"Lump Sum / Quote"),"RESOURCE CODE",IF(Y275=0,"RATE MISSING",IF(AND(O275="Plant",AD275="Yes",COUNTIFS($B$7:$B$306,B275,$O$7:$O$306,"Labour",$Q$7:$Q$306,"*Operator*")&gt;0),"OPERATOR DOUBLE-COUNT",IF(AND(O275="Plant",AE275="Yes",COUNTIFS($B$7:$B$306,B275,$Q$7:$Q$306,"*Fuel*")&gt;0),"FUEL DOUBLE-COUNT",IF(AH275&lt;&gt;"Yes","VERIFY","OK"))))))</x:f>
      </x:c>
      <x:c r="AJ275" s="54"/>
      <x:c r="AK275" s="473"/>
      <x:c r="AL275" s="473"/>
      <x:c r="AM275" s="473"/>
      <x:c r="AN275" s="500" t="n">
        <x:f>IF(AND(AK275="Yes",OR(O275="Labour",O275="Plant")),Z275,0)</x:f>
        <x:v>0</x:v>
      </x:c>
    </x:row>
    <x:row r="276">
      <x:c r="A276" s="80" t="str">
        <x:f>IF(B276="","",B276&amp;"-"&amp;TEXT(COUNTIF($B$7:B276,B276),"000"))</x:f>
      </x:c>
      <x:c r="B276" s="53"/>
      <x:c r="C276" s="81" t="str">
        <x:f>IFERROR(INDEX('QS Takeoff'!$A$3:$A$194,MATCH(B276,'QS Takeoff'!$B$3:$B$194,0)),"")</x:f>
      </x:c>
      <x:c r="D276" s="81" t="str">
        <x:f>IFERROR(INDEX('QS Takeoff'!$C$3:$C$194,MATCH(B276,'QS Takeoff'!$B$3:$B$194,0)),"")</x:f>
      </x:c>
      <x:c r="E276" s="81" t="str">
        <x:f>IFERROR(INDEX('QS Takeoff'!$E$3:$E$194,MATCH(B276,'QS Takeoff'!$B$3:$B$194,0)),"")</x:f>
      </x:c>
      <x:c r="F276" s="81" t="str">
        <x:f>IFERROR(INDEX('QS Takeoff'!$D$3:$D$194,MATCH(B276,'QS Takeoff'!$B$3:$B$194,0)),"")</x:f>
      </x:c>
      <x:c r="G276" s="81" t="str">
        <x:f>IFERROR(INDEX('QS Takeoff'!$J$3:$J$194,MATCH(B276,'QS Takeoff'!$B$3:$B$194,0)),"")</x:f>
      </x:c>
      <x:c r="H276" s="53"/>
      <x:c r="I276" s="60"/>
      <x:c r="J276" s="60"/>
      <x:c r="K276" s="82" t="str">
        <x:f t="shared" si="24">IF(OR(B276="",I276="",I276=0),"",E276/I276)</x:f>
      </x:c>
      <x:c r="L276" s="60"/>
      <x:c r="M276" s="82" t="str">
        <x:f t="shared" si="25">IF(L276&gt;0,L276,K276)</x:f>
      </x:c>
      <x:c r="N276" s="53"/>
      <x:c r="O276" s="53"/>
      <x:c r="P276" s="53"/>
      <x:c r="Q276" s="81" t="str">
        <x:f>IFERROR(INDEX('Resource Rate Library'!$C$5:$C$85,MATCH(P276,'Resource Rate Library'!$A$5:$A$85,0)),"")</x:f>
      </x:c>
      <x:c r="R276" s="53"/>
      <x:c r="S276" s="53"/>
      <x:c r="T276" s="81" t="str">
        <x:f>IFERROR(INDEX('Resource Rate Library'!$E$5:$E$85,MATCH(P276,'Resource Rate Library'!$A$5:$A$85,0)),"")</x:f>
      </x:c>
      <x:c r="U276" s="62"/>
      <x:c r="V276" s="62"/>
      <x:c r="W276" s="83" t="n">
        <x:f>IFERROR(INDEX('Resource Rate Library'!$I$5:$I$85,MATCH(P276,'Resource Rate Library'!$A$5:$A$85,0)),0)</x:f>
        <x:v>0</x:v>
      </x:c>
      <x:c r="X276" s="52"/>
      <x:c r="Y276" s="83" t="n">
        <x:f t="shared" si="26">IF(X276&gt;0,X276,W276)</x:f>
        <x:v>0</x:v>
      </x:c>
      <x:c r="Z276" s="83" t="str">
        <x:f t="shared" si="27">IF(B276="","",IF(N276="Time x Count",M276*R276*IF(U276="",1,U276)*Y276,IF(N276="QS Qty x Factor",E276*R276*(1+IF(V276="",0,V276))*Y276,IF(N276="Direct Qty",S276*(1+IF(V276="",0,V276))*Y276,IF(N276="Lump Sum / Quote",S276*Y276,0)))))</x:f>
      </x:c>
      <x:c r="AA276" s="81" t="str">
        <x:f>IFERROR(INDEX('Resource Rate Library'!$N$5:$N$85,MATCH(P276,'Resource Rate Library'!$A$5:$A$85,0)),"")</x:f>
      </x:c>
      <x:c r="AB276" s="53"/>
      <x:c r="AC276" s="59"/>
      <x:c r="AD276" s="81" t="str">
        <x:f>IFERROR(INDEX('Resource Rate Library'!$G$5:$G$85,MATCH(P276,'Resource Rate Library'!$A$5:$A$85,0)),"")</x:f>
      </x:c>
      <x:c r="AE276" s="81" t="str">
        <x:f>IFERROR(INDEX('Resource Rate Library'!$H$5:$H$85,MATCH(P276,'Resource Rate Library'!$A$5:$A$85,0)),"")</x:f>
      </x:c>
      <x:c r="AF276" s="53"/>
      <x:c r="AG276" s="53"/>
      <x:c r="AH276" s="53"/>
      <x:c r="AI276" s="81" t="str">
        <x:f t="shared" si="23">IF(B276="","",IF(AND(P276="",N276&lt;&gt;"Lump Sum / Quote"),"RESOURCE CODE",IF(Y276=0,"RATE MISSING",IF(AND(O276="Plant",AD276="Yes",COUNTIFS($B$7:$B$306,B276,$O$7:$O$306,"Labour",$Q$7:$Q$306,"*Operator*")&gt;0),"OPERATOR DOUBLE-COUNT",IF(AND(O276="Plant",AE276="Yes",COUNTIFS($B$7:$B$306,B276,$Q$7:$Q$306,"*Fuel*")&gt;0),"FUEL DOUBLE-COUNT",IF(AH276&lt;&gt;"Yes","VERIFY","OK"))))))</x:f>
      </x:c>
      <x:c r="AJ276" s="54"/>
      <x:c r="AK276" s="473"/>
      <x:c r="AL276" s="473"/>
      <x:c r="AM276" s="473"/>
      <x:c r="AN276" s="500" t="n">
        <x:f>IF(AND(AK276="Yes",OR(O276="Labour",O276="Plant")),Z276,0)</x:f>
        <x:v>0</x:v>
      </x:c>
    </x:row>
    <x:row r="277">
      <x:c r="A277" s="80" t="str">
        <x:f>IF(B277="","",B277&amp;"-"&amp;TEXT(COUNTIF($B$7:B277,B277),"000"))</x:f>
      </x:c>
      <x:c r="B277" s="53"/>
      <x:c r="C277" s="81" t="str">
        <x:f>IFERROR(INDEX('QS Takeoff'!$A$3:$A$194,MATCH(B277,'QS Takeoff'!$B$3:$B$194,0)),"")</x:f>
      </x:c>
      <x:c r="D277" s="81" t="str">
        <x:f>IFERROR(INDEX('QS Takeoff'!$C$3:$C$194,MATCH(B277,'QS Takeoff'!$B$3:$B$194,0)),"")</x:f>
      </x:c>
      <x:c r="E277" s="81" t="str">
        <x:f>IFERROR(INDEX('QS Takeoff'!$E$3:$E$194,MATCH(B277,'QS Takeoff'!$B$3:$B$194,0)),"")</x:f>
      </x:c>
      <x:c r="F277" s="81" t="str">
        <x:f>IFERROR(INDEX('QS Takeoff'!$D$3:$D$194,MATCH(B277,'QS Takeoff'!$B$3:$B$194,0)),"")</x:f>
      </x:c>
      <x:c r="G277" s="81" t="str">
        <x:f>IFERROR(INDEX('QS Takeoff'!$J$3:$J$194,MATCH(B277,'QS Takeoff'!$B$3:$B$194,0)),"")</x:f>
      </x:c>
      <x:c r="H277" s="53"/>
      <x:c r="I277" s="60"/>
      <x:c r="J277" s="60"/>
      <x:c r="K277" s="82" t="str">
        <x:f t="shared" si="24">IF(OR(B277="",I277="",I277=0),"",E277/I277)</x:f>
      </x:c>
      <x:c r="L277" s="60"/>
      <x:c r="M277" s="82" t="str">
        <x:f t="shared" si="25">IF(L277&gt;0,L277,K277)</x:f>
      </x:c>
      <x:c r="N277" s="53"/>
      <x:c r="O277" s="53"/>
      <x:c r="P277" s="53"/>
      <x:c r="Q277" s="81" t="str">
        <x:f>IFERROR(INDEX('Resource Rate Library'!$C$5:$C$85,MATCH(P277,'Resource Rate Library'!$A$5:$A$85,0)),"")</x:f>
      </x:c>
      <x:c r="R277" s="53"/>
      <x:c r="S277" s="53"/>
      <x:c r="T277" s="81" t="str">
        <x:f>IFERROR(INDEX('Resource Rate Library'!$E$5:$E$85,MATCH(P277,'Resource Rate Library'!$A$5:$A$85,0)),"")</x:f>
      </x:c>
      <x:c r="U277" s="62"/>
      <x:c r="V277" s="62"/>
      <x:c r="W277" s="83" t="n">
        <x:f>IFERROR(INDEX('Resource Rate Library'!$I$5:$I$85,MATCH(P277,'Resource Rate Library'!$A$5:$A$85,0)),0)</x:f>
        <x:v>0</x:v>
      </x:c>
      <x:c r="X277" s="52"/>
      <x:c r="Y277" s="83" t="n">
        <x:f t="shared" si="26">IF(X277&gt;0,X277,W277)</x:f>
        <x:v>0</x:v>
      </x:c>
      <x:c r="Z277" s="83" t="str">
        <x:f t="shared" si="27">IF(B277="","",IF(N277="Time x Count",M277*R277*IF(U277="",1,U277)*Y277,IF(N277="QS Qty x Factor",E277*R277*(1+IF(V277="",0,V277))*Y277,IF(N277="Direct Qty",S277*(1+IF(V277="",0,V277))*Y277,IF(N277="Lump Sum / Quote",S277*Y277,0)))))</x:f>
      </x:c>
      <x:c r="AA277" s="81" t="str">
        <x:f>IFERROR(INDEX('Resource Rate Library'!$N$5:$N$85,MATCH(P277,'Resource Rate Library'!$A$5:$A$85,0)),"")</x:f>
      </x:c>
      <x:c r="AB277" s="53"/>
      <x:c r="AC277" s="59"/>
      <x:c r="AD277" s="81" t="str">
        <x:f>IFERROR(INDEX('Resource Rate Library'!$G$5:$G$85,MATCH(P277,'Resource Rate Library'!$A$5:$A$85,0)),"")</x:f>
      </x:c>
      <x:c r="AE277" s="81" t="str">
        <x:f>IFERROR(INDEX('Resource Rate Library'!$H$5:$H$85,MATCH(P277,'Resource Rate Library'!$A$5:$A$85,0)),"")</x:f>
      </x:c>
      <x:c r="AF277" s="53"/>
      <x:c r="AG277" s="53"/>
      <x:c r="AH277" s="53"/>
      <x:c r="AI277" s="81" t="str">
        <x:f t="shared" si="23">IF(B277="","",IF(AND(P277="",N277&lt;&gt;"Lump Sum / Quote"),"RESOURCE CODE",IF(Y277=0,"RATE MISSING",IF(AND(O277="Plant",AD277="Yes",COUNTIFS($B$7:$B$306,B277,$O$7:$O$306,"Labour",$Q$7:$Q$306,"*Operator*")&gt;0),"OPERATOR DOUBLE-COUNT",IF(AND(O277="Plant",AE277="Yes",COUNTIFS($B$7:$B$306,B277,$Q$7:$Q$306,"*Fuel*")&gt;0),"FUEL DOUBLE-COUNT",IF(AH277&lt;&gt;"Yes","VERIFY","OK"))))))</x:f>
      </x:c>
      <x:c r="AJ277" s="54"/>
      <x:c r="AK277" s="473"/>
      <x:c r="AL277" s="473"/>
      <x:c r="AM277" s="473"/>
      <x:c r="AN277" s="500" t="n">
        <x:f>IF(AND(AK277="Yes",OR(O277="Labour",O277="Plant")),Z277,0)</x:f>
        <x:v>0</x:v>
      </x:c>
    </x:row>
    <x:row r="278">
      <x:c r="A278" s="80" t="str">
        <x:f>IF(B278="","",B278&amp;"-"&amp;TEXT(COUNTIF($B$7:B278,B278),"000"))</x:f>
      </x:c>
      <x:c r="B278" s="53"/>
      <x:c r="C278" s="81" t="str">
        <x:f>IFERROR(INDEX('QS Takeoff'!$A$3:$A$194,MATCH(B278,'QS Takeoff'!$B$3:$B$194,0)),"")</x:f>
      </x:c>
      <x:c r="D278" s="81" t="str">
        <x:f>IFERROR(INDEX('QS Takeoff'!$C$3:$C$194,MATCH(B278,'QS Takeoff'!$B$3:$B$194,0)),"")</x:f>
      </x:c>
      <x:c r="E278" s="81" t="str">
        <x:f>IFERROR(INDEX('QS Takeoff'!$E$3:$E$194,MATCH(B278,'QS Takeoff'!$B$3:$B$194,0)),"")</x:f>
      </x:c>
      <x:c r="F278" s="81" t="str">
        <x:f>IFERROR(INDEX('QS Takeoff'!$D$3:$D$194,MATCH(B278,'QS Takeoff'!$B$3:$B$194,0)),"")</x:f>
      </x:c>
      <x:c r="G278" s="81" t="str">
        <x:f>IFERROR(INDEX('QS Takeoff'!$J$3:$J$194,MATCH(B278,'QS Takeoff'!$B$3:$B$194,0)),"")</x:f>
      </x:c>
      <x:c r="H278" s="53"/>
      <x:c r="I278" s="60"/>
      <x:c r="J278" s="60"/>
      <x:c r="K278" s="82" t="str">
        <x:f t="shared" si="24">IF(OR(B278="",I278="",I278=0),"",E278/I278)</x:f>
      </x:c>
      <x:c r="L278" s="60"/>
      <x:c r="M278" s="82" t="str">
        <x:f t="shared" si="25">IF(L278&gt;0,L278,K278)</x:f>
      </x:c>
      <x:c r="N278" s="53"/>
      <x:c r="O278" s="53"/>
      <x:c r="P278" s="53"/>
      <x:c r="Q278" s="81" t="str">
        <x:f>IFERROR(INDEX('Resource Rate Library'!$C$5:$C$85,MATCH(P278,'Resource Rate Library'!$A$5:$A$85,0)),"")</x:f>
      </x:c>
      <x:c r="R278" s="53"/>
      <x:c r="S278" s="53"/>
      <x:c r="T278" s="81" t="str">
        <x:f>IFERROR(INDEX('Resource Rate Library'!$E$5:$E$85,MATCH(P278,'Resource Rate Library'!$A$5:$A$85,0)),"")</x:f>
      </x:c>
      <x:c r="U278" s="62"/>
      <x:c r="V278" s="62"/>
      <x:c r="W278" s="83" t="n">
        <x:f>IFERROR(INDEX('Resource Rate Library'!$I$5:$I$85,MATCH(P278,'Resource Rate Library'!$A$5:$A$85,0)),0)</x:f>
        <x:v>0</x:v>
      </x:c>
      <x:c r="X278" s="52"/>
      <x:c r="Y278" s="83" t="n">
        <x:f t="shared" si="26">IF(X278&gt;0,X278,W278)</x:f>
        <x:v>0</x:v>
      </x:c>
      <x:c r="Z278" s="83" t="str">
        <x:f t="shared" si="27">IF(B278="","",IF(N278="Time x Count",M278*R278*IF(U278="",1,U278)*Y278,IF(N278="QS Qty x Factor",E278*R278*(1+IF(V278="",0,V278))*Y278,IF(N278="Direct Qty",S278*(1+IF(V278="",0,V278))*Y278,IF(N278="Lump Sum / Quote",S278*Y278,0)))))</x:f>
      </x:c>
      <x:c r="AA278" s="81" t="str">
        <x:f>IFERROR(INDEX('Resource Rate Library'!$N$5:$N$85,MATCH(P278,'Resource Rate Library'!$A$5:$A$85,0)),"")</x:f>
      </x:c>
      <x:c r="AB278" s="53"/>
      <x:c r="AC278" s="59"/>
      <x:c r="AD278" s="81" t="str">
        <x:f>IFERROR(INDEX('Resource Rate Library'!$G$5:$G$85,MATCH(P278,'Resource Rate Library'!$A$5:$A$85,0)),"")</x:f>
      </x:c>
      <x:c r="AE278" s="81" t="str">
        <x:f>IFERROR(INDEX('Resource Rate Library'!$H$5:$H$85,MATCH(P278,'Resource Rate Library'!$A$5:$A$85,0)),"")</x:f>
      </x:c>
      <x:c r="AF278" s="53"/>
      <x:c r="AG278" s="53"/>
      <x:c r="AH278" s="53"/>
      <x:c r="AI278" s="81" t="str">
        <x:f t="shared" si="23">IF(B278="","",IF(AND(P278="",N278&lt;&gt;"Lump Sum / Quote"),"RESOURCE CODE",IF(Y278=0,"RATE MISSING",IF(AND(O278="Plant",AD278="Yes",COUNTIFS($B$7:$B$306,B278,$O$7:$O$306,"Labour",$Q$7:$Q$306,"*Operator*")&gt;0),"OPERATOR DOUBLE-COUNT",IF(AND(O278="Plant",AE278="Yes",COUNTIFS($B$7:$B$306,B278,$Q$7:$Q$306,"*Fuel*")&gt;0),"FUEL DOUBLE-COUNT",IF(AH278&lt;&gt;"Yes","VERIFY","OK"))))))</x:f>
      </x:c>
      <x:c r="AJ278" s="54"/>
      <x:c r="AK278" s="473"/>
      <x:c r="AL278" s="473"/>
      <x:c r="AM278" s="473"/>
      <x:c r="AN278" s="500" t="n">
        <x:f>IF(AND(AK278="Yes",OR(O278="Labour",O278="Plant")),Z278,0)</x:f>
        <x:v>0</x:v>
      </x:c>
    </x:row>
    <x:row r="279">
      <x:c r="A279" s="80" t="str">
        <x:f>IF(B279="","",B279&amp;"-"&amp;TEXT(COUNTIF($B$7:B279,B279),"000"))</x:f>
      </x:c>
      <x:c r="B279" s="53"/>
      <x:c r="C279" s="81" t="str">
        <x:f>IFERROR(INDEX('QS Takeoff'!$A$3:$A$194,MATCH(B279,'QS Takeoff'!$B$3:$B$194,0)),"")</x:f>
      </x:c>
      <x:c r="D279" s="81" t="str">
        <x:f>IFERROR(INDEX('QS Takeoff'!$C$3:$C$194,MATCH(B279,'QS Takeoff'!$B$3:$B$194,0)),"")</x:f>
      </x:c>
      <x:c r="E279" s="81" t="str">
        <x:f>IFERROR(INDEX('QS Takeoff'!$E$3:$E$194,MATCH(B279,'QS Takeoff'!$B$3:$B$194,0)),"")</x:f>
      </x:c>
      <x:c r="F279" s="81" t="str">
        <x:f>IFERROR(INDEX('QS Takeoff'!$D$3:$D$194,MATCH(B279,'QS Takeoff'!$B$3:$B$194,0)),"")</x:f>
      </x:c>
      <x:c r="G279" s="81" t="str">
        <x:f>IFERROR(INDEX('QS Takeoff'!$J$3:$J$194,MATCH(B279,'QS Takeoff'!$B$3:$B$194,0)),"")</x:f>
      </x:c>
      <x:c r="H279" s="53"/>
      <x:c r="I279" s="60"/>
      <x:c r="J279" s="60"/>
      <x:c r="K279" s="82" t="str">
        <x:f t="shared" si="24">IF(OR(B279="",I279="",I279=0),"",E279/I279)</x:f>
      </x:c>
      <x:c r="L279" s="60"/>
      <x:c r="M279" s="82" t="str">
        <x:f t="shared" si="25">IF(L279&gt;0,L279,K279)</x:f>
      </x:c>
      <x:c r="N279" s="53"/>
      <x:c r="O279" s="53"/>
      <x:c r="P279" s="53"/>
      <x:c r="Q279" s="81" t="str">
        <x:f>IFERROR(INDEX('Resource Rate Library'!$C$5:$C$85,MATCH(P279,'Resource Rate Library'!$A$5:$A$85,0)),"")</x:f>
      </x:c>
      <x:c r="R279" s="53"/>
      <x:c r="S279" s="53"/>
      <x:c r="T279" s="81" t="str">
        <x:f>IFERROR(INDEX('Resource Rate Library'!$E$5:$E$85,MATCH(P279,'Resource Rate Library'!$A$5:$A$85,0)),"")</x:f>
      </x:c>
      <x:c r="U279" s="62"/>
      <x:c r="V279" s="62"/>
      <x:c r="W279" s="83" t="n">
        <x:f>IFERROR(INDEX('Resource Rate Library'!$I$5:$I$85,MATCH(P279,'Resource Rate Library'!$A$5:$A$85,0)),0)</x:f>
        <x:v>0</x:v>
      </x:c>
      <x:c r="X279" s="52"/>
      <x:c r="Y279" s="83" t="n">
        <x:f t="shared" si="26">IF(X279&gt;0,X279,W279)</x:f>
        <x:v>0</x:v>
      </x:c>
      <x:c r="Z279" s="83" t="str">
        <x:f t="shared" si="27">IF(B279="","",IF(N279="Time x Count",M279*R279*IF(U279="",1,U279)*Y279,IF(N279="QS Qty x Factor",E279*R279*(1+IF(V279="",0,V279))*Y279,IF(N279="Direct Qty",S279*(1+IF(V279="",0,V279))*Y279,IF(N279="Lump Sum / Quote",S279*Y279,0)))))</x:f>
      </x:c>
      <x:c r="AA279" s="81" t="str">
        <x:f>IFERROR(INDEX('Resource Rate Library'!$N$5:$N$85,MATCH(P279,'Resource Rate Library'!$A$5:$A$85,0)),"")</x:f>
      </x:c>
      <x:c r="AB279" s="53"/>
      <x:c r="AC279" s="59"/>
      <x:c r="AD279" s="81" t="str">
        <x:f>IFERROR(INDEX('Resource Rate Library'!$G$5:$G$85,MATCH(P279,'Resource Rate Library'!$A$5:$A$85,0)),"")</x:f>
      </x:c>
      <x:c r="AE279" s="81" t="str">
        <x:f>IFERROR(INDEX('Resource Rate Library'!$H$5:$H$85,MATCH(P279,'Resource Rate Library'!$A$5:$A$85,0)),"")</x:f>
      </x:c>
      <x:c r="AF279" s="53"/>
      <x:c r="AG279" s="53"/>
      <x:c r="AH279" s="53"/>
      <x:c r="AI279" s="81" t="str">
        <x:f t="shared" si="23">IF(B279="","",IF(AND(P279="",N279&lt;&gt;"Lump Sum / Quote"),"RESOURCE CODE",IF(Y279=0,"RATE MISSING",IF(AND(O279="Plant",AD279="Yes",COUNTIFS($B$7:$B$306,B279,$O$7:$O$306,"Labour",$Q$7:$Q$306,"*Operator*")&gt;0),"OPERATOR DOUBLE-COUNT",IF(AND(O279="Plant",AE279="Yes",COUNTIFS($B$7:$B$306,B279,$Q$7:$Q$306,"*Fuel*")&gt;0),"FUEL DOUBLE-COUNT",IF(AH279&lt;&gt;"Yes","VERIFY","OK"))))))</x:f>
      </x:c>
      <x:c r="AJ279" s="54"/>
      <x:c r="AK279" s="473"/>
      <x:c r="AL279" s="473"/>
      <x:c r="AM279" s="473"/>
      <x:c r="AN279" s="500" t="n">
        <x:f>IF(AND(AK279="Yes",OR(O279="Labour",O279="Plant")),Z279,0)</x:f>
        <x:v>0</x:v>
      </x:c>
    </x:row>
    <x:row r="280">
      <x:c r="A280" s="80" t="str">
        <x:f>IF(B280="","",B280&amp;"-"&amp;TEXT(COUNTIF($B$7:B280,B280),"000"))</x:f>
      </x:c>
      <x:c r="B280" s="53"/>
      <x:c r="C280" s="81" t="str">
        <x:f>IFERROR(INDEX('QS Takeoff'!$A$3:$A$194,MATCH(B280,'QS Takeoff'!$B$3:$B$194,0)),"")</x:f>
      </x:c>
      <x:c r="D280" s="81" t="str">
        <x:f>IFERROR(INDEX('QS Takeoff'!$C$3:$C$194,MATCH(B280,'QS Takeoff'!$B$3:$B$194,0)),"")</x:f>
      </x:c>
      <x:c r="E280" s="81" t="str">
        <x:f>IFERROR(INDEX('QS Takeoff'!$E$3:$E$194,MATCH(B280,'QS Takeoff'!$B$3:$B$194,0)),"")</x:f>
      </x:c>
      <x:c r="F280" s="81" t="str">
        <x:f>IFERROR(INDEX('QS Takeoff'!$D$3:$D$194,MATCH(B280,'QS Takeoff'!$B$3:$B$194,0)),"")</x:f>
      </x:c>
      <x:c r="G280" s="81" t="str">
        <x:f>IFERROR(INDEX('QS Takeoff'!$J$3:$J$194,MATCH(B280,'QS Takeoff'!$B$3:$B$194,0)),"")</x:f>
      </x:c>
      <x:c r="H280" s="53"/>
      <x:c r="I280" s="60"/>
      <x:c r="J280" s="60"/>
      <x:c r="K280" s="82" t="str">
        <x:f t="shared" si="24">IF(OR(B280="",I280="",I280=0),"",E280/I280)</x:f>
      </x:c>
      <x:c r="L280" s="60"/>
      <x:c r="M280" s="82" t="str">
        <x:f t="shared" si="25">IF(L280&gt;0,L280,K280)</x:f>
      </x:c>
      <x:c r="N280" s="53"/>
      <x:c r="O280" s="53"/>
      <x:c r="P280" s="53"/>
      <x:c r="Q280" s="81" t="str">
        <x:f>IFERROR(INDEX('Resource Rate Library'!$C$5:$C$85,MATCH(P280,'Resource Rate Library'!$A$5:$A$85,0)),"")</x:f>
      </x:c>
      <x:c r="R280" s="53"/>
      <x:c r="S280" s="53"/>
      <x:c r="T280" s="81" t="str">
        <x:f>IFERROR(INDEX('Resource Rate Library'!$E$5:$E$85,MATCH(P280,'Resource Rate Library'!$A$5:$A$85,0)),"")</x:f>
      </x:c>
      <x:c r="U280" s="62"/>
      <x:c r="V280" s="62"/>
      <x:c r="W280" s="83" t="n">
        <x:f>IFERROR(INDEX('Resource Rate Library'!$I$5:$I$85,MATCH(P280,'Resource Rate Library'!$A$5:$A$85,0)),0)</x:f>
        <x:v>0</x:v>
      </x:c>
      <x:c r="X280" s="52"/>
      <x:c r="Y280" s="83" t="n">
        <x:f t="shared" si="26">IF(X280&gt;0,X280,W280)</x:f>
        <x:v>0</x:v>
      </x:c>
      <x:c r="Z280" s="83" t="str">
        <x:f t="shared" si="27">IF(B280="","",IF(N280="Time x Count",M280*R280*IF(U280="",1,U280)*Y280,IF(N280="QS Qty x Factor",E280*R280*(1+IF(V280="",0,V280))*Y280,IF(N280="Direct Qty",S280*(1+IF(V280="",0,V280))*Y280,IF(N280="Lump Sum / Quote",S280*Y280,0)))))</x:f>
      </x:c>
      <x:c r="AA280" s="81" t="str">
        <x:f>IFERROR(INDEX('Resource Rate Library'!$N$5:$N$85,MATCH(P280,'Resource Rate Library'!$A$5:$A$85,0)),"")</x:f>
      </x:c>
      <x:c r="AB280" s="53"/>
      <x:c r="AC280" s="59"/>
      <x:c r="AD280" s="81" t="str">
        <x:f>IFERROR(INDEX('Resource Rate Library'!$G$5:$G$85,MATCH(P280,'Resource Rate Library'!$A$5:$A$85,0)),"")</x:f>
      </x:c>
      <x:c r="AE280" s="81" t="str">
        <x:f>IFERROR(INDEX('Resource Rate Library'!$H$5:$H$85,MATCH(P280,'Resource Rate Library'!$A$5:$A$85,0)),"")</x:f>
      </x:c>
      <x:c r="AF280" s="53"/>
      <x:c r="AG280" s="53"/>
      <x:c r="AH280" s="53"/>
      <x:c r="AI280" s="81" t="str">
        <x:f t="shared" si="23">IF(B280="","",IF(AND(P280="",N280&lt;&gt;"Lump Sum / Quote"),"RESOURCE CODE",IF(Y280=0,"RATE MISSING",IF(AND(O280="Plant",AD280="Yes",COUNTIFS($B$7:$B$306,B280,$O$7:$O$306,"Labour",$Q$7:$Q$306,"*Operator*")&gt;0),"OPERATOR DOUBLE-COUNT",IF(AND(O280="Plant",AE280="Yes",COUNTIFS($B$7:$B$306,B280,$Q$7:$Q$306,"*Fuel*")&gt;0),"FUEL DOUBLE-COUNT",IF(AH280&lt;&gt;"Yes","VERIFY","OK"))))))</x:f>
      </x:c>
      <x:c r="AJ280" s="54"/>
      <x:c r="AK280" s="473"/>
      <x:c r="AL280" s="473"/>
      <x:c r="AM280" s="473"/>
      <x:c r="AN280" s="500" t="n">
        <x:f>IF(AND(AK280="Yes",OR(O280="Labour",O280="Plant")),Z280,0)</x:f>
        <x:v>0</x:v>
      </x:c>
    </x:row>
    <x:row r="281">
      <x:c r="A281" s="80" t="str">
        <x:f>IF(B281="","",B281&amp;"-"&amp;TEXT(COUNTIF($B$7:B281,B281),"000"))</x:f>
      </x:c>
      <x:c r="B281" s="53"/>
      <x:c r="C281" s="81" t="str">
        <x:f>IFERROR(INDEX('QS Takeoff'!$A$3:$A$194,MATCH(B281,'QS Takeoff'!$B$3:$B$194,0)),"")</x:f>
      </x:c>
      <x:c r="D281" s="81" t="str">
        <x:f>IFERROR(INDEX('QS Takeoff'!$C$3:$C$194,MATCH(B281,'QS Takeoff'!$B$3:$B$194,0)),"")</x:f>
      </x:c>
      <x:c r="E281" s="81" t="str">
        <x:f>IFERROR(INDEX('QS Takeoff'!$E$3:$E$194,MATCH(B281,'QS Takeoff'!$B$3:$B$194,0)),"")</x:f>
      </x:c>
      <x:c r="F281" s="81" t="str">
        <x:f>IFERROR(INDEX('QS Takeoff'!$D$3:$D$194,MATCH(B281,'QS Takeoff'!$B$3:$B$194,0)),"")</x:f>
      </x:c>
      <x:c r="G281" s="81" t="str">
        <x:f>IFERROR(INDEX('QS Takeoff'!$J$3:$J$194,MATCH(B281,'QS Takeoff'!$B$3:$B$194,0)),"")</x:f>
      </x:c>
      <x:c r="H281" s="53"/>
      <x:c r="I281" s="60"/>
      <x:c r="J281" s="60"/>
      <x:c r="K281" s="82" t="str">
        <x:f t="shared" si="24">IF(OR(B281="",I281="",I281=0),"",E281/I281)</x:f>
      </x:c>
      <x:c r="L281" s="60"/>
      <x:c r="M281" s="82" t="str">
        <x:f t="shared" si="25">IF(L281&gt;0,L281,K281)</x:f>
      </x:c>
      <x:c r="N281" s="53"/>
      <x:c r="O281" s="53"/>
      <x:c r="P281" s="53"/>
      <x:c r="Q281" s="81" t="str">
        <x:f>IFERROR(INDEX('Resource Rate Library'!$C$5:$C$85,MATCH(P281,'Resource Rate Library'!$A$5:$A$85,0)),"")</x:f>
      </x:c>
      <x:c r="R281" s="53"/>
      <x:c r="S281" s="53"/>
      <x:c r="T281" s="81" t="str">
        <x:f>IFERROR(INDEX('Resource Rate Library'!$E$5:$E$85,MATCH(P281,'Resource Rate Library'!$A$5:$A$85,0)),"")</x:f>
      </x:c>
      <x:c r="U281" s="62"/>
      <x:c r="V281" s="62"/>
      <x:c r="W281" s="83" t="n">
        <x:f>IFERROR(INDEX('Resource Rate Library'!$I$5:$I$85,MATCH(P281,'Resource Rate Library'!$A$5:$A$85,0)),0)</x:f>
        <x:v>0</x:v>
      </x:c>
      <x:c r="X281" s="52"/>
      <x:c r="Y281" s="83" t="n">
        <x:f t="shared" si="26">IF(X281&gt;0,X281,W281)</x:f>
        <x:v>0</x:v>
      </x:c>
      <x:c r="Z281" s="83" t="str">
        <x:f t="shared" si="27">IF(B281="","",IF(N281="Time x Count",M281*R281*IF(U281="",1,U281)*Y281,IF(N281="QS Qty x Factor",E281*R281*(1+IF(V281="",0,V281))*Y281,IF(N281="Direct Qty",S281*(1+IF(V281="",0,V281))*Y281,IF(N281="Lump Sum / Quote",S281*Y281,0)))))</x:f>
      </x:c>
      <x:c r="AA281" s="81" t="str">
        <x:f>IFERROR(INDEX('Resource Rate Library'!$N$5:$N$85,MATCH(P281,'Resource Rate Library'!$A$5:$A$85,0)),"")</x:f>
      </x:c>
      <x:c r="AB281" s="53"/>
      <x:c r="AC281" s="59"/>
      <x:c r="AD281" s="81" t="str">
        <x:f>IFERROR(INDEX('Resource Rate Library'!$G$5:$G$85,MATCH(P281,'Resource Rate Library'!$A$5:$A$85,0)),"")</x:f>
      </x:c>
      <x:c r="AE281" s="81" t="str">
        <x:f>IFERROR(INDEX('Resource Rate Library'!$H$5:$H$85,MATCH(P281,'Resource Rate Library'!$A$5:$A$85,0)),"")</x:f>
      </x:c>
      <x:c r="AF281" s="53"/>
      <x:c r="AG281" s="53"/>
      <x:c r="AH281" s="53"/>
      <x:c r="AI281" s="81" t="str">
        <x:f t="shared" ref="AI281:AI306" si="28">IF(B281="","",IF(AND(P281="",N281&lt;&gt;"Lump Sum / Quote"),"RESOURCE CODE",IF(Y281=0,"RATE MISSING",IF(AND(O281="Plant",AD281="Yes",COUNTIFS($B$7:$B$306,B281,$O$7:$O$306,"Labour",$Q$7:$Q$306,"*Operator*")&gt;0),"OPERATOR DOUBLE-COUNT",IF(AND(O281="Plant",AE281="Yes",COUNTIFS($B$7:$B$306,B281,$Q$7:$Q$306,"*Fuel*")&gt;0),"FUEL DOUBLE-COUNT",IF(AH281&lt;&gt;"Yes","VERIFY","OK"))))))</x:f>
      </x:c>
      <x:c r="AJ281" s="54"/>
      <x:c r="AK281" s="473"/>
      <x:c r="AL281" s="473"/>
      <x:c r="AM281" s="473"/>
      <x:c r="AN281" s="500" t="n">
        <x:f>IF(AND(AK281="Yes",OR(O281="Labour",O281="Plant")),Z281,0)</x:f>
        <x:v>0</x:v>
      </x:c>
    </x:row>
    <x:row r="282">
      <x:c r="A282" s="80" t="str">
        <x:f>IF(B282="","",B282&amp;"-"&amp;TEXT(COUNTIF($B$7:B282,B282),"000"))</x:f>
      </x:c>
      <x:c r="B282" s="53"/>
      <x:c r="C282" s="81" t="str">
        <x:f>IFERROR(INDEX('QS Takeoff'!$A$3:$A$194,MATCH(B282,'QS Takeoff'!$B$3:$B$194,0)),"")</x:f>
      </x:c>
      <x:c r="D282" s="81" t="str">
        <x:f>IFERROR(INDEX('QS Takeoff'!$C$3:$C$194,MATCH(B282,'QS Takeoff'!$B$3:$B$194,0)),"")</x:f>
      </x:c>
      <x:c r="E282" s="81" t="str">
        <x:f>IFERROR(INDEX('QS Takeoff'!$E$3:$E$194,MATCH(B282,'QS Takeoff'!$B$3:$B$194,0)),"")</x:f>
      </x:c>
      <x:c r="F282" s="81" t="str">
        <x:f>IFERROR(INDEX('QS Takeoff'!$D$3:$D$194,MATCH(B282,'QS Takeoff'!$B$3:$B$194,0)),"")</x:f>
      </x:c>
      <x:c r="G282" s="81" t="str">
        <x:f>IFERROR(INDEX('QS Takeoff'!$J$3:$J$194,MATCH(B282,'QS Takeoff'!$B$3:$B$194,0)),"")</x:f>
      </x:c>
      <x:c r="H282" s="53"/>
      <x:c r="I282" s="60"/>
      <x:c r="J282" s="60"/>
      <x:c r="K282" s="82" t="str">
        <x:f t="shared" si="24">IF(OR(B282="",I282="",I282=0),"",E282/I282)</x:f>
      </x:c>
      <x:c r="L282" s="60"/>
      <x:c r="M282" s="82" t="str">
        <x:f t="shared" si="25">IF(L282&gt;0,L282,K282)</x:f>
      </x:c>
      <x:c r="N282" s="53"/>
      <x:c r="O282" s="53"/>
      <x:c r="P282" s="53"/>
      <x:c r="Q282" s="81" t="str">
        <x:f>IFERROR(INDEX('Resource Rate Library'!$C$5:$C$85,MATCH(P282,'Resource Rate Library'!$A$5:$A$85,0)),"")</x:f>
      </x:c>
      <x:c r="R282" s="53"/>
      <x:c r="S282" s="53"/>
      <x:c r="T282" s="81" t="str">
        <x:f>IFERROR(INDEX('Resource Rate Library'!$E$5:$E$85,MATCH(P282,'Resource Rate Library'!$A$5:$A$85,0)),"")</x:f>
      </x:c>
      <x:c r="U282" s="62"/>
      <x:c r="V282" s="62"/>
      <x:c r="W282" s="83" t="n">
        <x:f>IFERROR(INDEX('Resource Rate Library'!$I$5:$I$85,MATCH(P282,'Resource Rate Library'!$A$5:$A$85,0)),0)</x:f>
        <x:v>0</x:v>
      </x:c>
      <x:c r="X282" s="52"/>
      <x:c r="Y282" s="83" t="n">
        <x:f t="shared" si="26">IF(X282&gt;0,X282,W282)</x:f>
        <x:v>0</x:v>
      </x:c>
      <x:c r="Z282" s="83" t="str">
        <x:f t="shared" si="27">IF(B282="","",IF(N282="Time x Count",M282*R282*IF(U282="",1,U282)*Y282,IF(N282="QS Qty x Factor",E282*R282*(1+IF(V282="",0,V282))*Y282,IF(N282="Direct Qty",S282*(1+IF(V282="",0,V282))*Y282,IF(N282="Lump Sum / Quote",S282*Y282,0)))))</x:f>
      </x:c>
      <x:c r="AA282" s="81" t="str">
        <x:f>IFERROR(INDEX('Resource Rate Library'!$N$5:$N$85,MATCH(P282,'Resource Rate Library'!$A$5:$A$85,0)),"")</x:f>
      </x:c>
      <x:c r="AB282" s="53"/>
      <x:c r="AC282" s="59"/>
      <x:c r="AD282" s="81" t="str">
        <x:f>IFERROR(INDEX('Resource Rate Library'!$G$5:$G$85,MATCH(P282,'Resource Rate Library'!$A$5:$A$85,0)),"")</x:f>
      </x:c>
      <x:c r="AE282" s="81" t="str">
        <x:f>IFERROR(INDEX('Resource Rate Library'!$H$5:$H$85,MATCH(P282,'Resource Rate Library'!$A$5:$A$85,0)),"")</x:f>
      </x:c>
      <x:c r="AF282" s="53"/>
      <x:c r="AG282" s="53"/>
      <x:c r="AH282" s="53"/>
      <x:c r="AI282" s="81" t="str">
        <x:f t="shared" si="28">IF(B282="","",IF(AND(P282="",N282&lt;&gt;"Lump Sum / Quote"),"RESOURCE CODE",IF(Y282=0,"RATE MISSING",IF(AND(O282="Plant",AD282="Yes",COUNTIFS($B$7:$B$306,B282,$O$7:$O$306,"Labour",$Q$7:$Q$306,"*Operator*")&gt;0),"OPERATOR DOUBLE-COUNT",IF(AND(O282="Plant",AE282="Yes",COUNTIFS($B$7:$B$306,B282,$Q$7:$Q$306,"*Fuel*")&gt;0),"FUEL DOUBLE-COUNT",IF(AH282&lt;&gt;"Yes","VERIFY","OK"))))))</x:f>
      </x:c>
      <x:c r="AJ282" s="54"/>
      <x:c r="AK282" s="473"/>
      <x:c r="AL282" s="473"/>
      <x:c r="AM282" s="473"/>
      <x:c r="AN282" s="500" t="n">
        <x:f>IF(AND(AK282="Yes",OR(O282="Labour",O282="Plant")),Z282,0)</x:f>
        <x:v>0</x:v>
      </x:c>
    </x:row>
    <x:row r="283">
      <x:c r="A283" s="80" t="str">
        <x:f>IF(B283="","",B283&amp;"-"&amp;TEXT(COUNTIF($B$7:B283,B283),"000"))</x:f>
      </x:c>
      <x:c r="B283" s="53"/>
      <x:c r="C283" s="81" t="str">
        <x:f>IFERROR(INDEX('QS Takeoff'!$A$3:$A$194,MATCH(B283,'QS Takeoff'!$B$3:$B$194,0)),"")</x:f>
      </x:c>
      <x:c r="D283" s="81" t="str">
        <x:f>IFERROR(INDEX('QS Takeoff'!$C$3:$C$194,MATCH(B283,'QS Takeoff'!$B$3:$B$194,0)),"")</x:f>
      </x:c>
      <x:c r="E283" s="81" t="str">
        <x:f>IFERROR(INDEX('QS Takeoff'!$E$3:$E$194,MATCH(B283,'QS Takeoff'!$B$3:$B$194,0)),"")</x:f>
      </x:c>
      <x:c r="F283" s="81" t="str">
        <x:f>IFERROR(INDEX('QS Takeoff'!$D$3:$D$194,MATCH(B283,'QS Takeoff'!$B$3:$B$194,0)),"")</x:f>
      </x:c>
      <x:c r="G283" s="81" t="str">
        <x:f>IFERROR(INDEX('QS Takeoff'!$J$3:$J$194,MATCH(B283,'QS Takeoff'!$B$3:$B$194,0)),"")</x:f>
      </x:c>
      <x:c r="H283" s="53"/>
      <x:c r="I283" s="60"/>
      <x:c r="J283" s="60"/>
      <x:c r="K283" s="82" t="str">
        <x:f t="shared" si="24">IF(OR(B283="",I283="",I283=0),"",E283/I283)</x:f>
      </x:c>
      <x:c r="L283" s="60"/>
      <x:c r="M283" s="82" t="str">
        <x:f t="shared" si="25">IF(L283&gt;0,L283,K283)</x:f>
      </x:c>
      <x:c r="N283" s="53"/>
      <x:c r="O283" s="53"/>
      <x:c r="P283" s="53"/>
      <x:c r="Q283" s="81" t="str">
        <x:f>IFERROR(INDEX('Resource Rate Library'!$C$5:$C$85,MATCH(P283,'Resource Rate Library'!$A$5:$A$85,0)),"")</x:f>
      </x:c>
      <x:c r="R283" s="53"/>
      <x:c r="S283" s="53"/>
      <x:c r="T283" s="81" t="str">
        <x:f>IFERROR(INDEX('Resource Rate Library'!$E$5:$E$85,MATCH(P283,'Resource Rate Library'!$A$5:$A$85,0)),"")</x:f>
      </x:c>
      <x:c r="U283" s="62"/>
      <x:c r="V283" s="62"/>
      <x:c r="W283" s="83" t="n">
        <x:f>IFERROR(INDEX('Resource Rate Library'!$I$5:$I$85,MATCH(P283,'Resource Rate Library'!$A$5:$A$85,0)),0)</x:f>
        <x:v>0</x:v>
      </x:c>
      <x:c r="X283" s="52"/>
      <x:c r="Y283" s="83" t="n">
        <x:f t="shared" si="26">IF(X283&gt;0,X283,W283)</x:f>
        <x:v>0</x:v>
      </x:c>
      <x:c r="Z283" s="83" t="str">
        <x:f t="shared" si="27">IF(B283="","",IF(N283="Time x Count",M283*R283*IF(U283="",1,U283)*Y283,IF(N283="QS Qty x Factor",E283*R283*(1+IF(V283="",0,V283))*Y283,IF(N283="Direct Qty",S283*(1+IF(V283="",0,V283))*Y283,IF(N283="Lump Sum / Quote",S283*Y283,0)))))</x:f>
      </x:c>
      <x:c r="AA283" s="81" t="str">
        <x:f>IFERROR(INDEX('Resource Rate Library'!$N$5:$N$85,MATCH(P283,'Resource Rate Library'!$A$5:$A$85,0)),"")</x:f>
      </x:c>
      <x:c r="AB283" s="53"/>
      <x:c r="AC283" s="59"/>
      <x:c r="AD283" s="81" t="str">
        <x:f>IFERROR(INDEX('Resource Rate Library'!$G$5:$G$85,MATCH(P283,'Resource Rate Library'!$A$5:$A$85,0)),"")</x:f>
      </x:c>
      <x:c r="AE283" s="81" t="str">
        <x:f>IFERROR(INDEX('Resource Rate Library'!$H$5:$H$85,MATCH(P283,'Resource Rate Library'!$A$5:$A$85,0)),"")</x:f>
      </x:c>
      <x:c r="AF283" s="53"/>
      <x:c r="AG283" s="53"/>
      <x:c r="AH283" s="53"/>
      <x:c r="AI283" s="81" t="str">
        <x:f t="shared" si="28">IF(B283="","",IF(AND(P283="",N283&lt;&gt;"Lump Sum / Quote"),"RESOURCE CODE",IF(Y283=0,"RATE MISSING",IF(AND(O283="Plant",AD283="Yes",COUNTIFS($B$7:$B$306,B283,$O$7:$O$306,"Labour",$Q$7:$Q$306,"*Operator*")&gt;0),"OPERATOR DOUBLE-COUNT",IF(AND(O283="Plant",AE283="Yes",COUNTIFS($B$7:$B$306,B283,$Q$7:$Q$306,"*Fuel*")&gt;0),"FUEL DOUBLE-COUNT",IF(AH283&lt;&gt;"Yes","VERIFY","OK"))))))</x:f>
      </x:c>
      <x:c r="AJ283" s="54"/>
      <x:c r="AK283" s="473"/>
      <x:c r="AL283" s="473"/>
      <x:c r="AM283" s="473"/>
      <x:c r="AN283" s="500" t="n">
        <x:f>IF(AND(AK283="Yes",OR(O283="Labour",O283="Plant")),Z283,0)</x:f>
        <x:v>0</x:v>
      </x:c>
    </x:row>
    <x:row r="284">
      <x:c r="A284" s="80" t="str">
        <x:f>IF(B284="","",B284&amp;"-"&amp;TEXT(COUNTIF($B$7:B284,B284),"000"))</x:f>
      </x:c>
      <x:c r="B284" s="53"/>
      <x:c r="C284" s="81" t="str">
        <x:f>IFERROR(INDEX('QS Takeoff'!$A$3:$A$194,MATCH(B284,'QS Takeoff'!$B$3:$B$194,0)),"")</x:f>
      </x:c>
      <x:c r="D284" s="81" t="str">
        <x:f>IFERROR(INDEX('QS Takeoff'!$C$3:$C$194,MATCH(B284,'QS Takeoff'!$B$3:$B$194,0)),"")</x:f>
      </x:c>
      <x:c r="E284" s="81" t="str">
        <x:f>IFERROR(INDEX('QS Takeoff'!$E$3:$E$194,MATCH(B284,'QS Takeoff'!$B$3:$B$194,0)),"")</x:f>
      </x:c>
      <x:c r="F284" s="81" t="str">
        <x:f>IFERROR(INDEX('QS Takeoff'!$D$3:$D$194,MATCH(B284,'QS Takeoff'!$B$3:$B$194,0)),"")</x:f>
      </x:c>
      <x:c r="G284" s="81" t="str">
        <x:f>IFERROR(INDEX('QS Takeoff'!$J$3:$J$194,MATCH(B284,'QS Takeoff'!$B$3:$B$194,0)),"")</x:f>
      </x:c>
      <x:c r="H284" s="53"/>
      <x:c r="I284" s="60"/>
      <x:c r="J284" s="60"/>
      <x:c r="K284" s="82" t="str">
        <x:f t="shared" si="24">IF(OR(B284="",I284="",I284=0),"",E284/I284)</x:f>
      </x:c>
      <x:c r="L284" s="60"/>
      <x:c r="M284" s="82" t="str">
        <x:f t="shared" si="25">IF(L284&gt;0,L284,K284)</x:f>
      </x:c>
      <x:c r="N284" s="53"/>
      <x:c r="O284" s="53"/>
      <x:c r="P284" s="53"/>
      <x:c r="Q284" s="81" t="str">
        <x:f>IFERROR(INDEX('Resource Rate Library'!$C$5:$C$85,MATCH(P284,'Resource Rate Library'!$A$5:$A$85,0)),"")</x:f>
      </x:c>
      <x:c r="R284" s="53"/>
      <x:c r="S284" s="53"/>
      <x:c r="T284" s="81" t="str">
        <x:f>IFERROR(INDEX('Resource Rate Library'!$E$5:$E$85,MATCH(P284,'Resource Rate Library'!$A$5:$A$85,0)),"")</x:f>
      </x:c>
      <x:c r="U284" s="62"/>
      <x:c r="V284" s="62"/>
      <x:c r="W284" s="83" t="n">
        <x:f>IFERROR(INDEX('Resource Rate Library'!$I$5:$I$85,MATCH(P284,'Resource Rate Library'!$A$5:$A$85,0)),0)</x:f>
        <x:v>0</x:v>
      </x:c>
      <x:c r="X284" s="52"/>
      <x:c r="Y284" s="83" t="n">
        <x:f t="shared" si="26">IF(X284&gt;0,X284,W284)</x:f>
        <x:v>0</x:v>
      </x:c>
      <x:c r="Z284" s="83" t="str">
        <x:f t="shared" si="27">IF(B284="","",IF(N284="Time x Count",M284*R284*IF(U284="",1,U284)*Y284,IF(N284="QS Qty x Factor",E284*R284*(1+IF(V284="",0,V284))*Y284,IF(N284="Direct Qty",S284*(1+IF(V284="",0,V284))*Y284,IF(N284="Lump Sum / Quote",S284*Y284,0)))))</x:f>
      </x:c>
      <x:c r="AA284" s="81" t="str">
        <x:f>IFERROR(INDEX('Resource Rate Library'!$N$5:$N$85,MATCH(P284,'Resource Rate Library'!$A$5:$A$85,0)),"")</x:f>
      </x:c>
      <x:c r="AB284" s="53"/>
      <x:c r="AC284" s="59"/>
      <x:c r="AD284" s="81" t="str">
        <x:f>IFERROR(INDEX('Resource Rate Library'!$G$5:$G$85,MATCH(P284,'Resource Rate Library'!$A$5:$A$85,0)),"")</x:f>
      </x:c>
      <x:c r="AE284" s="81" t="str">
        <x:f>IFERROR(INDEX('Resource Rate Library'!$H$5:$H$85,MATCH(P284,'Resource Rate Library'!$A$5:$A$85,0)),"")</x:f>
      </x:c>
      <x:c r="AF284" s="53"/>
      <x:c r="AG284" s="53"/>
      <x:c r="AH284" s="53"/>
      <x:c r="AI284" s="81" t="str">
        <x:f t="shared" si="28">IF(B284="","",IF(AND(P284="",N284&lt;&gt;"Lump Sum / Quote"),"RESOURCE CODE",IF(Y284=0,"RATE MISSING",IF(AND(O284="Plant",AD284="Yes",COUNTIFS($B$7:$B$306,B284,$O$7:$O$306,"Labour",$Q$7:$Q$306,"*Operator*")&gt;0),"OPERATOR DOUBLE-COUNT",IF(AND(O284="Plant",AE284="Yes",COUNTIFS($B$7:$B$306,B284,$Q$7:$Q$306,"*Fuel*")&gt;0),"FUEL DOUBLE-COUNT",IF(AH284&lt;&gt;"Yes","VERIFY","OK"))))))</x:f>
      </x:c>
      <x:c r="AJ284" s="54"/>
      <x:c r="AK284" s="473"/>
      <x:c r="AL284" s="473"/>
      <x:c r="AM284" s="473"/>
      <x:c r="AN284" s="500" t="n">
        <x:f>IF(AND(AK284="Yes",OR(O284="Labour",O284="Plant")),Z284,0)</x:f>
        <x:v>0</x:v>
      </x:c>
    </x:row>
    <x:row r="285">
      <x:c r="A285" s="80" t="str">
        <x:f>IF(B285="","",B285&amp;"-"&amp;TEXT(COUNTIF($B$7:B285,B285),"000"))</x:f>
      </x:c>
      <x:c r="B285" s="53"/>
      <x:c r="C285" s="81" t="str">
        <x:f>IFERROR(INDEX('QS Takeoff'!$A$3:$A$194,MATCH(B285,'QS Takeoff'!$B$3:$B$194,0)),"")</x:f>
      </x:c>
      <x:c r="D285" s="81" t="str">
        <x:f>IFERROR(INDEX('QS Takeoff'!$C$3:$C$194,MATCH(B285,'QS Takeoff'!$B$3:$B$194,0)),"")</x:f>
      </x:c>
      <x:c r="E285" s="81" t="str">
        <x:f>IFERROR(INDEX('QS Takeoff'!$E$3:$E$194,MATCH(B285,'QS Takeoff'!$B$3:$B$194,0)),"")</x:f>
      </x:c>
      <x:c r="F285" s="81" t="str">
        <x:f>IFERROR(INDEX('QS Takeoff'!$D$3:$D$194,MATCH(B285,'QS Takeoff'!$B$3:$B$194,0)),"")</x:f>
      </x:c>
      <x:c r="G285" s="81" t="str">
        <x:f>IFERROR(INDEX('QS Takeoff'!$J$3:$J$194,MATCH(B285,'QS Takeoff'!$B$3:$B$194,0)),"")</x:f>
      </x:c>
      <x:c r="H285" s="53"/>
      <x:c r="I285" s="60"/>
      <x:c r="J285" s="60"/>
      <x:c r="K285" s="82" t="str">
        <x:f t="shared" si="24">IF(OR(B285="",I285="",I285=0),"",E285/I285)</x:f>
      </x:c>
      <x:c r="L285" s="60"/>
      <x:c r="M285" s="82" t="str">
        <x:f t="shared" si="25">IF(L285&gt;0,L285,K285)</x:f>
      </x:c>
      <x:c r="N285" s="53"/>
      <x:c r="O285" s="53"/>
      <x:c r="P285" s="53"/>
      <x:c r="Q285" s="81" t="str">
        <x:f>IFERROR(INDEX('Resource Rate Library'!$C$5:$C$85,MATCH(P285,'Resource Rate Library'!$A$5:$A$85,0)),"")</x:f>
      </x:c>
      <x:c r="R285" s="53"/>
      <x:c r="S285" s="53"/>
      <x:c r="T285" s="81" t="str">
        <x:f>IFERROR(INDEX('Resource Rate Library'!$E$5:$E$85,MATCH(P285,'Resource Rate Library'!$A$5:$A$85,0)),"")</x:f>
      </x:c>
      <x:c r="U285" s="62"/>
      <x:c r="V285" s="62"/>
      <x:c r="W285" s="83" t="n">
        <x:f>IFERROR(INDEX('Resource Rate Library'!$I$5:$I$85,MATCH(P285,'Resource Rate Library'!$A$5:$A$85,0)),0)</x:f>
        <x:v>0</x:v>
      </x:c>
      <x:c r="X285" s="52"/>
      <x:c r="Y285" s="83" t="n">
        <x:f t="shared" si="26">IF(X285&gt;0,X285,W285)</x:f>
        <x:v>0</x:v>
      </x:c>
      <x:c r="Z285" s="83" t="str">
        <x:f t="shared" si="27">IF(B285="","",IF(N285="Time x Count",M285*R285*IF(U285="",1,U285)*Y285,IF(N285="QS Qty x Factor",E285*R285*(1+IF(V285="",0,V285))*Y285,IF(N285="Direct Qty",S285*(1+IF(V285="",0,V285))*Y285,IF(N285="Lump Sum / Quote",S285*Y285,0)))))</x:f>
      </x:c>
      <x:c r="AA285" s="81" t="str">
        <x:f>IFERROR(INDEX('Resource Rate Library'!$N$5:$N$85,MATCH(P285,'Resource Rate Library'!$A$5:$A$85,0)),"")</x:f>
      </x:c>
      <x:c r="AB285" s="53"/>
      <x:c r="AC285" s="59"/>
      <x:c r="AD285" s="81" t="str">
        <x:f>IFERROR(INDEX('Resource Rate Library'!$G$5:$G$85,MATCH(P285,'Resource Rate Library'!$A$5:$A$85,0)),"")</x:f>
      </x:c>
      <x:c r="AE285" s="81" t="str">
        <x:f>IFERROR(INDEX('Resource Rate Library'!$H$5:$H$85,MATCH(P285,'Resource Rate Library'!$A$5:$A$85,0)),"")</x:f>
      </x:c>
      <x:c r="AF285" s="53"/>
      <x:c r="AG285" s="53"/>
      <x:c r="AH285" s="53"/>
      <x:c r="AI285" s="81" t="str">
        <x:f t="shared" si="28">IF(B285="","",IF(AND(P285="",N285&lt;&gt;"Lump Sum / Quote"),"RESOURCE CODE",IF(Y285=0,"RATE MISSING",IF(AND(O285="Plant",AD285="Yes",COUNTIFS($B$7:$B$306,B285,$O$7:$O$306,"Labour",$Q$7:$Q$306,"*Operator*")&gt;0),"OPERATOR DOUBLE-COUNT",IF(AND(O285="Plant",AE285="Yes",COUNTIFS($B$7:$B$306,B285,$Q$7:$Q$306,"*Fuel*")&gt;0),"FUEL DOUBLE-COUNT",IF(AH285&lt;&gt;"Yes","VERIFY","OK"))))))</x:f>
      </x:c>
      <x:c r="AJ285" s="54"/>
      <x:c r="AK285" s="473"/>
      <x:c r="AL285" s="473"/>
      <x:c r="AM285" s="473"/>
      <x:c r="AN285" s="500" t="n">
        <x:f>IF(AND(AK285="Yes",OR(O285="Labour",O285="Plant")),Z285,0)</x:f>
        <x:v>0</x:v>
      </x:c>
    </x:row>
    <x:row r="286">
      <x:c r="A286" s="80" t="str">
        <x:f>IF(B286="","",B286&amp;"-"&amp;TEXT(COUNTIF($B$7:B286,B286),"000"))</x:f>
      </x:c>
      <x:c r="B286" s="53"/>
      <x:c r="C286" s="81" t="str">
        <x:f>IFERROR(INDEX('QS Takeoff'!$A$3:$A$194,MATCH(B286,'QS Takeoff'!$B$3:$B$194,0)),"")</x:f>
      </x:c>
      <x:c r="D286" s="81" t="str">
        <x:f>IFERROR(INDEX('QS Takeoff'!$C$3:$C$194,MATCH(B286,'QS Takeoff'!$B$3:$B$194,0)),"")</x:f>
      </x:c>
      <x:c r="E286" s="81" t="str">
        <x:f>IFERROR(INDEX('QS Takeoff'!$E$3:$E$194,MATCH(B286,'QS Takeoff'!$B$3:$B$194,0)),"")</x:f>
      </x:c>
      <x:c r="F286" s="81" t="str">
        <x:f>IFERROR(INDEX('QS Takeoff'!$D$3:$D$194,MATCH(B286,'QS Takeoff'!$B$3:$B$194,0)),"")</x:f>
      </x:c>
      <x:c r="G286" s="81" t="str">
        <x:f>IFERROR(INDEX('QS Takeoff'!$J$3:$J$194,MATCH(B286,'QS Takeoff'!$B$3:$B$194,0)),"")</x:f>
      </x:c>
      <x:c r="H286" s="53"/>
      <x:c r="I286" s="60"/>
      <x:c r="J286" s="60"/>
      <x:c r="K286" s="82" t="str">
        <x:f t="shared" si="24">IF(OR(B286="",I286="",I286=0),"",E286/I286)</x:f>
      </x:c>
      <x:c r="L286" s="60"/>
      <x:c r="M286" s="82" t="str">
        <x:f t="shared" si="25">IF(L286&gt;0,L286,K286)</x:f>
      </x:c>
      <x:c r="N286" s="53"/>
      <x:c r="O286" s="53"/>
      <x:c r="P286" s="53"/>
      <x:c r="Q286" s="81" t="str">
        <x:f>IFERROR(INDEX('Resource Rate Library'!$C$5:$C$85,MATCH(P286,'Resource Rate Library'!$A$5:$A$85,0)),"")</x:f>
      </x:c>
      <x:c r="R286" s="53"/>
      <x:c r="S286" s="53"/>
      <x:c r="T286" s="81" t="str">
        <x:f>IFERROR(INDEX('Resource Rate Library'!$E$5:$E$85,MATCH(P286,'Resource Rate Library'!$A$5:$A$85,0)),"")</x:f>
      </x:c>
      <x:c r="U286" s="62"/>
      <x:c r="V286" s="62"/>
      <x:c r="W286" s="83" t="n">
        <x:f>IFERROR(INDEX('Resource Rate Library'!$I$5:$I$85,MATCH(P286,'Resource Rate Library'!$A$5:$A$85,0)),0)</x:f>
        <x:v>0</x:v>
      </x:c>
      <x:c r="X286" s="52"/>
      <x:c r="Y286" s="83" t="n">
        <x:f t="shared" si="26">IF(X286&gt;0,X286,W286)</x:f>
        <x:v>0</x:v>
      </x:c>
      <x:c r="Z286" s="83" t="str">
        <x:f t="shared" si="27">IF(B286="","",IF(N286="Time x Count",M286*R286*IF(U286="",1,U286)*Y286,IF(N286="QS Qty x Factor",E286*R286*(1+IF(V286="",0,V286))*Y286,IF(N286="Direct Qty",S286*(1+IF(V286="",0,V286))*Y286,IF(N286="Lump Sum / Quote",S286*Y286,0)))))</x:f>
      </x:c>
      <x:c r="AA286" s="81" t="str">
        <x:f>IFERROR(INDEX('Resource Rate Library'!$N$5:$N$85,MATCH(P286,'Resource Rate Library'!$A$5:$A$85,0)),"")</x:f>
      </x:c>
      <x:c r="AB286" s="53"/>
      <x:c r="AC286" s="59"/>
      <x:c r="AD286" s="81" t="str">
        <x:f>IFERROR(INDEX('Resource Rate Library'!$G$5:$G$85,MATCH(P286,'Resource Rate Library'!$A$5:$A$85,0)),"")</x:f>
      </x:c>
      <x:c r="AE286" s="81" t="str">
        <x:f>IFERROR(INDEX('Resource Rate Library'!$H$5:$H$85,MATCH(P286,'Resource Rate Library'!$A$5:$A$85,0)),"")</x:f>
      </x:c>
      <x:c r="AF286" s="53"/>
      <x:c r="AG286" s="53"/>
      <x:c r="AH286" s="53"/>
      <x:c r="AI286" s="81" t="str">
        <x:f t="shared" si="28">IF(B286="","",IF(AND(P286="",N286&lt;&gt;"Lump Sum / Quote"),"RESOURCE CODE",IF(Y286=0,"RATE MISSING",IF(AND(O286="Plant",AD286="Yes",COUNTIFS($B$7:$B$306,B286,$O$7:$O$306,"Labour",$Q$7:$Q$306,"*Operator*")&gt;0),"OPERATOR DOUBLE-COUNT",IF(AND(O286="Plant",AE286="Yes",COUNTIFS($B$7:$B$306,B286,$Q$7:$Q$306,"*Fuel*")&gt;0),"FUEL DOUBLE-COUNT",IF(AH286&lt;&gt;"Yes","VERIFY","OK"))))))</x:f>
      </x:c>
      <x:c r="AJ286" s="54"/>
      <x:c r="AK286" s="473"/>
      <x:c r="AL286" s="473"/>
      <x:c r="AM286" s="473"/>
      <x:c r="AN286" s="500" t="n">
        <x:f>IF(AND(AK286="Yes",OR(O286="Labour",O286="Plant")),Z286,0)</x:f>
        <x:v>0</x:v>
      </x:c>
    </x:row>
    <x:row r="287">
      <x:c r="A287" s="80" t="str">
        <x:f>IF(B287="","",B287&amp;"-"&amp;TEXT(COUNTIF($B$7:B287,B287),"000"))</x:f>
      </x:c>
      <x:c r="B287" s="53"/>
      <x:c r="C287" s="81" t="str">
        <x:f>IFERROR(INDEX('QS Takeoff'!$A$3:$A$194,MATCH(B287,'QS Takeoff'!$B$3:$B$194,0)),"")</x:f>
      </x:c>
      <x:c r="D287" s="81" t="str">
        <x:f>IFERROR(INDEX('QS Takeoff'!$C$3:$C$194,MATCH(B287,'QS Takeoff'!$B$3:$B$194,0)),"")</x:f>
      </x:c>
      <x:c r="E287" s="81" t="str">
        <x:f>IFERROR(INDEX('QS Takeoff'!$E$3:$E$194,MATCH(B287,'QS Takeoff'!$B$3:$B$194,0)),"")</x:f>
      </x:c>
      <x:c r="F287" s="81" t="str">
        <x:f>IFERROR(INDEX('QS Takeoff'!$D$3:$D$194,MATCH(B287,'QS Takeoff'!$B$3:$B$194,0)),"")</x:f>
      </x:c>
      <x:c r="G287" s="81" t="str">
        <x:f>IFERROR(INDEX('QS Takeoff'!$J$3:$J$194,MATCH(B287,'QS Takeoff'!$B$3:$B$194,0)),"")</x:f>
      </x:c>
      <x:c r="H287" s="53"/>
      <x:c r="I287" s="60"/>
      <x:c r="J287" s="60"/>
      <x:c r="K287" s="82" t="str">
        <x:f t="shared" si="24">IF(OR(B287="",I287="",I287=0),"",E287/I287)</x:f>
      </x:c>
      <x:c r="L287" s="60"/>
      <x:c r="M287" s="82" t="str">
        <x:f t="shared" si="25">IF(L287&gt;0,L287,K287)</x:f>
      </x:c>
      <x:c r="N287" s="53"/>
      <x:c r="O287" s="53"/>
      <x:c r="P287" s="53"/>
      <x:c r="Q287" s="81" t="str">
        <x:f>IFERROR(INDEX('Resource Rate Library'!$C$5:$C$85,MATCH(P287,'Resource Rate Library'!$A$5:$A$85,0)),"")</x:f>
      </x:c>
      <x:c r="R287" s="53"/>
      <x:c r="S287" s="53"/>
      <x:c r="T287" s="81" t="str">
        <x:f>IFERROR(INDEX('Resource Rate Library'!$E$5:$E$85,MATCH(P287,'Resource Rate Library'!$A$5:$A$85,0)),"")</x:f>
      </x:c>
      <x:c r="U287" s="62"/>
      <x:c r="V287" s="62"/>
      <x:c r="W287" s="83" t="n">
        <x:f>IFERROR(INDEX('Resource Rate Library'!$I$5:$I$85,MATCH(P287,'Resource Rate Library'!$A$5:$A$85,0)),0)</x:f>
        <x:v>0</x:v>
      </x:c>
      <x:c r="X287" s="52"/>
      <x:c r="Y287" s="83" t="n">
        <x:f t="shared" si="26">IF(X287&gt;0,X287,W287)</x:f>
        <x:v>0</x:v>
      </x:c>
      <x:c r="Z287" s="83" t="str">
        <x:f t="shared" si="27">IF(B287="","",IF(N287="Time x Count",M287*R287*IF(U287="",1,U287)*Y287,IF(N287="QS Qty x Factor",E287*R287*(1+IF(V287="",0,V287))*Y287,IF(N287="Direct Qty",S287*(1+IF(V287="",0,V287))*Y287,IF(N287="Lump Sum / Quote",S287*Y287,0)))))</x:f>
      </x:c>
      <x:c r="AA287" s="81" t="str">
        <x:f>IFERROR(INDEX('Resource Rate Library'!$N$5:$N$85,MATCH(P287,'Resource Rate Library'!$A$5:$A$85,0)),"")</x:f>
      </x:c>
      <x:c r="AB287" s="53"/>
      <x:c r="AC287" s="59"/>
      <x:c r="AD287" s="81" t="str">
        <x:f>IFERROR(INDEX('Resource Rate Library'!$G$5:$G$85,MATCH(P287,'Resource Rate Library'!$A$5:$A$85,0)),"")</x:f>
      </x:c>
      <x:c r="AE287" s="81" t="str">
        <x:f>IFERROR(INDEX('Resource Rate Library'!$H$5:$H$85,MATCH(P287,'Resource Rate Library'!$A$5:$A$85,0)),"")</x:f>
      </x:c>
      <x:c r="AF287" s="53"/>
      <x:c r="AG287" s="53"/>
      <x:c r="AH287" s="53"/>
      <x:c r="AI287" s="81" t="str">
        <x:f t="shared" si="28">IF(B287="","",IF(AND(P287="",N287&lt;&gt;"Lump Sum / Quote"),"RESOURCE CODE",IF(Y287=0,"RATE MISSING",IF(AND(O287="Plant",AD287="Yes",COUNTIFS($B$7:$B$306,B287,$O$7:$O$306,"Labour",$Q$7:$Q$306,"*Operator*")&gt;0),"OPERATOR DOUBLE-COUNT",IF(AND(O287="Plant",AE287="Yes",COUNTIFS($B$7:$B$306,B287,$Q$7:$Q$306,"*Fuel*")&gt;0),"FUEL DOUBLE-COUNT",IF(AH287&lt;&gt;"Yes","VERIFY","OK"))))))</x:f>
      </x:c>
      <x:c r="AJ287" s="54"/>
      <x:c r="AK287" s="473"/>
      <x:c r="AL287" s="473"/>
      <x:c r="AM287" s="473"/>
      <x:c r="AN287" s="500" t="n">
        <x:f>IF(AND(AK287="Yes",OR(O287="Labour",O287="Plant")),Z287,0)</x:f>
        <x:v>0</x:v>
      </x:c>
    </x:row>
    <x:row r="288">
      <x:c r="A288" s="80" t="str">
        <x:f>IF(B288="","",B288&amp;"-"&amp;TEXT(COUNTIF($B$7:B288,B288),"000"))</x:f>
      </x:c>
      <x:c r="B288" s="53"/>
      <x:c r="C288" s="81" t="str">
        <x:f>IFERROR(INDEX('QS Takeoff'!$A$3:$A$194,MATCH(B288,'QS Takeoff'!$B$3:$B$194,0)),"")</x:f>
      </x:c>
      <x:c r="D288" s="81" t="str">
        <x:f>IFERROR(INDEX('QS Takeoff'!$C$3:$C$194,MATCH(B288,'QS Takeoff'!$B$3:$B$194,0)),"")</x:f>
      </x:c>
      <x:c r="E288" s="81" t="str">
        <x:f>IFERROR(INDEX('QS Takeoff'!$E$3:$E$194,MATCH(B288,'QS Takeoff'!$B$3:$B$194,0)),"")</x:f>
      </x:c>
      <x:c r="F288" s="81" t="str">
        <x:f>IFERROR(INDEX('QS Takeoff'!$D$3:$D$194,MATCH(B288,'QS Takeoff'!$B$3:$B$194,0)),"")</x:f>
      </x:c>
      <x:c r="G288" s="81" t="str">
        <x:f>IFERROR(INDEX('QS Takeoff'!$J$3:$J$194,MATCH(B288,'QS Takeoff'!$B$3:$B$194,0)),"")</x:f>
      </x:c>
      <x:c r="H288" s="53"/>
      <x:c r="I288" s="60"/>
      <x:c r="J288" s="60"/>
      <x:c r="K288" s="82" t="str">
        <x:f t="shared" si="24">IF(OR(B288="",I288="",I288=0),"",E288/I288)</x:f>
      </x:c>
      <x:c r="L288" s="60"/>
      <x:c r="M288" s="82" t="str">
        <x:f t="shared" si="25">IF(L288&gt;0,L288,K288)</x:f>
      </x:c>
      <x:c r="N288" s="53"/>
      <x:c r="O288" s="53"/>
      <x:c r="P288" s="53"/>
      <x:c r="Q288" s="81" t="str">
        <x:f>IFERROR(INDEX('Resource Rate Library'!$C$5:$C$85,MATCH(P288,'Resource Rate Library'!$A$5:$A$85,0)),"")</x:f>
      </x:c>
      <x:c r="R288" s="53"/>
      <x:c r="S288" s="53"/>
      <x:c r="T288" s="81" t="str">
        <x:f>IFERROR(INDEX('Resource Rate Library'!$E$5:$E$85,MATCH(P288,'Resource Rate Library'!$A$5:$A$85,0)),"")</x:f>
      </x:c>
      <x:c r="U288" s="62"/>
      <x:c r="V288" s="62"/>
      <x:c r="W288" s="83" t="n">
        <x:f>IFERROR(INDEX('Resource Rate Library'!$I$5:$I$85,MATCH(P288,'Resource Rate Library'!$A$5:$A$85,0)),0)</x:f>
        <x:v>0</x:v>
      </x:c>
      <x:c r="X288" s="52"/>
      <x:c r="Y288" s="83" t="n">
        <x:f t="shared" si="26">IF(X288&gt;0,X288,W288)</x:f>
        <x:v>0</x:v>
      </x:c>
      <x:c r="Z288" s="83" t="str">
        <x:f t="shared" si="27">IF(B288="","",IF(N288="Time x Count",M288*R288*IF(U288="",1,U288)*Y288,IF(N288="QS Qty x Factor",E288*R288*(1+IF(V288="",0,V288))*Y288,IF(N288="Direct Qty",S288*(1+IF(V288="",0,V288))*Y288,IF(N288="Lump Sum / Quote",S288*Y288,0)))))</x:f>
      </x:c>
      <x:c r="AA288" s="81" t="str">
        <x:f>IFERROR(INDEX('Resource Rate Library'!$N$5:$N$85,MATCH(P288,'Resource Rate Library'!$A$5:$A$85,0)),"")</x:f>
      </x:c>
      <x:c r="AB288" s="53"/>
      <x:c r="AC288" s="59"/>
      <x:c r="AD288" s="81" t="str">
        <x:f>IFERROR(INDEX('Resource Rate Library'!$G$5:$G$85,MATCH(P288,'Resource Rate Library'!$A$5:$A$85,0)),"")</x:f>
      </x:c>
      <x:c r="AE288" s="81" t="str">
        <x:f>IFERROR(INDEX('Resource Rate Library'!$H$5:$H$85,MATCH(P288,'Resource Rate Library'!$A$5:$A$85,0)),"")</x:f>
      </x:c>
      <x:c r="AF288" s="53"/>
      <x:c r="AG288" s="53"/>
      <x:c r="AH288" s="53"/>
      <x:c r="AI288" s="81" t="str">
        <x:f t="shared" si="28">IF(B288="","",IF(AND(P288="",N288&lt;&gt;"Lump Sum / Quote"),"RESOURCE CODE",IF(Y288=0,"RATE MISSING",IF(AND(O288="Plant",AD288="Yes",COUNTIFS($B$7:$B$306,B288,$O$7:$O$306,"Labour",$Q$7:$Q$306,"*Operator*")&gt;0),"OPERATOR DOUBLE-COUNT",IF(AND(O288="Plant",AE288="Yes",COUNTIFS($B$7:$B$306,B288,$Q$7:$Q$306,"*Fuel*")&gt;0),"FUEL DOUBLE-COUNT",IF(AH288&lt;&gt;"Yes","VERIFY","OK"))))))</x:f>
      </x:c>
      <x:c r="AJ288" s="54"/>
      <x:c r="AK288" s="473"/>
      <x:c r="AL288" s="473"/>
      <x:c r="AM288" s="473"/>
      <x:c r="AN288" s="500" t="n">
        <x:f>IF(AND(AK288="Yes",OR(O288="Labour",O288="Plant")),Z288,0)</x:f>
        <x:v>0</x:v>
      </x:c>
    </x:row>
    <x:row r="289">
      <x:c r="A289" s="80" t="str">
        <x:f>IF(B289="","",B289&amp;"-"&amp;TEXT(COUNTIF($B$7:B289,B289),"000"))</x:f>
      </x:c>
      <x:c r="B289" s="53"/>
      <x:c r="C289" s="81" t="str">
        <x:f>IFERROR(INDEX('QS Takeoff'!$A$3:$A$194,MATCH(B289,'QS Takeoff'!$B$3:$B$194,0)),"")</x:f>
      </x:c>
      <x:c r="D289" s="81" t="str">
        <x:f>IFERROR(INDEX('QS Takeoff'!$C$3:$C$194,MATCH(B289,'QS Takeoff'!$B$3:$B$194,0)),"")</x:f>
      </x:c>
      <x:c r="E289" s="81" t="str">
        <x:f>IFERROR(INDEX('QS Takeoff'!$E$3:$E$194,MATCH(B289,'QS Takeoff'!$B$3:$B$194,0)),"")</x:f>
      </x:c>
      <x:c r="F289" s="81" t="str">
        <x:f>IFERROR(INDEX('QS Takeoff'!$D$3:$D$194,MATCH(B289,'QS Takeoff'!$B$3:$B$194,0)),"")</x:f>
      </x:c>
      <x:c r="G289" s="81" t="str">
        <x:f>IFERROR(INDEX('QS Takeoff'!$J$3:$J$194,MATCH(B289,'QS Takeoff'!$B$3:$B$194,0)),"")</x:f>
      </x:c>
      <x:c r="H289" s="53"/>
      <x:c r="I289" s="60"/>
      <x:c r="J289" s="60"/>
      <x:c r="K289" s="82" t="str">
        <x:f t="shared" si="24">IF(OR(B289="",I289="",I289=0),"",E289/I289)</x:f>
      </x:c>
      <x:c r="L289" s="60"/>
      <x:c r="M289" s="82" t="str">
        <x:f t="shared" si="25">IF(L289&gt;0,L289,K289)</x:f>
      </x:c>
      <x:c r="N289" s="53"/>
      <x:c r="O289" s="53"/>
      <x:c r="P289" s="53"/>
      <x:c r="Q289" s="81" t="str">
        <x:f>IFERROR(INDEX('Resource Rate Library'!$C$5:$C$85,MATCH(P289,'Resource Rate Library'!$A$5:$A$85,0)),"")</x:f>
      </x:c>
      <x:c r="R289" s="53"/>
      <x:c r="S289" s="53"/>
      <x:c r="T289" s="81" t="str">
        <x:f>IFERROR(INDEX('Resource Rate Library'!$E$5:$E$85,MATCH(P289,'Resource Rate Library'!$A$5:$A$85,0)),"")</x:f>
      </x:c>
      <x:c r="U289" s="62"/>
      <x:c r="V289" s="62"/>
      <x:c r="W289" s="83" t="n">
        <x:f>IFERROR(INDEX('Resource Rate Library'!$I$5:$I$85,MATCH(P289,'Resource Rate Library'!$A$5:$A$85,0)),0)</x:f>
        <x:v>0</x:v>
      </x:c>
      <x:c r="X289" s="52"/>
      <x:c r="Y289" s="83" t="n">
        <x:f t="shared" si="26">IF(X289&gt;0,X289,W289)</x:f>
        <x:v>0</x:v>
      </x:c>
      <x:c r="Z289" s="83" t="str">
        <x:f t="shared" si="27">IF(B289="","",IF(N289="Time x Count",M289*R289*IF(U289="",1,U289)*Y289,IF(N289="QS Qty x Factor",E289*R289*(1+IF(V289="",0,V289))*Y289,IF(N289="Direct Qty",S289*(1+IF(V289="",0,V289))*Y289,IF(N289="Lump Sum / Quote",S289*Y289,0)))))</x:f>
      </x:c>
      <x:c r="AA289" s="81" t="str">
        <x:f>IFERROR(INDEX('Resource Rate Library'!$N$5:$N$85,MATCH(P289,'Resource Rate Library'!$A$5:$A$85,0)),"")</x:f>
      </x:c>
      <x:c r="AB289" s="53"/>
      <x:c r="AC289" s="59"/>
      <x:c r="AD289" s="81" t="str">
        <x:f>IFERROR(INDEX('Resource Rate Library'!$G$5:$G$85,MATCH(P289,'Resource Rate Library'!$A$5:$A$85,0)),"")</x:f>
      </x:c>
      <x:c r="AE289" s="81" t="str">
        <x:f>IFERROR(INDEX('Resource Rate Library'!$H$5:$H$85,MATCH(P289,'Resource Rate Library'!$A$5:$A$85,0)),"")</x:f>
      </x:c>
      <x:c r="AF289" s="53"/>
      <x:c r="AG289" s="53"/>
      <x:c r="AH289" s="53"/>
      <x:c r="AI289" s="81" t="str">
        <x:f t="shared" si="28">IF(B289="","",IF(AND(P289="",N289&lt;&gt;"Lump Sum / Quote"),"RESOURCE CODE",IF(Y289=0,"RATE MISSING",IF(AND(O289="Plant",AD289="Yes",COUNTIFS($B$7:$B$306,B289,$O$7:$O$306,"Labour",$Q$7:$Q$306,"*Operator*")&gt;0),"OPERATOR DOUBLE-COUNT",IF(AND(O289="Plant",AE289="Yes",COUNTIFS($B$7:$B$306,B289,$Q$7:$Q$306,"*Fuel*")&gt;0),"FUEL DOUBLE-COUNT",IF(AH289&lt;&gt;"Yes","VERIFY","OK"))))))</x:f>
      </x:c>
      <x:c r="AJ289" s="54"/>
      <x:c r="AK289" s="473"/>
      <x:c r="AL289" s="473"/>
      <x:c r="AM289" s="473"/>
      <x:c r="AN289" s="500" t="n">
        <x:f>IF(AND(AK289="Yes",OR(O289="Labour",O289="Plant")),Z289,0)</x:f>
        <x:v>0</x:v>
      </x:c>
    </x:row>
    <x:row r="290">
      <x:c r="A290" s="80" t="str">
        <x:f>IF(B290="","",B290&amp;"-"&amp;TEXT(COUNTIF($B$7:B290,B290),"000"))</x:f>
      </x:c>
      <x:c r="B290" s="53"/>
      <x:c r="C290" s="81" t="str">
        <x:f>IFERROR(INDEX('QS Takeoff'!$A$3:$A$194,MATCH(B290,'QS Takeoff'!$B$3:$B$194,0)),"")</x:f>
      </x:c>
      <x:c r="D290" s="81" t="str">
        <x:f>IFERROR(INDEX('QS Takeoff'!$C$3:$C$194,MATCH(B290,'QS Takeoff'!$B$3:$B$194,0)),"")</x:f>
      </x:c>
      <x:c r="E290" s="81" t="str">
        <x:f>IFERROR(INDEX('QS Takeoff'!$E$3:$E$194,MATCH(B290,'QS Takeoff'!$B$3:$B$194,0)),"")</x:f>
      </x:c>
      <x:c r="F290" s="81" t="str">
        <x:f>IFERROR(INDEX('QS Takeoff'!$D$3:$D$194,MATCH(B290,'QS Takeoff'!$B$3:$B$194,0)),"")</x:f>
      </x:c>
      <x:c r="G290" s="81" t="str">
        <x:f>IFERROR(INDEX('QS Takeoff'!$J$3:$J$194,MATCH(B290,'QS Takeoff'!$B$3:$B$194,0)),"")</x:f>
      </x:c>
      <x:c r="H290" s="53"/>
      <x:c r="I290" s="60"/>
      <x:c r="J290" s="60"/>
      <x:c r="K290" s="82" t="str">
        <x:f t="shared" si="24">IF(OR(B290="",I290="",I290=0),"",E290/I290)</x:f>
      </x:c>
      <x:c r="L290" s="60"/>
      <x:c r="M290" s="82" t="str">
        <x:f t="shared" si="25">IF(L290&gt;0,L290,K290)</x:f>
      </x:c>
      <x:c r="N290" s="53"/>
      <x:c r="O290" s="53"/>
      <x:c r="P290" s="53"/>
      <x:c r="Q290" s="81" t="str">
        <x:f>IFERROR(INDEX('Resource Rate Library'!$C$5:$C$85,MATCH(P290,'Resource Rate Library'!$A$5:$A$85,0)),"")</x:f>
      </x:c>
      <x:c r="R290" s="53"/>
      <x:c r="S290" s="53"/>
      <x:c r="T290" s="81" t="str">
        <x:f>IFERROR(INDEX('Resource Rate Library'!$E$5:$E$85,MATCH(P290,'Resource Rate Library'!$A$5:$A$85,0)),"")</x:f>
      </x:c>
      <x:c r="U290" s="62"/>
      <x:c r="V290" s="62"/>
      <x:c r="W290" s="83" t="n">
        <x:f>IFERROR(INDEX('Resource Rate Library'!$I$5:$I$85,MATCH(P290,'Resource Rate Library'!$A$5:$A$85,0)),0)</x:f>
        <x:v>0</x:v>
      </x:c>
      <x:c r="X290" s="52"/>
      <x:c r="Y290" s="83" t="n">
        <x:f t="shared" si="26">IF(X290&gt;0,X290,W290)</x:f>
        <x:v>0</x:v>
      </x:c>
      <x:c r="Z290" s="83" t="str">
        <x:f t="shared" si="27">IF(B290="","",IF(N290="Time x Count",M290*R290*IF(U290="",1,U290)*Y290,IF(N290="QS Qty x Factor",E290*R290*(1+IF(V290="",0,V290))*Y290,IF(N290="Direct Qty",S290*(1+IF(V290="",0,V290))*Y290,IF(N290="Lump Sum / Quote",S290*Y290,0)))))</x:f>
      </x:c>
      <x:c r="AA290" s="81" t="str">
        <x:f>IFERROR(INDEX('Resource Rate Library'!$N$5:$N$85,MATCH(P290,'Resource Rate Library'!$A$5:$A$85,0)),"")</x:f>
      </x:c>
      <x:c r="AB290" s="53"/>
      <x:c r="AC290" s="59"/>
      <x:c r="AD290" s="81" t="str">
        <x:f>IFERROR(INDEX('Resource Rate Library'!$G$5:$G$85,MATCH(P290,'Resource Rate Library'!$A$5:$A$85,0)),"")</x:f>
      </x:c>
      <x:c r="AE290" s="81" t="str">
        <x:f>IFERROR(INDEX('Resource Rate Library'!$H$5:$H$85,MATCH(P290,'Resource Rate Library'!$A$5:$A$85,0)),"")</x:f>
      </x:c>
      <x:c r="AF290" s="53"/>
      <x:c r="AG290" s="53"/>
      <x:c r="AH290" s="53"/>
      <x:c r="AI290" s="81" t="str">
        <x:f t="shared" si="28">IF(B290="","",IF(AND(P290="",N290&lt;&gt;"Lump Sum / Quote"),"RESOURCE CODE",IF(Y290=0,"RATE MISSING",IF(AND(O290="Plant",AD290="Yes",COUNTIFS($B$7:$B$306,B290,$O$7:$O$306,"Labour",$Q$7:$Q$306,"*Operator*")&gt;0),"OPERATOR DOUBLE-COUNT",IF(AND(O290="Plant",AE290="Yes",COUNTIFS($B$7:$B$306,B290,$Q$7:$Q$306,"*Fuel*")&gt;0),"FUEL DOUBLE-COUNT",IF(AH290&lt;&gt;"Yes","VERIFY","OK"))))))</x:f>
      </x:c>
      <x:c r="AJ290" s="54"/>
      <x:c r="AK290" s="473"/>
      <x:c r="AL290" s="473"/>
      <x:c r="AM290" s="473"/>
      <x:c r="AN290" s="500" t="n">
        <x:f>IF(AND(AK290="Yes",OR(O290="Labour",O290="Plant")),Z290,0)</x:f>
        <x:v>0</x:v>
      </x:c>
    </x:row>
    <x:row r="291">
      <x:c r="A291" s="80" t="str">
        <x:f>IF(B291="","",B291&amp;"-"&amp;TEXT(COUNTIF($B$7:B291,B291),"000"))</x:f>
      </x:c>
      <x:c r="B291" s="53"/>
      <x:c r="C291" s="81" t="str">
        <x:f>IFERROR(INDEX('QS Takeoff'!$A$3:$A$194,MATCH(B291,'QS Takeoff'!$B$3:$B$194,0)),"")</x:f>
      </x:c>
      <x:c r="D291" s="81" t="str">
        <x:f>IFERROR(INDEX('QS Takeoff'!$C$3:$C$194,MATCH(B291,'QS Takeoff'!$B$3:$B$194,0)),"")</x:f>
      </x:c>
      <x:c r="E291" s="81" t="str">
        <x:f>IFERROR(INDEX('QS Takeoff'!$E$3:$E$194,MATCH(B291,'QS Takeoff'!$B$3:$B$194,0)),"")</x:f>
      </x:c>
      <x:c r="F291" s="81" t="str">
        <x:f>IFERROR(INDEX('QS Takeoff'!$D$3:$D$194,MATCH(B291,'QS Takeoff'!$B$3:$B$194,0)),"")</x:f>
      </x:c>
      <x:c r="G291" s="81" t="str">
        <x:f>IFERROR(INDEX('QS Takeoff'!$J$3:$J$194,MATCH(B291,'QS Takeoff'!$B$3:$B$194,0)),"")</x:f>
      </x:c>
      <x:c r="H291" s="53"/>
      <x:c r="I291" s="60"/>
      <x:c r="J291" s="60"/>
      <x:c r="K291" s="82" t="str">
        <x:f t="shared" si="24">IF(OR(B291="",I291="",I291=0),"",E291/I291)</x:f>
      </x:c>
      <x:c r="L291" s="60"/>
      <x:c r="M291" s="82" t="str">
        <x:f t="shared" si="25">IF(L291&gt;0,L291,K291)</x:f>
      </x:c>
      <x:c r="N291" s="53"/>
      <x:c r="O291" s="53"/>
      <x:c r="P291" s="53"/>
      <x:c r="Q291" s="81" t="str">
        <x:f>IFERROR(INDEX('Resource Rate Library'!$C$5:$C$85,MATCH(P291,'Resource Rate Library'!$A$5:$A$85,0)),"")</x:f>
      </x:c>
      <x:c r="R291" s="53"/>
      <x:c r="S291" s="53"/>
      <x:c r="T291" s="81" t="str">
        <x:f>IFERROR(INDEX('Resource Rate Library'!$E$5:$E$85,MATCH(P291,'Resource Rate Library'!$A$5:$A$85,0)),"")</x:f>
      </x:c>
      <x:c r="U291" s="62"/>
      <x:c r="V291" s="62"/>
      <x:c r="W291" s="83" t="n">
        <x:f>IFERROR(INDEX('Resource Rate Library'!$I$5:$I$85,MATCH(P291,'Resource Rate Library'!$A$5:$A$85,0)),0)</x:f>
        <x:v>0</x:v>
      </x:c>
      <x:c r="X291" s="52"/>
      <x:c r="Y291" s="83" t="n">
        <x:f t="shared" si="26">IF(X291&gt;0,X291,W291)</x:f>
        <x:v>0</x:v>
      </x:c>
      <x:c r="Z291" s="83" t="str">
        <x:f t="shared" si="27">IF(B291="","",IF(N291="Time x Count",M291*R291*IF(U291="",1,U291)*Y291,IF(N291="QS Qty x Factor",E291*R291*(1+IF(V291="",0,V291))*Y291,IF(N291="Direct Qty",S291*(1+IF(V291="",0,V291))*Y291,IF(N291="Lump Sum / Quote",S291*Y291,0)))))</x:f>
      </x:c>
      <x:c r="AA291" s="81" t="str">
        <x:f>IFERROR(INDEX('Resource Rate Library'!$N$5:$N$85,MATCH(P291,'Resource Rate Library'!$A$5:$A$85,0)),"")</x:f>
      </x:c>
      <x:c r="AB291" s="53"/>
      <x:c r="AC291" s="59"/>
      <x:c r="AD291" s="81" t="str">
        <x:f>IFERROR(INDEX('Resource Rate Library'!$G$5:$G$85,MATCH(P291,'Resource Rate Library'!$A$5:$A$85,0)),"")</x:f>
      </x:c>
      <x:c r="AE291" s="81" t="str">
        <x:f>IFERROR(INDEX('Resource Rate Library'!$H$5:$H$85,MATCH(P291,'Resource Rate Library'!$A$5:$A$85,0)),"")</x:f>
      </x:c>
      <x:c r="AF291" s="53"/>
      <x:c r="AG291" s="53"/>
      <x:c r="AH291" s="53"/>
      <x:c r="AI291" s="81" t="str">
        <x:f t="shared" si="28">IF(B291="","",IF(AND(P291="",N291&lt;&gt;"Lump Sum / Quote"),"RESOURCE CODE",IF(Y291=0,"RATE MISSING",IF(AND(O291="Plant",AD291="Yes",COUNTIFS($B$7:$B$306,B291,$O$7:$O$306,"Labour",$Q$7:$Q$306,"*Operator*")&gt;0),"OPERATOR DOUBLE-COUNT",IF(AND(O291="Plant",AE291="Yes",COUNTIFS($B$7:$B$306,B291,$Q$7:$Q$306,"*Fuel*")&gt;0),"FUEL DOUBLE-COUNT",IF(AH291&lt;&gt;"Yes","VERIFY","OK"))))))</x:f>
      </x:c>
      <x:c r="AJ291" s="54"/>
      <x:c r="AK291" s="473"/>
      <x:c r="AL291" s="473"/>
      <x:c r="AM291" s="473"/>
      <x:c r="AN291" s="500" t="n">
        <x:f>IF(AND(AK291="Yes",OR(O291="Labour",O291="Plant")),Z291,0)</x:f>
        <x:v>0</x:v>
      </x:c>
    </x:row>
    <x:row r="292">
      <x:c r="A292" s="80" t="str">
        <x:f>IF(B292="","",B292&amp;"-"&amp;TEXT(COUNTIF($B$7:B292,B292),"000"))</x:f>
      </x:c>
      <x:c r="B292" s="53"/>
      <x:c r="C292" s="81" t="str">
        <x:f>IFERROR(INDEX('QS Takeoff'!$A$3:$A$194,MATCH(B292,'QS Takeoff'!$B$3:$B$194,0)),"")</x:f>
      </x:c>
      <x:c r="D292" s="81" t="str">
        <x:f>IFERROR(INDEX('QS Takeoff'!$C$3:$C$194,MATCH(B292,'QS Takeoff'!$B$3:$B$194,0)),"")</x:f>
      </x:c>
      <x:c r="E292" s="81" t="str">
        <x:f>IFERROR(INDEX('QS Takeoff'!$E$3:$E$194,MATCH(B292,'QS Takeoff'!$B$3:$B$194,0)),"")</x:f>
      </x:c>
      <x:c r="F292" s="81" t="str">
        <x:f>IFERROR(INDEX('QS Takeoff'!$D$3:$D$194,MATCH(B292,'QS Takeoff'!$B$3:$B$194,0)),"")</x:f>
      </x:c>
      <x:c r="G292" s="81" t="str">
        <x:f>IFERROR(INDEX('QS Takeoff'!$J$3:$J$194,MATCH(B292,'QS Takeoff'!$B$3:$B$194,0)),"")</x:f>
      </x:c>
      <x:c r="H292" s="53"/>
      <x:c r="I292" s="60"/>
      <x:c r="J292" s="60"/>
      <x:c r="K292" s="82" t="str">
        <x:f t="shared" si="24">IF(OR(B292="",I292="",I292=0),"",E292/I292)</x:f>
      </x:c>
      <x:c r="L292" s="60"/>
      <x:c r="M292" s="82" t="str">
        <x:f t="shared" si="25">IF(L292&gt;0,L292,K292)</x:f>
      </x:c>
      <x:c r="N292" s="53"/>
      <x:c r="O292" s="53"/>
      <x:c r="P292" s="53"/>
      <x:c r="Q292" s="81" t="str">
        <x:f>IFERROR(INDEX('Resource Rate Library'!$C$5:$C$85,MATCH(P292,'Resource Rate Library'!$A$5:$A$85,0)),"")</x:f>
      </x:c>
      <x:c r="R292" s="53"/>
      <x:c r="S292" s="53"/>
      <x:c r="T292" s="81" t="str">
        <x:f>IFERROR(INDEX('Resource Rate Library'!$E$5:$E$85,MATCH(P292,'Resource Rate Library'!$A$5:$A$85,0)),"")</x:f>
      </x:c>
      <x:c r="U292" s="62"/>
      <x:c r="V292" s="62"/>
      <x:c r="W292" s="83" t="n">
        <x:f>IFERROR(INDEX('Resource Rate Library'!$I$5:$I$85,MATCH(P292,'Resource Rate Library'!$A$5:$A$85,0)),0)</x:f>
        <x:v>0</x:v>
      </x:c>
      <x:c r="X292" s="52"/>
      <x:c r="Y292" s="83" t="n">
        <x:f t="shared" si="26">IF(X292&gt;0,X292,W292)</x:f>
        <x:v>0</x:v>
      </x:c>
      <x:c r="Z292" s="83" t="str">
        <x:f t="shared" si="27">IF(B292="","",IF(N292="Time x Count",M292*R292*IF(U292="",1,U292)*Y292,IF(N292="QS Qty x Factor",E292*R292*(1+IF(V292="",0,V292))*Y292,IF(N292="Direct Qty",S292*(1+IF(V292="",0,V292))*Y292,IF(N292="Lump Sum / Quote",S292*Y292,0)))))</x:f>
      </x:c>
      <x:c r="AA292" s="81" t="str">
        <x:f>IFERROR(INDEX('Resource Rate Library'!$N$5:$N$85,MATCH(P292,'Resource Rate Library'!$A$5:$A$85,0)),"")</x:f>
      </x:c>
      <x:c r="AB292" s="53"/>
      <x:c r="AC292" s="59"/>
      <x:c r="AD292" s="81" t="str">
        <x:f>IFERROR(INDEX('Resource Rate Library'!$G$5:$G$85,MATCH(P292,'Resource Rate Library'!$A$5:$A$85,0)),"")</x:f>
      </x:c>
      <x:c r="AE292" s="81" t="str">
        <x:f>IFERROR(INDEX('Resource Rate Library'!$H$5:$H$85,MATCH(P292,'Resource Rate Library'!$A$5:$A$85,0)),"")</x:f>
      </x:c>
      <x:c r="AF292" s="53"/>
      <x:c r="AG292" s="53"/>
      <x:c r="AH292" s="53"/>
      <x:c r="AI292" s="81" t="str">
        <x:f t="shared" si="28">IF(B292="","",IF(AND(P292="",N292&lt;&gt;"Lump Sum / Quote"),"RESOURCE CODE",IF(Y292=0,"RATE MISSING",IF(AND(O292="Plant",AD292="Yes",COUNTIFS($B$7:$B$306,B292,$O$7:$O$306,"Labour",$Q$7:$Q$306,"*Operator*")&gt;0),"OPERATOR DOUBLE-COUNT",IF(AND(O292="Plant",AE292="Yes",COUNTIFS($B$7:$B$306,B292,$Q$7:$Q$306,"*Fuel*")&gt;0),"FUEL DOUBLE-COUNT",IF(AH292&lt;&gt;"Yes","VERIFY","OK"))))))</x:f>
      </x:c>
      <x:c r="AJ292" s="54"/>
      <x:c r="AK292" s="473"/>
      <x:c r="AL292" s="473"/>
      <x:c r="AM292" s="473"/>
      <x:c r="AN292" s="500" t="n">
        <x:f>IF(AND(AK292="Yes",OR(O292="Labour",O292="Plant")),Z292,0)</x:f>
        <x:v>0</x:v>
      </x:c>
    </x:row>
    <x:row r="293">
      <x:c r="A293" s="80" t="str">
        <x:f>IF(B293="","",B293&amp;"-"&amp;TEXT(COUNTIF($B$7:B293,B293),"000"))</x:f>
      </x:c>
      <x:c r="B293" s="53"/>
      <x:c r="C293" s="81" t="str">
        <x:f>IFERROR(INDEX('QS Takeoff'!$A$3:$A$194,MATCH(B293,'QS Takeoff'!$B$3:$B$194,0)),"")</x:f>
      </x:c>
      <x:c r="D293" s="81" t="str">
        <x:f>IFERROR(INDEX('QS Takeoff'!$C$3:$C$194,MATCH(B293,'QS Takeoff'!$B$3:$B$194,0)),"")</x:f>
      </x:c>
      <x:c r="E293" s="81" t="str">
        <x:f>IFERROR(INDEX('QS Takeoff'!$E$3:$E$194,MATCH(B293,'QS Takeoff'!$B$3:$B$194,0)),"")</x:f>
      </x:c>
      <x:c r="F293" s="81" t="str">
        <x:f>IFERROR(INDEX('QS Takeoff'!$D$3:$D$194,MATCH(B293,'QS Takeoff'!$B$3:$B$194,0)),"")</x:f>
      </x:c>
      <x:c r="G293" s="81" t="str">
        <x:f>IFERROR(INDEX('QS Takeoff'!$J$3:$J$194,MATCH(B293,'QS Takeoff'!$B$3:$B$194,0)),"")</x:f>
      </x:c>
      <x:c r="H293" s="53"/>
      <x:c r="I293" s="60"/>
      <x:c r="J293" s="60"/>
      <x:c r="K293" s="82" t="str">
        <x:f t="shared" si="24">IF(OR(B293="",I293="",I293=0),"",E293/I293)</x:f>
      </x:c>
      <x:c r="L293" s="60"/>
      <x:c r="M293" s="82" t="str">
        <x:f t="shared" si="25">IF(L293&gt;0,L293,K293)</x:f>
      </x:c>
      <x:c r="N293" s="53"/>
      <x:c r="O293" s="53"/>
      <x:c r="P293" s="53"/>
      <x:c r="Q293" s="81" t="str">
        <x:f>IFERROR(INDEX('Resource Rate Library'!$C$5:$C$85,MATCH(P293,'Resource Rate Library'!$A$5:$A$85,0)),"")</x:f>
      </x:c>
      <x:c r="R293" s="53"/>
      <x:c r="S293" s="53"/>
      <x:c r="T293" s="81" t="str">
        <x:f>IFERROR(INDEX('Resource Rate Library'!$E$5:$E$85,MATCH(P293,'Resource Rate Library'!$A$5:$A$85,0)),"")</x:f>
      </x:c>
      <x:c r="U293" s="62"/>
      <x:c r="V293" s="62"/>
      <x:c r="W293" s="83" t="n">
        <x:f>IFERROR(INDEX('Resource Rate Library'!$I$5:$I$85,MATCH(P293,'Resource Rate Library'!$A$5:$A$85,0)),0)</x:f>
        <x:v>0</x:v>
      </x:c>
      <x:c r="X293" s="52"/>
      <x:c r="Y293" s="83" t="n">
        <x:f t="shared" si="26">IF(X293&gt;0,X293,W293)</x:f>
        <x:v>0</x:v>
      </x:c>
      <x:c r="Z293" s="83" t="str">
        <x:f t="shared" si="27">IF(B293="","",IF(N293="Time x Count",M293*R293*IF(U293="",1,U293)*Y293,IF(N293="QS Qty x Factor",E293*R293*(1+IF(V293="",0,V293))*Y293,IF(N293="Direct Qty",S293*(1+IF(V293="",0,V293))*Y293,IF(N293="Lump Sum / Quote",S293*Y293,0)))))</x:f>
      </x:c>
      <x:c r="AA293" s="81" t="str">
        <x:f>IFERROR(INDEX('Resource Rate Library'!$N$5:$N$85,MATCH(P293,'Resource Rate Library'!$A$5:$A$85,0)),"")</x:f>
      </x:c>
      <x:c r="AB293" s="53"/>
      <x:c r="AC293" s="59"/>
      <x:c r="AD293" s="81" t="str">
        <x:f>IFERROR(INDEX('Resource Rate Library'!$G$5:$G$85,MATCH(P293,'Resource Rate Library'!$A$5:$A$85,0)),"")</x:f>
      </x:c>
      <x:c r="AE293" s="81" t="str">
        <x:f>IFERROR(INDEX('Resource Rate Library'!$H$5:$H$85,MATCH(P293,'Resource Rate Library'!$A$5:$A$85,0)),"")</x:f>
      </x:c>
      <x:c r="AF293" s="53"/>
      <x:c r="AG293" s="53"/>
      <x:c r="AH293" s="53"/>
      <x:c r="AI293" s="81" t="str">
        <x:f t="shared" si="28">IF(B293="","",IF(AND(P293="",N293&lt;&gt;"Lump Sum / Quote"),"RESOURCE CODE",IF(Y293=0,"RATE MISSING",IF(AND(O293="Plant",AD293="Yes",COUNTIFS($B$7:$B$306,B293,$O$7:$O$306,"Labour",$Q$7:$Q$306,"*Operator*")&gt;0),"OPERATOR DOUBLE-COUNT",IF(AND(O293="Plant",AE293="Yes",COUNTIFS($B$7:$B$306,B293,$Q$7:$Q$306,"*Fuel*")&gt;0),"FUEL DOUBLE-COUNT",IF(AH293&lt;&gt;"Yes","VERIFY","OK"))))))</x:f>
      </x:c>
      <x:c r="AJ293" s="54"/>
      <x:c r="AK293" s="473"/>
      <x:c r="AL293" s="473"/>
      <x:c r="AM293" s="473"/>
      <x:c r="AN293" s="500" t="n">
        <x:f>IF(AND(AK293="Yes",OR(O293="Labour",O293="Plant")),Z293,0)</x:f>
        <x:v>0</x:v>
      </x:c>
    </x:row>
    <x:row r="294">
      <x:c r="A294" s="80" t="str">
        <x:f>IF(B294="","",B294&amp;"-"&amp;TEXT(COUNTIF($B$7:B294,B294),"000"))</x:f>
      </x:c>
      <x:c r="B294" s="53"/>
      <x:c r="C294" s="81" t="str">
        <x:f>IFERROR(INDEX('QS Takeoff'!$A$3:$A$194,MATCH(B294,'QS Takeoff'!$B$3:$B$194,0)),"")</x:f>
      </x:c>
      <x:c r="D294" s="81" t="str">
        <x:f>IFERROR(INDEX('QS Takeoff'!$C$3:$C$194,MATCH(B294,'QS Takeoff'!$B$3:$B$194,0)),"")</x:f>
      </x:c>
      <x:c r="E294" s="81" t="str">
        <x:f>IFERROR(INDEX('QS Takeoff'!$E$3:$E$194,MATCH(B294,'QS Takeoff'!$B$3:$B$194,0)),"")</x:f>
      </x:c>
      <x:c r="F294" s="81" t="str">
        <x:f>IFERROR(INDEX('QS Takeoff'!$D$3:$D$194,MATCH(B294,'QS Takeoff'!$B$3:$B$194,0)),"")</x:f>
      </x:c>
      <x:c r="G294" s="81" t="str">
        <x:f>IFERROR(INDEX('QS Takeoff'!$J$3:$J$194,MATCH(B294,'QS Takeoff'!$B$3:$B$194,0)),"")</x:f>
      </x:c>
      <x:c r="H294" s="53"/>
      <x:c r="I294" s="60"/>
      <x:c r="J294" s="60"/>
      <x:c r="K294" s="82" t="str">
        <x:f t="shared" si="24">IF(OR(B294="",I294="",I294=0),"",E294/I294)</x:f>
      </x:c>
      <x:c r="L294" s="60"/>
      <x:c r="M294" s="82" t="str">
        <x:f t="shared" si="25">IF(L294&gt;0,L294,K294)</x:f>
      </x:c>
      <x:c r="N294" s="53"/>
      <x:c r="O294" s="53"/>
      <x:c r="P294" s="53"/>
      <x:c r="Q294" s="81" t="str">
        <x:f>IFERROR(INDEX('Resource Rate Library'!$C$5:$C$85,MATCH(P294,'Resource Rate Library'!$A$5:$A$85,0)),"")</x:f>
      </x:c>
      <x:c r="R294" s="53"/>
      <x:c r="S294" s="53"/>
      <x:c r="T294" s="81" t="str">
        <x:f>IFERROR(INDEX('Resource Rate Library'!$E$5:$E$85,MATCH(P294,'Resource Rate Library'!$A$5:$A$85,0)),"")</x:f>
      </x:c>
      <x:c r="U294" s="62"/>
      <x:c r="V294" s="62"/>
      <x:c r="W294" s="83" t="n">
        <x:f>IFERROR(INDEX('Resource Rate Library'!$I$5:$I$85,MATCH(P294,'Resource Rate Library'!$A$5:$A$85,0)),0)</x:f>
        <x:v>0</x:v>
      </x:c>
      <x:c r="X294" s="52"/>
      <x:c r="Y294" s="83" t="n">
        <x:f t="shared" si="26">IF(X294&gt;0,X294,W294)</x:f>
        <x:v>0</x:v>
      </x:c>
      <x:c r="Z294" s="83" t="str">
        <x:f t="shared" si="27">IF(B294="","",IF(N294="Time x Count",M294*R294*IF(U294="",1,U294)*Y294,IF(N294="QS Qty x Factor",E294*R294*(1+IF(V294="",0,V294))*Y294,IF(N294="Direct Qty",S294*(1+IF(V294="",0,V294))*Y294,IF(N294="Lump Sum / Quote",S294*Y294,0)))))</x:f>
      </x:c>
      <x:c r="AA294" s="81" t="str">
        <x:f>IFERROR(INDEX('Resource Rate Library'!$N$5:$N$85,MATCH(P294,'Resource Rate Library'!$A$5:$A$85,0)),"")</x:f>
      </x:c>
      <x:c r="AB294" s="53"/>
      <x:c r="AC294" s="59"/>
      <x:c r="AD294" s="81" t="str">
        <x:f>IFERROR(INDEX('Resource Rate Library'!$G$5:$G$85,MATCH(P294,'Resource Rate Library'!$A$5:$A$85,0)),"")</x:f>
      </x:c>
      <x:c r="AE294" s="81" t="str">
        <x:f>IFERROR(INDEX('Resource Rate Library'!$H$5:$H$85,MATCH(P294,'Resource Rate Library'!$A$5:$A$85,0)),"")</x:f>
      </x:c>
      <x:c r="AF294" s="53"/>
      <x:c r="AG294" s="53"/>
      <x:c r="AH294" s="53"/>
      <x:c r="AI294" s="81" t="str">
        <x:f t="shared" si="28">IF(B294="","",IF(AND(P294="",N294&lt;&gt;"Lump Sum / Quote"),"RESOURCE CODE",IF(Y294=0,"RATE MISSING",IF(AND(O294="Plant",AD294="Yes",COUNTIFS($B$7:$B$306,B294,$O$7:$O$306,"Labour",$Q$7:$Q$306,"*Operator*")&gt;0),"OPERATOR DOUBLE-COUNT",IF(AND(O294="Plant",AE294="Yes",COUNTIFS($B$7:$B$306,B294,$Q$7:$Q$306,"*Fuel*")&gt;0),"FUEL DOUBLE-COUNT",IF(AH294&lt;&gt;"Yes","VERIFY","OK"))))))</x:f>
      </x:c>
      <x:c r="AJ294" s="54"/>
      <x:c r="AK294" s="473"/>
      <x:c r="AL294" s="473"/>
      <x:c r="AM294" s="473"/>
      <x:c r="AN294" s="500" t="n">
        <x:f>IF(AND(AK294="Yes",OR(O294="Labour",O294="Plant")),Z294,0)</x:f>
        <x:v>0</x:v>
      </x:c>
    </x:row>
    <x:row r="295">
      <x:c r="A295" s="80" t="str">
        <x:f>IF(B295="","",B295&amp;"-"&amp;TEXT(COUNTIF($B$7:B295,B295),"000"))</x:f>
      </x:c>
      <x:c r="B295" s="53"/>
      <x:c r="C295" s="81" t="str">
        <x:f>IFERROR(INDEX('QS Takeoff'!$A$3:$A$194,MATCH(B295,'QS Takeoff'!$B$3:$B$194,0)),"")</x:f>
      </x:c>
      <x:c r="D295" s="81" t="str">
        <x:f>IFERROR(INDEX('QS Takeoff'!$C$3:$C$194,MATCH(B295,'QS Takeoff'!$B$3:$B$194,0)),"")</x:f>
      </x:c>
      <x:c r="E295" s="81" t="str">
        <x:f>IFERROR(INDEX('QS Takeoff'!$E$3:$E$194,MATCH(B295,'QS Takeoff'!$B$3:$B$194,0)),"")</x:f>
      </x:c>
      <x:c r="F295" s="81" t="str">
        <x:f>IFERROR(INDEX('QS Takeoff'!$D$3:$D$194,MATCH(B295,'QS Takeoff'!$B$3:$B$194,0)),"")</x:f>
      </x:c>
      <x:c r="G295" s="81" t="str">
        <x:f>IFERROR(INDEX('QS Takeoff'!$J$3:$J$194,MATCH(B295,'QS Takeoff'!$B$3:$B$194,0)),"")</x:f>
      </x:c>
      <x:c r="H295" s="53"/>
      <x:c r="I295" s="60"/>
      <x:c r="J295" s="60"/>
      <x:c r="K295" s="82" t="str">
        <x:f t="shared" si="24">IF(OR(B295="",I295="",I295=0),"",E295/I295)</x:f>
      </x:c>
      <x:c r="L295" s="60"/>
      <x:c r="M295" s="82" t="str">
        <x:f t="shared" si="25">IF(L295&gt;0,L295,K295)</x:f>
      </x:c>
      <x:c r="N295" s="53"/>
      <x:c r="O295" s="53"/>
      <x:c r="P295" s="53"/>
      <x:c r="Q295" s="81" t="str">
        <x:f>IFERROR(INDEX('Resource Rate Library'!$C$5:$C$85,MATCH(P295,'Resource Rate Library'!$A$5:$A$85,0)),"")</x:f>
      </x:c>
      <x:c r="R295" s="53"/>
      <x:c r="S295" s="53"/>
      <x:c r="T295" s="81" t="str">
        <x:f>IFERROR(INDEX('Resource Rate Library'!$E$5:$E$85,MATCH(P295,'Resource Rate Library'!$A$5:$A$85,0)),"")</x:f>
      </x:c>
      <x:c r="U295" s="62"/>
      <x:c r="V295" s="62"/>
      <x:c r="W295" s="83" t="n">
        <x:f>IFERROR(INDEX('Resource Rate Library'!$I$5:$I$85,MATCH(P295,'Resource Rate Library'!$A$5:$A$85,0)),0)</x:f>
        <x:v>0</x:v>
      </x:c>
      <x:c r="X295" s="52"/>
      <x:c r="Y295" s="83" t="n">
        <x:f t="shared" si="26">IF(X295&gt;0,X295,W295)</x:f>
        <x:v>0</x:v>
      </x:c>
      <x:c r="Z295" s="83" t="str">
        <x:f t="shared" si="27">IF(B295="","",IF(N295="Time x Count",M295*R295*IF(U295="",1,U295)*Y295,IF(N295="QS Qty x Factor",E295*R295*(1+IF(V295="",0,V295))*Y295,IF(N295="Direct Qty",S295*(1+IF(V295="",0,V295))*Y295,IF(N295="Lump Sum / Quote",S295*Y295,0)))))</x:f>
      </x:c>
      <x:c r="AA295" s="81" t="str">
        <x:f>IFERROR(INDEX('Resource Rate Library'!$N$5:$N$85,MATCH(P295,'Resource Rate Library'!$A$5:$A$85,0)),"")</x:f>
      </x:c>
      <x:c r="AB295" s="53"/>
      <x:c r="AC295" s="59"/>
      <x:c r="AD295" s="81" t="str">
        <x:f>IFERROR(INDEX('Resource Rate Library'!$G$5:$G$85,MATCH(P295,'Resource Rate Library'!$A$5:$A$85,0)),"")</x:f>
      </x:c>
      <x:c r="AE295" s="81" t="str">
        <x:f>IFERROR(INDEX('Resource Rate Library'!$H$5:$H$85,MATCH(P295,'Resource Rate Library'!$A$5:$A$85,0)),"")</x:f>
      </x:c>
      <x:c r="AF295" s="53"/>
      <x:c r="AG295" s="53"/>
      <x:c r="AH295" s="53"/>
      <x:c r="AI295" s="81" t="str">
        <x:f t="shared" si="28">IF(B295="","",IF(AND(P295="",N295&lt;&gt;"Lump Sum / Quote"),"RESOURCE CODE",IF(Y295=0,"RATE MISSING",IF(AND(O295="Plant",AD295="Yes",COUNTIFS($B$7:$B$306,B295,$O$7:$O$306,"Labour",$Q$7:$Q$306,"*Operator*")&gt;0),"OPERATOR DOUBLE-COUNT",IF(AND(O295="Plant",AE295="Yes",COUNTIFS($B$7:$B$306,B295,$Q$7:$Q$306,"*Fuel*")&gt;0),"FUEL DOUBLE-COUNT",IF(AH295&lt;&gt;"Yes","VERIFY","OK"))))))</x:f>
      </x:c>
      <x:c r="AJ295" s="54"/>
      <x:c r="AK295" s="473"/>
      <x:c r="AL295" s="473"/>
      <x:c r="AM295" s="473"/>
      <x:c r="AN295" s="500" t="n">
        <x:f>IF(AND(AK295="Yes",OR(O295="Labour",O295="Plant")),Z295,0)</x:f>
        <x:v>0</x:v>
      </x:c>
    </x:row>
    <x:row r="296">
      <x:c r="A296" s="80" t="str">
        <x:f>IF(B296="","",B296&amp;"-"&amp;TEXT(COUNTIF($B$7:B296,B296),"000"))</x:f>
      </x:c>
      <x:c r="B296" s="53"/>
      <x:c r="C296" s="81" t="str">
        <x:f>IFERROR(INDEX('QS Takeoff'!$A$3:$A$194,MATCH(B296,'QS Takeoff'!$B$3:$B$194,0)),"")</x:f>
      </x:c>
      <x:c r="D296" s="81" t="str">
        <x:f>IFERROR(INDEX('QS Takeoff'!$C$3:$C$194,MATCH(B296,'QS Takeoff'!$B$3:$B$194,0)),"")</x:f>
      </x:c>
      <x:c r="E296" s="81" t="str">
        <x:f>IFERROR(INDEX('QS Takeoff'!$E$3:$E$194,MATCH(B296,'QS Takeoff'!$B$3:$B$194,0)),"")</x:f>
      </x:c>
      <x:c r="F296" s="81" t="str">
        <x:f>IFERROR(INDEX('QS Takeoff'!$D$3:$D$194,MATCH(B296,'QS Takeoff'!$B$3:$B$194,0)),"")</x:f>
      </x:c>
      <x:c r="G296" s="81" t="str">
        <x:f>IFERROR(INDEX('QS Takeoff'!$J$3:$J$194,MATCH(B296,'QS Takeoff'!$B$3:$B$194,0)),"")</x:f>
      </x:c>
      <x:c r="H296" s="53"/>
      <x:c r="I296" s="60"/>
      <x:c r="J296" s="60"/>
      <x:c r="K296" s="82" t="str">
        <x:f t="shared" si="24">IF(OR(B296="",I296="",I296=0),"",E296/I296)</x:f>
      </x:c>
      <x:c r="L296" s="60"/>
      <x:c r="M296" s="82" t="str">
        <x:f t="shared" si="25">IF(L296&gt;0,L296,K296)</x:f>
      </x:c>
      <x:c r="N296" s="53"/>
      <x:c r="O296" s="53"/>
      <x:c r="P296" s="53"/>
      <x:c r="Q296" s="81" t="str">
        <x:f>IFERROR(INDEX('Resource Rate Library'!$C$5:$C$85,MATCH(P296,'Resource Rate Library'!$A$5:$A$85,0)),"")</x:f>
      </x:c>
      <x:c r="R296" s="53"/>
      <x:c r="S296" s="53"/>
      <x:c r="T296" s="81" t="str">
        <x:f>IFERROR(INDEX('Resource Rate Library'!$E$5:$E$85,MATCH(P296,'Resource Rate Library'!$A$5:$A$85,0)),"")</x:f>
      </x:c>
      <x:c r="U296" s="62"/>
      <x:c r="V296" s="62"/>
      <x:c r="W296" s="83" t="n">
        <x:f>IFERROR(INDEX('Resource Rate Library'!$I$5:$I$85,MATCH(P296,'Resource Rate Library'!$A$5:$A$85,0)),0)</x:f>
        <x:v>0</x:v>
      </x:c>
      <x:c r="X296" s="52"/>
      <x:c r="Y296" s="83" t="n">
        <x:f t="shared" si="26">IF(X296&gt;0,X296,W296)</x:f>
        <x:v>0</x:v>
      </x:c>
      <x:c r="Z296" s="83" t="str">
        <x:f t="shared" si="27">IF(B296="","",IF(N296="Time x Count",M296*R296*IF(U296="",1,U296)*Y296,IF(N296="QS Qty x Factor",E296*R296*(1+IF(V296="",0,V296))*Y296,IF(N296="Direct Qty",S296*(1+IF(V296="",0,V296))*Y296,IF(N296="Lump Sum / Quote",S296*Y296,0)))))</x:f>
      </x:c>
      <x:c r="AA296" s="81" t="str">
        <x:f>IFERROR(INDEX('Resource Rate Library'!$N$5:$N$85,MATCH(P296,'Resource Rate Library'!$A$5:$A$85,0)),"")</x:f>
      </x:c>
      <x:c r="AB296" s="53"/>
      <x:c r="AC296" s="59"/>
      <x:c r="AD296" s="81" t="str">
        <x:f>IFERROR(INDEX('Resource Rate Library'!$G$5:$G$85,MATCH(P296,'Resource Rate Library'!$A$5:$A$85,0)),"")</x:f>
      </x:c>
      <x:c r="AE296" s="81" t="str">
        <x:f>IFERROR(INDEX('Resource Rate Library'!$H$5:$H$85,MATCH(P296,'Resource Rate Library'!$A$5:$A$85,0)),"")</x:f>
      </x:c>
      <x:c r="AF296" s="53"/>
      <x:c r="AG296" s="53"/>
      <x:c r="AH296" s="53"/>
      <x:c r="AI296" s="81" t="str">
        <x:f t="shared" si="28">IF(B296="","",IF(AND(P296="",N296&lt;&gt;"Lump Sum / Quote"),"RESOURCE CODE",IF(Y296=0,"RATE MISSING",IF(AND(O296="Plant",AD296="Yes",COUNTIFS($B$7:$B$306,B296,$O$7:$O$306,"Labour",$Q$7:$Q$306,"*Operator*")&gt;0),"OPERATOR DOUBLE-COUNT",IF(AND(O296="Plant",AE296="Yes",COUNTIFS($B$7:$B$306,B296,$Q$7:$Q$306,"*Fuel*")&gt;0),"FUEL DOUBLE-COUNT",IF(AH296&lt;&gt;"Yes","VERIFY","OK"))))))</x:f>
      </x:c>
      <x:c r="AJ296" s="54"/>
      <x:c r="AK296" s="473"/>
      <x:c r="AL296" s="473"/>
      <x:c r="AM296" s="473"/>
      <x:c r="AN296" s="500" t="n">
        <x:f>IF(AND(AK296="Yes",OR(O296="Labour",O296="Plant")),Z296,0)</x:f>
        <x:v>0</x:v>
      </x:c>
    </x:row>
    <x:row r="297">
      <x:c r="A297" s="80" t="str">
        <x:f>IF(B297="","",B297&amp;"-"&amp;TEXT(COUNTIF($B$7:B297,B297),"000"))</x:f>
      </x:c>
      <x:c r="B297" s="53"/>
      <x:c r="C297" s="81" t="str">
        <x:f>IFERROR(INDEX('QS Takeoff'!$A$3:$A$194,MATCH(B297,'QS Takeoff'!$B$3:$B$194,0)),"")</x:f>
      </x:c>
      <x:c r="D297" s="81" t="str">
        <x:f>IFERROR(INDEX('QS Takeoff'!$C$3:$C$194,MATCH(B297,'QS Takeoff'!$B$3:$B$194,0)),"")</x:f>
      </x:c>
      <x:c r="E297" s="81" t="str">
        <x:f>IFERROR(INDEX('QS Takeoff'!$E$3:$E$194,MATCH(B297,'QS Takeoff'!$B$3:$B$194,0)),"")</x:f>
      </x:c>
      <x:c r="F297" s="81" t="str">
        <x:f>IFERROR(INDEX('QS Takeoff'!$D$3:$D$194,MATCH(B297,'QS Takeoff'!$B$3:$B$194,0)),"")</x:f>
      </x:c>
      <x:c r="G297" s="81" t="str">
        <x:f>IFERROR(INDEX('QS Takeoff'!$J$3:$J$194,MATCH(B297,'QS Takeoff'!$B$3:$B$194,0)),"")</x:f>
      </x:c>
      <x:c r="H297" s="53"/>
      <x:c r="I297" s="60"/>
      <x:c r="J297" s="60"/>
      <x:c r="K297" s="82" t="str">
        <x:f t="shared" si="24">IF(OR(B297="",I297="",I297=0),"",E297/I297)</x:f>
      </x:c>
      <x:c r="L297" s="60"/>
      <x:c r="M297" s="82" t="str">
        <x:f t="shared" si="25">IF(L297&gt;0,L297,K297)</x:f>
      </x:c>
      <x:c r="N297" s="53"/>
      <x:c r="O297" s="53"/>
      <x:c r="P297" s="53"/>
      <x:c r="Q297" s="81" t="str">
        <x:f>IFERROR(INDEX('Resource Rate Library'!$C$5:$C$85,MATCH(P297,'Resource Rate Library'!$A$5:$A$85,0)),"")</x:f>
      </x:c>
      <x:c r="R297" s="53"/>
      <x:c r="S297" s="53"/>
      <x:c r="T297" s="81" t="str">
        <x:f>IFERROR(INDEX('Resource Rate Library'!$E$5:$E$85,MATCH(P297,'Resource Rate Library'!$A$5:$A$85,0)),"")</x:f>
      </x:c>
      <x:c r="U297" s="62"/>
      <x:c r="V297" s="62"/>
      <x:c r="W297" s="83" t="n">
        <x:f>IFERROR(INDEX('Resource Rate Library'!$I$5:$I$85,MATCH(P297,'Resource Rate Library'!$A$5:$A$85,0)),0)</x:f>
        <x:v>0</x:v>
      </x:c>
      <x:c r="X297" s="52"/>
      <x:c r="Y297" s="83" t="n">
        <x:f t="shared" si="26">IF(X297&gt;0,X297,W297)</x:f>
        <x:v>0</x:v>
      </x:c>
      <x:c r="Z297" s="83" t="str">
        <x:f t="shared" si="27">IF(B297="","",IF(N297="Time x Count",M297*R297*IF(U297="",1,U297)*Y297,IF(N297="QS Qty x Factor",E297*R297*(1+IF(V297="",0,V297))*Y297,IF(N297="Direct Qty",S297*(1+IF(V297="",0,V297))*Y297,IF(N297="Lump Sum / Quote",S297*Y297,0)))))</x:f>
      </x:c>
      <x:c r="AA297" s="81" t="str">
        <x:f>IFERROR(INDEX('Resource Rate Library'!$N$5:$N$85,MATCH(P297,'Resource Rate Library'!$A$5:$A$85,0)),"")</x:f>
      </x:c>
      <x:c r="AB297" s="53"/>
      <x:c r="AC297" s="59"/>
      <x:c r="AD297" s="81" t="str">
        <x:f>IFERROR(INDEX('Resource Rate Library'!$G$5:$G$85,MATCH(P297,'Resource Rate Library'!$A$5:$A$85,0)),"")</x:f>
      </x:c>
      <x:c r="AE297" s="81" t="str">
        <x:f>IFERROR(INDEX('Resource Rate Library'!$H$5:$H$85,MATCH(P297,'Resource Rate Library'!$A$5:$A$85,0)),"")</x:f>
      </x:c>
      <x:c r="AF297" s="53"/>
      <x:c r="AG297" s="53"/>
      <x:c r="AH297" s="53"/>
      <x:c r="AI297" s="81" t="str">
        <x:f t="shared" si="28">IF(B297="","",IF(AND(P297="",N297&lt;&gt;"Lump Sum / Quote"),"RESOURCE CODE",IF(Y297=0,"RATE MISSING",IF(AND(O297="Plant",AD297="Yes",COUNTIFS($B$7:$B$306,B297,$O$7:$O$306,"Labour",$Q$7:$Q$306,"*Operator*")&gt;0),"OPERATOR DOUBLE-COUNT",IF(AND(O297="Plant",AE297="Yes",COUNTIFS($B$7:$B$306,B297,$Q$7:$Q$306,"*Fuel*")&gt;0),"FUEL DOUBLE-COUNT",IF(AH297&lt;&gt;"Yes","VERIFY","OK"))))))</x:f>
      </x:c>
      <x:c r="AJ297" s="54"/>
      <x:c r="AK297" s="473"/>
      <x:c r="AL297" s="473"/>
      <x:c r="AM297" s="473"/>
      <x:c r="AN297" s="500" t="n">
        <x:f>IF(AND(AK297="Yes",OR(O297="Labour",O297="Plant")),Z297,0)</x:f>
        <x:v>0</x:v>
      </x:c>
    </x:row>
    <x:row r="298">
      <x:c r="A298" s="80" t="str">
        <x:f>IF(B298="","",B298&amp;"-"&amp;TEXT(COUNTIF($B$7:B298,B298),"000"))</x:f>
      </x:c>
      <x:c r="B298" s="53"/>
      <x:c r="C298" s="81" t="str">
        <x:f>IFERROR(INDEX('QS Takeoff'!$A$3:$A$194,MATCH(B298,'QS Takeoff'!$B$3:$B$194,0)),"")</x:f>
      </x:c>
      <x:c r="D298" s="81" t="str">
        <x:f>IFERROR(INDEX('QS Takeoff'!$C$3:$C$194,MATCH(B298,'QS Takeoff'!$B$3:$B$194,0)),"")</x:f>
      </x:c>
      <x:c r="E298" s="81" t="str">
        <x:f>IFERROR(INDEX('QS Takeoff'!$E$3:$E$194,MATCH(B298,'QS Takeoff'!$B$3:$B$194,0)),"")</x:f>
      </x:c>
      <x:c r="F298" s="81" t="str">
        <x:f>IFERROR(INDEX('QS Takeoff'!$D$3:$D$194,MATCH(B298,'QS Takeoff'!$B$3:$B$194,0)),"")</x:f>
      </x:c>
      <x:c r="G298" s="81" t="str">
        <x:f>IFERROR(INDEX('QS Takeoff'!$J$3:$J$194,MATCH(B298,'QS Takeoff'!$B$3:$B$194,0)),"")</x:f>
      </x:c>
      <x:c r="H298" s="53"/>
      <x:c r="I298" s="60"/>
      <x:c r="J298" s="60"/>
      <x:c r="K298" s="82" t="str">
        <x:f t="shared" si="24">IF(OR(B298="",I298="",I298=0),"",E298/I298)</x:f>
      </x:c>
      <x:c r="L298" s="60"/>
      <x:c r="M298" s="82" t="str">
        <x:f t="shared" si="25">IF(L298&gt;0,L298,K298)</x:f>
      </x:c>
      <x:c r="N298" s="53"/>
      <x:c r="O298" s="53"/>
      <x:c r="P298" s="53"/>
      <x:c r="Q298" s="81" t="str">
        <x:f>IFERROR(INDEX('Resource Rate Library'!$C$5:$C$85,MATCH(P298,'Resource Rate Library'!$A$5:$A$85,0)),"")</x:f>
      </x:c>
      <x:c r="R298" s="53"/>
      <x:c r="S298" s="53"/>
      <x:c r="T298" s="81" t="str">
        <x:f>IFERROR(INDEX('Resource Rate Library'!$E$5:$E$85,MATCH(P298,'Resource Rate Library'!$A$5:$A$85,0)),"")</x:f>
      </x:c>
      <x:c r="U298" s="62"/>
      <x:c r="V298" s="62"/>
      <x:c r="W298" s="83" t="n">
        <x:f>IFERROR(INDEX('Resource Rate Library'!$I$5:$I$85,MATCH(P298,'Resource Rate Library'!$A$5:$A$85,0)),0)</x:f>
        <x:v>0</x:v>
      </x:c>
      <x:c r="X298" s="52"/>
      <x:c r="Y298" s="83" t="n">
        <x:f t="shared" si="26">IF(X298&gt;0,X298,W298)</x:f>
        <x:v>0</x:v>
      </x:c>
      <x:c r="Z298" s="83" t="str">
        <x:f t="shared" si="27">IF(B298="","",IF(N298="Time x Count",M298*R298*IF(U298="",1,U298)*Y298,IF(N298="QS Qty x Factor",E298*R298*(1+IF(V298="",0,V298))*Y298,IF(N298="Direct Qty",S298*(1+IF(V298="",0,V298))*Y298,IF(N298="Lump Sum / Quote",S298*Y298,0)))))</x:f>
      </x:c>
      <x:c r="AA298" s="81" t="str">
        <x:f>IFERROR(INDEX('Resource Rate Library'!$N$5:$N$85,MATCH(P298,'Resource Rate Library'!$A$5:$A$85,0)),"")</x:f>
      </x:c>
      <x:c r="AB298" s="53"/>
      <x:c r="AC298" s="59"/>
      <x:c r="AD298" s="81" t="str">
        <x:f>IFERROR(INDEX('Resource Rate Library'!$G$5:$G$85,MATCH(P298,'Resource Rate Library'!$A$5:$A$85,0)),"")</x:f>
      </x:c>
      <x:c r="AE298" s="81" t="str">
        <x:f>IFERROR(INDEX('Resource Rate Library'!$H$5:$H$85,MATCH(P298,'Resource Rate Library'!$A$5:$A$85,0)),"")</x:f>
      </x:c>
      <x:c r="AF298" s="53"/>
      <x:c r="AG298" s="53"/>
      <x:c r="AH298" s="53"/>
      <x:c r="AI298" s="81" t="str">
        <x:f t="shared" si="28">IF(B298="","",IF(AND(P298="",N298&lt;&gt;"Lump Sum / Quote"),"RESOURCE CODE",IF(Y298=0,"RATE MISSING",IF(AND(O298="Plant",AD298="Yes",COUNTIFS($B$7:$B$306,B298,$O$7:$O$306,"Labour",$Q$7:$Q$306,"*Operator*")&gt;0),"OPERATOR DOUBLE-COUNT",IF(AND(O298="Plant",AE298="Yes",COUNTIFS($B$7:$B$306,B298,$Q$7:$Q$306,"*Fuel*")&gt;0),"FUEL DOUBLE-COUNT",IF(AH298&lt;&gt;"Yes","VERIFY","OK"))))))</x:f>
      </x:c>
      <x:c r="AJ298" s="54"/>
      <x:c r="AK298" s="473"/>
      <x:c r="AL298" s="473"/>
      <x:c r="AM298" s="473"/>
      <x:c r="AN298" s="500" t="n">
        <x:f>IF(AND(AK298="Yes",OR(O298="Labour",O298="Plant")),Z298,0)</x:f>
        <x:v>0</x:v>
      </x:c>
    </x:row>
    <x:row r="299">
      <x:c r="A299" s="80" t="str">
        <x:f>IF(B299="","",B299&amp;"-"&amp;TEXT(COUNTIF($B$7:B299,B299),"000"))</x:f>
      </x:c>
      <x:c r="B299" s="53"/>
      <x:c r="C299" s="81" t="str">
        <x:f>IFERROR(INDEX('QS Takeoff'!$A$3:$A$194,MATCH(B299,'QS Takeoff'!$B$3:$B$194,0)),"")</x:f>
      </x:c>
      <x:c r="D299" s="81" t="str">
        <x:f>IFERROR(INDEX('QS Takeoff'!$C$3:$C$194,MATCH(B299,'QS Takeoff'!$B$3:$B$194,0)),"")</x:f>
      </x:c>
      <x:c r="E299" s="81" t="str">
        <x:f>IFERROR(INDEX('QS Takeoff'!$E$3:$E$194,MATCH(B299,'QS Takeoff'!$B$3:$B$194,0)),"")</x:f>
      </x:c>
      <x:c r="F299" s="81" t="str">
        <x:f>IFERROR(INDEX('QS Takeoff'!$D$3:$D$194,MATCH(B299,'QS Takeoff'!$B$3:$B$194,0)),"")</x:f>
      </x:c>
      <x:c r="G299" s="81" t="str">
        <x:f>IFERROR(INDEX('QS Takeoff'!$J$3:$J$194,MATCH(B299,'QS Takeoff'!$B$3:$B$194,0)),"")</x:f>
      </x:c>
      <x:c r="H299" s="53"/>
      <x:c r="I299" s="60"/>
      <x:c r="J299" s="60"/>
      <x:c r="K299" s="82" t="str">
        <x:f t="shared" si="24">IF(OR(B299="",I299="",I299=0),"",E299/I299)</x:f>
      </x:c>
      <x:c r="L299" s="60"/>
      <x:c r="M299" s="82" t="str">
        <x:f t="shared" si="25">IF(L299&gt;0,L299,K299)</x:f>
      </x:c>
      <x:c r="N299" s="53"/>
      <x:c r="O299" s="53"/>
      <x:c r="P299" s="53"/>
      <x:c r="Q299" s="81" t="str">
        <x:f>IFERROR(INDEX('Resource Rate Library'!$C$5:$C$85,MATCH(P299,'Resource Rate Library'!$A$5:$A$85,0)),"")</x:f>
      </x:c>
      <x:c r="R299" s="53"/>
      <x:c r="S299" s="53"/>
      <x:c r="T299" s="81" t="str">
        <x:f>IFERROR(INDEX('Resource Rate Library'!$E$5:$E$85,MATCH(P299,'Resource Rate Library'!$A$5:$A$85,0)),"")</x:f>
      </x:c>
      <x:c r="U299" s="62"/>
      <x:c r="V299" s="62"/>
      <x:c r="W299" s="83" t="n">
        <x:f>IFERROR(INDEX('Resource Rate Library'!$I$5:$I$85,MATCH(P299,'Resource Rate Library'!$A$5:$A$85,0)),0)</x:f>
        <x:v>0</x:v>
      </x:c>
      <x:c r="X299" s="52"/>
      <x:c r="Y299" s="83" t="n">
        <x:f t="shared" si="26">IF(X299&gt;0,X299,W299)</x:f>
        <x:v>0</x:v>
      </x:c>
      <x:c r="Z299" s="83" t="str">
        <x:f t="shared" si="27">IF(B299="","",IF(N299="Time x Count",M299*R299*IF(U299="",1,U299)*Y299,IF(N299="QS Qty x Factor",E299*R299*(1+IF(V299="",0,V299))*Y299,IF(N299="Direct Qty",S299*(1+IF(V299="",0,V299))*Y299,IF(N299="Lump Sum / Quote",S299*Y299,0)))))</x:f>
      </x:c>
      <x:c r="AA299" s="81" t="str">
        <x:f>IFERROR(INDEX('Resource Rate Library'!$N$5:$N$85,MATCH(P299,'Resource Rate Library'!$A$5:$A$85,0)),"")</x:f>
      </x:c>
      <x:c r="AB299" s="53"/>
      <x:c r="AC299" s="59"/>
      <x:c r="AD299" s="81" t="str">
        <x:f>IFERROR(INDEX('Resource Rate Library'!$G$5:$G$85,MATCH(P299,'Resource Rate Library'!$A$5:$A$85,0)),"")</x:f>
      </x:c>
      <x:c r="AE299" s="81" t="str">
        <x:f>IFERROR(INDEX('Resource Rate Library'!$H$5:$H$85,MATCH(P299,'Resource Rate Library'!$A$5:$A$85,0)),"")</x:f>
      </x:c>
      <x:c r="AF299" s="53"/>
      <x:c r="AG299" s="53"/>
      <x:c r="AH299" s="53"/>
      <x:c r="AI299" s="81" t="str">
        <x:f t="shared" si="28">IF(B299="","",IF(AND(P299="",N299&lt;&gt;"Lump Sum / Quote"),"RESOURCE CODE",IF(Y299=0,"RATE MISSING",IF(AND(O299="Plant",AD299="Yes",COUNTIFS($B$7:$B$306,B299,$O$7:$O$306,"Labour",$Q$7:$Q$306,"*Operator*")&gt;0),"OPERATOR DOUBLE-COUNT",IF(AND(O299="Plant",AE299="Yes",COUNTIFS($B$7:$B$306,B299,$Q$7:$Q$306,"*Fuel*")&gt;0),"FUEL DOUBLE-COUNT",IF(AH299&lt;&gt;"Yes","VERIFY","OK"))))))</x:f>
      </x:c>
      <x:c r="AJ299" s="54"/>
      <x:c r="AK299" s="473"/>
      <x:c r="AL299" s="473"/>
      <x:c r="AM299" s="473"/>
      <x:c r="AN299" s="500" t="n">
        <x:f>IF(AND(AK299="Yes",OR(O299="Labour",O299="Plant")),Z299,0)</x:f>
        <x:v>0</x:v>
      </x:c>
    </x:row>
    <x:row r="300">
      <x:c r="A300" s="80" t="str">
        <x:f>IF(B300="","",B300&amp;"-"&amp;TEXT(COUNTIF($B$7:B300,B300),"000"))</x:f>
      </x:c>
      <x:c r="B300" s="53"/>
      <x:c r="C300" s="81" t="str">
        <x:f>IFERROR(INDEX('QS Takeoff'!$A$3:$A$194,MATCH(B300,'QS Takeoff'!$B$3:$B$194,0)),"")</x:f>
      </x:c>
      <x:c r="D300" s="81" t="str">
        <x:f>IFERROR(INDEX('QS Takeoff'!$C$3:$C$194,MATCH(B300,'QS Takeoff'!$B$3:$B$194,0)),"")</x:f>
      </x:c>
      <x:c r="E300" s="81" t="str">
        <x:f>IFERROR(INDEX('QS Takeoff'!$E$3:$E$194,MATCH(B300,'QS Takeoff'!$B$3:$B$194,0)),"")</x:f>
      </x:c>
      <x:c r="F300" s="81" t="str">
        <x:f>IFERROR(INDEX('QS Takeoff'!$D$3:$D$194,MATCH(B300,'QS Takeoff'!$B$3:$B$194,0)),"")</x:f>
      </x:c>
      <x:c r="G300" s="81" t="str">
        <x:f>IFERROR(INDEX('QS Takeoff'!$J$3:$J$194,MATCH(B300,'QS Takeoff'!$B$3:$B$194,0)),"")</x:f>
      </x:c>
      <x:c r="H300" s="53"/>
      <x:c r="I300" s="60"/>
      <x:c r="J300" s="60"/>
      <x:c r="K300" s="82" t="str">
        <x:f t="shared" si="24">IF(OR(B300="",I300="",I300=0),"",E300/I300)</x:f>
      </x:c>
      <x:c r="L300" s="60"/>
      <x:c r="M300" s="82" t="str">
        <x:f t="shared" si="25">IF(L300&gt;0,L300,K300)</x:f>
      </x:c>
      <x:c r="N300" s="53"/>
      <x:c r="O300" s="53"/>
      <x:c r="P300" s="53"/>
      <x:c r="Q300" s="81" t="str">
        <x:f>IFERROR(INDEX('Resource Rate Library'!$C$5:$C$85,MATCH(P300,'Resource Rate Library'!$A$5:$A$85,0)),"")</x:f>
      </x:c>
      <x:c r="R300" s="53"/>
      <x:c r="S300" s="53"/>
      <x:c r="T300" s="81" t="str">
        <x:f>IFERROR(INDEX('Resource Rate Library'!$E$5:$E$85,MATCH(P300,'Resource Rate Library'!$A$5:$A$85,0)),"")</x:f>
      </x:c>
      <x:c r="U300" s="62"/>
      <x:c r="V300" s="62"/>
      <x:c r="W300" s="83" t="n">
        <x:f>IFERROR(INDEX('Resource Rate Library'!$I$5:$I$85,MATCH(P300,'Resource Rate Library'!$A$5:$A$85,0)),0)</x:f>
        <x:v>0</x:v>
      </x:c>
      <x:c r="X300" s="52"/>
      <x:c r="Y300" s="83" t="n">
        <x:f t="shared" si="26">IF(X300&gt;0,X300,W300)</x:f>
        <x:v>0</x:v>
      </x:c>
      <x:c r="Z300" s="83" t="str">
        <x:f t="shared" si="27">IF(B300="","",IF(N300="Time x Count",M300*R300*IF(U300="",1,U300)*Y300,IF(N300="QS Qty x Factor",E300*R300*(1+IF(V300="",0,V300))*Y300,IF(N300="Direct Qty",S300*(1+IF(V300="",0,V300))*Y300,IF(N300="Lump Sum / Quote",S300*Y300,0)))))</x:f>
      </x:c>
      <x:c r="AA300" s="81" t="str">
        <x:f>IFERROR(INDEX('Resource Rate Library'!$N$5:$N$85,MATCH(P300,'Resource Rate Library'!$A$5:$A$85,0)),"")</x:f>
      </x:c>
      <x:c r="AB300" s="53"/>
      <x:c r="AC300" s="59"/>
      <x:c r="AD300" s="81" t="str">
        <x:f>IFERROR(INDEX('Resource Rate Library'!$G$5:$G$85,MATCH(P300,'Resource Rate Library'!$A$5:$A$85,0)),"")</x:f>
      </x:c>
      <x:c r="AE300" s="81" t="str">
        <x:f>IFERROR(INDEX('Resource Rate Library'!$H$5:$H$85,MATCH(P300,'Resource Rate Library'!$A$5:$A$85,0)),"")</x:f>
      </x:c>
      <x:c r="AF300" s="53"/>
      <x:c r="AG300" s="53"/>
      <x:c r="AH300" s="53"/>
      <x:c r="AI300" s="81" t="str">
        <x:f t="shared" si="28">IF(B300="","",IF(AND(P300="",N300&lt;&gt;"Lump Sum / Quote"),"RESOURCE CODE",IF(Y300=0,"RATE MISSING",IF(AND(O300="Plant",AD300="Yes",COUNTIFS($B$7:$B$306,B300,$O$7:$O$306,"Labour",$Q$7:$Q$306,"*Operator*")&gt;0),"OPERATOR DOUBLE-COUNT",IF(AND(O300="Plant",AE300="Yes",COUNTIFS($B$7:$B$306,B300,$Q$7:$Q$306,"*Fuel*")&gt;0),"FUEL DOUBLE-COUNT",IF(AH300&lt;&gt;"Yes","VERIFY","OK"))))))</x:f>
      </x:c>
      <x:c r="AJ300" s="54"/>
      <x:c r="AK300" s="473"/>
      <x:c r="AL300" s="473"/>
      <x:c r="AM300" s="473"/>
      <x:c r="AN300" s="500" t="n">
        <x:f>IF(AND(AK300="Yes",OR(O300="Labour",O300="Plant")),Z300,0)</x:f>
        <x:v>0</x:v>
      </x:c>
    </x:row>
    <x:row r="301">
      <x:c r="A301" s="80" t="str">
        <x:f>IF(B301="","",B301&amp;"-"&amp;TEXT(COUNTIF($B$7:B301,B301),"000"))</x:f>
      </x:c>
      <x:c r="B301" s="53"/>
      <x:c r="C301" s="81" t="str">
        <x:f>IFERROR(INDEX('QS Takeoff'!$A$3:$A$194,MATCH(B301,'QS Takeoff'!$B$3:$B$194,0)),"")</x:f>
      </x:c>
      <x:c r="D301" s="81" t="str">
        <x:f>IFERROR(INDEX('QS Takeoff'!$C$3:$C$194,MATCH(B301,'QS Takeoff'!$B$3:$B$194,0)),"")</x:f>
      </x:c>
      <x:c r="E301" s="81" t="str">
        <x:f>IFERROR(INDEX('QS Takeoff'!$E$3:$E$194,MATCH(B301,'QS Takeoff'!$B$3:$B$194,0)),"")</x:f>
      </x:c>
      <x:c r="F301" s="81" t="str">
        <x:f>IFERROR(INDEX('QS Takeoff'!$D$3:$D$194,MATCH(B301,'QS Takeoff'!$B$3:$B$194,0)),"")</x:f>
      </x:c>
      <x:c r="G301" s="81" t="str">
        <x:f>IFERROR(INDEX('QS Takeoff'!$J$3:$J$194,MATCH(B301,'QS Takeoff'!$B$3:$B$194,0)),"")</x:f>
      </x:c>
      <x:c r="H301" s="53"/>
      <x:c r="I301" s="60"/>
      <x:c r="J301" s="60"/>
      <x:c r="K301" s="82" t="str">
        <x:f t="shared" si="24">IF(OR(B301="",I301="",I301=0),"",E301/I301)</x:f>
      </x:c>
      <x:c r="L301" s="60"/>
      <x:c r="M301" s="82" t="str">
        <x:f t="shared" si="25">IF(L301&gt;0,L301,K301)</x:f>
      </x:c>
      <x:c r="N301" s="53"/>
      <x:c r="O301" s="53"/>
      <x:c r="P301" s="53"/>
      <x:c r="Q301" s="81" t="str">
        <x:f>IFERROR(INDEX('Resource Rate Library'!$C$5:$C$85,MATCH(P301,'Resource Rate Library'!$A$5:$A$85,0)),"")</x:f>
      </x:c>
      <x:c r="R301" s="53"/>
      <x:c r="S301" s="53"/>
      <x:c r="T301" s="81" t="str">
        <x:f>IFERROR(INDEX('Resource Rate Library'!$E$5:$E$85,MATCH(P301,'Resource Rate Library'!$A$5:$A$85,0)),"")</x:f>
      </x:c>
      <x:c r="U301" s="62"/>
      <x:c r="V301" s="62"/>
      <x:c r="W301" s="83" t="n">
        <x:f>IFERROR(INDEX('Resource Rate Library'!$I$5:$I$85,MATCH(P301,'Resource Rate Library'!$A$5:$A$85,0)),0)</x:f>
        <x:v>0</x:v>
      </x:c>
      <x:c r="X301" s="52"/>
      <x:c r="Y301" s="83" t="n">
        <x:f t="shared" si="26">IF(X301&gt;0,X301,W301)</x:f>
        <x:v>0</x:v>
      </x:c>
      <x:c r="Z301" s="83" t="str">
        <x:f t="shared" si="27">IF(B301="","",IF(N301="Time x Count",M301*R301*IF(U301="",1,U301)*Y301,IF(N301="QS Qty x Factor",E301*R301*(1+IF(V301="",0,V301))*Y301,IF(N301="Direct Qty",S301*(1+IF(V301="",0,V301))*Y301,IF(N301="Lump Sum / Quote",S301*Y301,0)))))</x:f>
      </x:c>
      <x:c r="AA301" s="81" t="str">
        <x:f>IFERROR(INDEX('Resource Rate Library'!$N$5:$N$85,MATCH(P301,'Resource Rate Library'!$A$5:$A$85,0)),"")</x:f>
      </x:c>
      <x:c r="AB301" s="53"/>
      <x:c r="AC301" s="59"/>
      <x:c r="AD301" s="81" t="str">
        <x:f>IFERROR(INDEX('Resource Rate Library'!$G$5:$G$85,MATCH(P301,'Resource Rate Library'!$A$5:$A$85,0)),"")</x:f>
      </x:c>
      <x:c r="AE301" s="81" t="str">
        <x:f>IFERROR(INDEX('Resource Rate Library'!$H$5:$H$85,MATCH(P301,'Resource Rate Library'!$A$5:$A$85,0)),"")</x:f>
      </x:c>
      <x:c r="AF301" s="53"/>
      <x:c r="AG301" s="53"/>
      <x:c r="AH301" s="53"/>
      <x:c r="AI301" s="81" t="str">
        <x:f t="shared" si="28">IF(B301="","",IF(AND(P301="",N301&lt;&gt;"Lump Sum / Quote"),"RESOURCE CODE",IF(Y301=0,"RATE MISSING",IF(AND(O301="Plant",AD301="Yes",COUNTIFS($B$7:$B$306,B301,$O$7:$O$306,"Labour",$Q$7:$Q$306,"*Operator*")&gt;0),"OPERATOR DOUBLE-COUNT",IF(AND(O301="Plant",AE301="Yes",COUNTIFS($B$7:$B$306,B301,$Q$7:$Q$306,"*Fuel*")&gt;0),"FUEL DOUBLE-COUNT",IF(AH301&lt;&gt;"Yes","VERIFY","OK"))))))</x:f>
      </x:c>
      <x:c r="AJ301" s="54"/>
      <x:c r="AK301" s="473"/>
      <x:c r="AL301" s="473"/>
      <x:c r="AM301" s="473"/>
      <x:c r="AN301" s="500" t="n">
        <x:f>IF(AND(AK301="Yes",OR(O301="Labour",O301="Plant")),Z301,0)</x:f>
        <x:v>0</x:v>
      </x:c>
    </x:row>
    <x:row r="302">
      <x:c r="A302" s="80" t="str">
        <x:f>IF(B302="","",B302&amp;"-"&amp;TEXT(COUNTIF($B$7:B302,B302),"000"))</x:f>
      </x:c>
      <x:c r="B302" s="53"/>
      <x:c r="C302" s="81" t="str">
        <x:f>IFERROR(INDEX('QS Takeoff'!$A$3:$A$194,MATCH(B302,'QS Takeoff'!$B$3:$B$194,0)),"")</x:f>
      </x:c>
      <x:c r="D302" s="81" t="str">
        <x:f>IFERROR(INDEX('QS Takeoff'!$C$3:$C$194,MATCH(B302,'QS Takeoff'!$B$3:$B$194,0)),"")</x:f>
      </x:c>
      <x:c r="E302" s="81" t="str">
        <x:f>IFERROR(INDEX('QS Takeoff'!$E$3:$E$194,MATCH(B302,'QS Takeoff'!$B$3:$B$194,0)),"")</x:f>
      </x:c>
      <x:c r="F302" s="81" t="str">
        <x:f>IFERROR(INDEX('QS Takeoff'!$D$3:$D$194,MATCH(B302,'QS Takeoff'!$B$3:$B$194,0)),"")</x:f>
      </x:c>
      <x:c r="G302" s="81" t="str">
        <x:f>IFERROR(INDEX('QS Takeoff'!$J$3:$J$194,MATCH(B302,'QS Takeoff'!$B$3:$B$194,0)),"")</x:f>
      </x:c>
      <x:c r="H302" s="53"/>
      <x:c r="I302" s="60"/>
      <x:c r="J302" s="60"/>
      <x:c r="K302" s="82" t="str">
        <x:f t="shared" si="24">IF(OR(B302="",I302="",I302=0),"",E302/I302)</x:f>
      </x:c>
      <x:c r="L302" s="60"/>
      <x:c r="M302" s="82" t="str">
        <x:f t="shared" si="25">IF(L302&gt;0,L302,K302)</x:f>
      </x:c>
      <x:c r="N302" s="53"/>
      <x:c r="O302" s="53"/>
      <x:c r="P302" s="53"/>
      <x:c r="Q302" s="81" t="str">
        <x:f>IFERROR(INDEX('Resource Rate Library'!$C$5:$C$85,MATCH(P302,'Resource Rate Library'!$A$5:$A$85,0)),"")</x:f>
      </x:c>
      <x:c r="R302" s="53"/>
      <x:c r="S302" s="53"/>
      <x:c r="T302" s="81" t="str">
        <x:f>IFERROR(INDEX('Resource Rate Library'!$E$5:$E$85,MATCH(P302,'Resource Rate Library'!$A$5:$A$85,0)),"")</x:f>
      </x:c>
      <x:c r="U302" s="62"/>
      <x:c r="V302" s="62"/>
      <x:c r="W302" s="83" t="n">
        <x:f>IFERROR(INDEX('Resource Rate Library'!$I$5:$I$85,MATCH(P302,'Resource Rate Library'!$A$5:$A$85,0)),0)</x:f>
        <x:v>0</x:v>
      </x:c>
      <x:c r="X302" s="52"/>
      <x:c r="Y302" s="83" t="n">
        <x:f t="shared" si="26">IF(X302&gt;0,X302,W302)</x:f>
        <x:v>0</x:v>
      </x:c>
      <x:c r="Z302" s="83" t="str">
        <x:f t="shared" si="27">IF(B302="","",IF(N302="Time x Count",M302*R302*IF(U302="",1,U302)*Y302,IF(N302="QS Qty x Factor",E302*R302*(1+IF(V302="",0,V302))*Y302,IF(N302="Direct Qty",S302*(1+IF(V302="",0,V302))*Y302,IF(N302="Lump Sum / Quote",S302*Y302,0)))))</x:f>
      </x:c>
      <x:c r="AA302" s="81" t="str">
        <x:f>IFERROR(INDEX('Resource Rate Library'!$N$5:$N$85,MATCH(P302,'Resource Rate Library'!$A$5:$A$85,0)),"")</x:f>
      </x:c>
      <x:c r="AB302" s="53"/>
      <x:c r="AC302" s="59"/>
      <x:c r="AD302" s="81" t="str">
        <x:f>IFERROR(INDEX('Resource Rate Library'!$G$5:$G$85,MATCH(P302,'Resource Rate Library'!$A$5:$A$85,0)),"")</x:f>
      </x:c>
      <x:c r="AE302" s="81" t="str">
        <x:f>IFERROR(INDEX('Resource Rate Library'!$H$5:$H$85,MATCH(P302,'Resource Rate Library'!$A$5:$A$85,0)),"")</x:f>
      </x:c>
      <x:c r="AF302" s="53"/>
      <x:c r="AG302" s="53"/>
      <x:c r="AH302" s="53"/>
      <x:c r="AI302" s="81" t="str">
        <x:f t="shared" si="28">IF(B302="","",IF(AND(P302="",N302&lt;&gt;"Lump Sum / Quote"),"RESOURCE CODE",IF(Y302=0,"RATE MISSING",IF(AND(O302="Plant",AD302="Yes",COUNTIFS($B$7:$B$306,B302,$O$7:$O$306,"Labour",$Q$7:$Q$306,"*Operator*")&gt;0),"OPERATOR DOUBLE-COUNT",IF(AND(O302="Plant",AE302="Yes",COUNTIFS($B$7:$B$306,B302,$Q$7:$Q$306,"*Fuel*")&gt;0),"FUEL DOUBLE-COUNT",IF(AH302&lt;&gt;"Yes","VERIFY","OK"))))))</x:f>
      </x:c>
      <x:c r="AJ302" s="54"/>
      <x:c r="AK302" s="473"/>
      <x:c r="AL302" s="473"/>
      <x:c r="AM302" s="473"/>
      <x:c r="AN302" s="500" t="n">
        <x:f>IF(AND(AK302="Yes",OR(O302="Labour",O302="Plant")),Z302,0)</x:f>
        <x:v>0</x:v>
      </x:c>
    </x:row>
    <x:row r="303">
      <x:c r="A303" s="80" t="str">
        <x:f>IF(B303="","",B303&amp;"-"&amp;TEXT(COUNTIF($B$7:B303,B303),"000"))</x:f>
      </x:c>
      <x:c r="B303" s="53"/>
      <x:c r="C303" s="81" t="str">
        <x:f>IFERROR(INDEX('QS Takeoff'!$A$3:$A$194,MATCH(B303,'QS Takeoff'!$B$3:$B$194,0)),"")</x:f>
      </x:c>
      <x:c r="D303" s="81" t="str">
        <x:f>IFERROR(INDEX('QS Takeoff'!$C$3:$C$194,MATCH(B303,'QS Takeoff'!$B$3:$B$194,0)),"")</x:f>
      </x:c>
      <x:c r="E303" s="81" t="str">
        <x:f>IFERROR(INDEX('QS Takeoff'!$E$3:$E$194,MATCH(B303,'QS Takeoff'!$B$3:$B$194,0)),"")</x:f>
      </x:c>
      <x:c r="F303" s="81" t="str">
        <x:f>IFERROR(INDEX('QS Takeoff'!$D$3:$D$194,MATCH(B303,'QS Takeoff'!$B$3:$B$194,0)),"")</x:f>
      </x:c>
      <x:c r="G303" s="81" t="str">
        <x:f>IFERROR(INDEX('QS Takeoff'!$J$3:$J$194,MATCH(B303,'QS Takeoff'!$B$3:$B$194,0)),"")</x:f>
      </x:c>
      <x:c r="H303" s="53"/>
      <x:c r="I303" s="60"/>
      <x:c r="J303" s="60"/>
      <x:c r="K303" s="82" t="str">
        <x:f t="shared" si="24">IF(OR(B303="",I303="",I303=0),"",E303/I303)</x:f>
      </x:c>
      <x:c r="L303" s="60"/>
      <x:c r="M303" s="82" t="str">
        <x:f t="shared" si="25">IF(L303&gt;0,L303,K303)</x:f>
      </x:c>
      <x:c r="N303" s="53"/>
      <x:c r="O303" s="53"/>
      <x:c r="P303" s="53"/>
      <x:c r="Q303" s="81" t="str">
        <x:f>IFERROR(INDEX('Resource Rate Library'!$C$5:$C$85,MATCH(P303,'Resource Rate Library'!$A$5:$A$85,0)),"")</x:f>
      </x:c>
      <x:c r="R303" s="53"/>
      <x:c r="S303" s="53"/>
      <x:c r="T303" s="81" t="str">
        <x:f>IFERROR(INDEX('Resource Rate Library'!$E$5:$E$85,MATCH(P303,'Resource Rate Library'!$A$5:$A$85,0)),"")</x:f>
      </x:c>
      <x:c r="U303" s="62"/>
      <x:c r="V303" s="62"/>
      <x:c r="W303" s="83" t="n">
        <x:f>IFERROR(INDEX('Resource Rate Library'!$I$5:$I$85,MATCH(P303,'Resource Rate Library'!$A$5:$A$85,0)),0)</x:f>
        <x:v>0</x:v>
      </x:c>
      <x:c r="X303" s="52"/>
      <x:c r="Y303" s="83" t="n">
        <x:f t="shared" si="26">IF(X303&gt;0,X303,W303)</x:f>
        <x:v>0</x:v>
      </x:c>
      <x:c r="Z303" s="83" t="str">
        <x:f t="shared" si="27">IF(B303="","",IF(N303="Time x Count",M303*R303*IF(U303="",1,U303)*Y303,IF(N303="QS Qty x Factor",E303*R303*(1+IF(V303="",0,V303))*Y303,IF(N303="Direct Qty",S303*(1+IF(V303="",0,V303))*Y303,IF(N303="Lump Sum / Quote",S303*Y303,0)))))</x:f>
      </x:c>
      <x:c r="AA303" s="81" t="str">
        <x:f>IFERROR(INDEX('Resource Rate Library'!$N$5:$N$85,MATCH(P303,'Resource Rate Library'!$A$5:$A$85,0)),"")</x:f>
      </x:c>
      <x:c r="AB303" s="53"/>
      <x:c r="AC303" s="59"/>
      <x:c r="AD303" s="81" t="str">
        <x:f>IFERROR(INDEX('Resource Rate Library'!$G$5:$G$85,MATCH(P303,'Resource Rate Library'!$A$5:$A$85,0)),"")</x:f>
      </x:c>
      <x:c r="AE303" s="81" t="str">
        <x:f>IFERROR(INDEX('Resource Rate Library'!$H$5:$H$85,MATCH(P303,'Resource Rate Library'!$A$5:$A$85,0)),"")</x:f>
      </x:c>
      <x:c r="AF303" s="53"/>
      <x:c r="AG303" s="53"/>
      <x:c r="AH303" s="53"/>
      <x:c r="AI303" s="81" t="str">
        <x:f t="shared" si="28">IF(B303="","",IF(AND(P303="",N303&lt;&gt;"Lump Sum / Quote"),"RESOURCE CODE",IF(Y303=0,"RATE MISSING",IF(AND(O303="Plant",AD303="Yes",COUNTIFS($B$7:$B$306,B303,$O$7:$O$306,"Labour",$Q$7:$Q$306,"*Operator*")&gt;0),"OPERATOR DOUBLE-COUNT",IF(AND(O303="Plant",AE303="Yes",COUNTIFS($B$7:$B$306,B303,$Q$7:$Q$306,"*Fuel*")&gt;0),"FUEL DOUBLE-COUNT",IF(AH303&lt;&gt;"Yes","VERIFY","OK"))))))</x:f>
      </x:c>
      <x:c r="AJ303" s="54"/>
      <x:c r="AK303" s="473"/>
      <x:c r="AL303" s="473"/>
      <x:c r="AM303" s="473"/>
      <x:c r="AN303" s="500" t="n">
        <x:f>IF(AND(AK303="Yes",OR(O303="Labour",O303="Plant")),Z303,0)</x:f>
        <x:v>0</x:v>
      </x:c>
    </x:row>
    <x:row r="304">
      <x:c r="A304" s="80" t="str">
        <x:f>IF(B304="","",B304&amp;"-"&amp;TEXT(COUNTIF($B$7:B304,B304),"000"))</x:f>
      </x:c>
      <x:c r="B304" s="53"/>
      <x:c r="C304" s="81" t="str">
        <x:f>IFERROR(INDEX('QS Takeoff'!$A$3:$A$194,MATCH(B304,'QS Takeoff'!$B$3:$B$194,0)),"")</x:f>
      </x:c>
      <x:c r="D304" s="81" t="str">
        <x:f>IFERROR(INDEX('QS Takeoff'!$C$3:$C$194,MATCH(B304,'QS Takeoff'!$B$3:$B$194,0)),"")</x:f>
      </x:c>
      <x:c r="E304" s="81" t="str">
        <x:f>IFERROR(INDEX('QS Takeoff'!$E$3:$E$194,MATCH(B304,'QS Takeoff'!$B$3:$B$194,0)),"")</x:f>
      </x:c>
      <x:c r="F304" s="81" t="str">
        <x:f>IFERROR(INDEX('QS Takeoff'!$D$3:$D$194,MATCH(B304,'QS Takeoff'!$B$3:$B$194,0)),"")</x:f>
      </x:c>
      <x:c r="G304" s="81" t="str">
        <x:f>IFERROR(INDEX('QS Takeoff'!$J$3:$J$194,MATCH(B304,'QS Takeoff'!$B$3:$B$194,0)),"")</x:f>
      </x:c>
      <x:c r="H304" s="53"/>
      <x:c r="I304" s="60"/>
      <x:c r="J304" s="60"/>
      <x:c r="K304" s="82" t="str">
        <x:f t="shared" si="24">IF(OR(B304="",I304="",I304=0),"",E304/I304)</x:f>
      </x:c>
      <x:c r="L304" s="60"/>
      <x:c r="M304" s="82" t="str">
        <x:f t="shared" si="25">IF(L304&gt;0,L304,K304)</x:f>
      </x:c>
      <x:c r="N304" s="53"/>
      <x:c r="O304" s="53"/>
      <x:c r="P304" s="53"/>
      <x:c r="Q304" s="81" t="str">
        <x:f>IFERROR(INDEX('Resource Rate Library'!$C$5:$C$85,MATCH(P304,'Resource Rate Library'!$A$5:$A$85,0)),"")</x:f>
      </x:c>
      <x:c r="R304" s="53"/>
      <x:c r="S304" s="53"/>
      <x:c r="T304" s="81" t="str">
        <x:f>IFERROR(INDEX('Resource Rate Library'!$E$5:$E$85,MATCH(P304,'Resource Rate Library'!$A$5:$A$85,0)),"")</x:f>
      </x:c>
      <x:c r="U304" s="62"/>
      <x:c r="V304" s="62"/>
      <x:c r="W304" s="83" t="n">
        <x:f>IFERROR(INDEX('Resource Rate Library'!$I$5:$I$85,MATCH(P304,'Resource Rate Library'!$A$5:$A$85,0)),0)</x:f>
        <x:v>0</x:v>
      </x:c>
      <x:c r="X304" s="52"/>
      <x:c r="Y304" s="83" t="n">
        <x:f t="shared" si="26">IF(X304&gt;0,X304,W304)</x:f>
        <x:v>0</x:v>
      </x:c>
      <x:c r="Z304" s="83" t="str">
        <x:f t="shared" si="27">IF(B304="","",IF(N304="Time x Count",M304*R304*IF(U304="",1,U304)*Y304,IF(N304="QS Qty x Factor",E304*R304*(1+IF(V304="",0,V304))*Y304,IF(N304="Direct Qty",S304*(1+IF(V304="",0,V304))*Y304,IF(N304="Lump Sum / Quote",S304*Y304,0)))))</x:f>
      </x:c>
      <x:c r="AA304" s="81" t="str">
        <x:f>IFERROR(INDEX('Resource Rate Library'!$N$5:$N$85,MATCH(P304,'Resource Rate Library'!$A$5:$A$85,0)),"")</x:f>
      </x:c>
      <x:c r="AB304" s="53"/>
      <x:c r="AC304" s="59"/>
      <x:c r="AD304" s="81" t="str">
        <x:f>IFERROR(INDEX('Resource Rate Library'!$G$5:$G$85,MATCH(P304,'Resource Rate Library'!$A$5:$A$85,0)),"")</x:f>
      </x:c>
      <x:c r="AE304" s="81" t="str">
        <x:f>IFERROR(INDEX('Resource Rate Library'!$H$5:$H$85,MATCH(P304,'Resource Rate Library'!$A$5:$A$85,0)),"")</x:f>
      </x:c>
      <x:c r="AF304" s="53"/>
      <x:c r="AG304" s="53"/>
      <x:c r="AH304" s="53"/>
      <x:c r="AI304" s="81" t="str">
        <x:f t="shared" si="28">IF(B304="","",IF(AND(P304="",N304&lt;&gt;"Lump Sum / Quote"),"RESOURCE CODE",IF(Y304=0,"RATE MISSING",IF(AND(O304="Plant",AD304="Yes",COUNTIFS($B$7:$B$306,B304,$O$7:$O$306,"Labour",$Q$7:$Q$306,"*Operator*")&gt;0),"OPERATOR DOUBLE-COUNT",IF(AND(O304="Plant",AE304="Yes",COUNTIFS($B$7:$B$306,B304,$Q$7:$Q$306,"*Fuel*")&gt;0),"FUEL DOUBLE-COUNT",IF(AH304&lt;&gt;"Yes","VERIFY","OK"))))))</x:f>
      </x:c>
      <x:c r="AJ304" s="54"/>
      <x:c r="AK304" s="473"/>
      <x:c r="AL304" s="473"/>
      <x:c r="AM304" s="473"/>
      <x:c r="AN304" s="500" t="n">
        <x:f>IF(AND(AK304="Yes",OR(O304="Labour",O304="Plant")),Z304,0)</x:f>
        <x:v>0</x:v>
      </x:c>
    </x:row>
    <x:row r="305">
      <x:c r="A305" s="80" t="str">
        <x:f>IF(B305="","",B305&amp;"-"&amp;TEXT(COUNTIF($B$7:B305,B305),"000"))</x:f>
      </x:c>
      <x:c r="B305" s="53"/>
      <x:c r="C305" s="81" t="str">
        <x:f>IFERROR(INDEX('QS Takeoff'!$A$3:$A$194,MATCH(B305,'QS Takeoff'!$B$3:$B$194,0)),"")</x:f>
      </x:c>
      <x:c r="D305" s="81" t="str">
        <x:f>IFERROR(INDEX('QS Takeoff'!$C$3:$C$194,MATCH(B305,'QS Takeoff'!$B$3:$B$194,0)),"")</x:f>
      </x:c>
      <x:c r="E305" s="81" t="str">
        <x:f>IFERROR(INDEX('QS Takeoff'!$E$3:$E$194,MATCH(B305,'QS Takeoff'!$B$3:$B$194,0)),"")</x:f>
      </x:c>
      <x:c r="F305" s="81" t="str">
        <x:f>IFERROR(INDEX('QS Takeoff'!$D$3:$D$194,MATCH(B305,'QS Takeoff'!$B$3:$B$194,0)),"")</x:f>
      </x:c>
      <x:c r="G305" s="81" t="str">
        <x:f>IFERROR(INDEX('QS Takeoff'!$J$3:$J$194,MATCH(B305,'QS Takeoff'!$B$3:$B$194,0)),"")</x:f>
      </x:c>
      <x:c r="H305" s="53"/>
      <x:c r="I305" s="60"/>
      <x:c r="J305" s="60"/>
      <x:c r="K305" s="82" t="str">
        <x:f t="shared" si="24">IF(OR(B305="",I305="",I305=0),"",E305/I305)</x:f>
      </x:c>
      <x:c r="L305" s="60"/>
      <x:c r="M305" s="82" t="str">
        <x:f t="shared" si="25">IF(L305&gt;0,L305,K305)</x:f>
      </x:c>
      <x:c r="N305" s="53"/>
      <x:c r="O305" s="53"/>
      <x:c r="P305" s="53"/>
      <x:c r="Q305" s="81" t="str">
        <x:f>IFERROR(INDEX('Resource Rate Library'!$C$5:$C$85,MATCH(P305,'Resource Rate Library'!$A$5:$A$85,0)),"")</x:f>
      </x:c>
      <x:c r="R305" s="53"/>
      <x:c r="S305" s="53"/>
      <x:c r="T305" s="81" t="str">
        <x:f>IFERROR(INDEX('Resource Rate Library'!$E$5:$E$85,MATCH(P305,'Resource Rate Library'!$A$5:$A$85,0)),"")</x:f>
      </x:c>
      <x:c r="U305" s="62"/>
      <x:c r="V305" s="62"/>
      <x:c r="W305" s="83" t="n">
        <x:f>IFERROR(INDEX('Resource Rate Library'!$I$5:$I$85,MATCH(P305,'Resource Rate Library'!$A$5:$A$85,0)),0)</x:f>
        <x:v>0</x:v>
      </x:c>
      <x:c r="X305" s="52"/>
      <x:c r="Y305" s="83" t="n">
        <x:f t="shared" si="26">IF(X305&gt;0,X305,W305)</x:f>
        <x:v>0</x:v>
      </x:c>
      <x:c r="Z305" s="83" t="str">
        <x:f t="shared" si="27">IF(B305="","",IF(N305="Time x Count",M305*R305*IF(U305="",1,U305)*Y305,IF(N305="QS Qty x Factor",E305*R305*(1+IF(V305="",0,V305))*Y305,IF(N305="Direct Qty",S305*(1+IF(V305="",0,V305))*Y305,IF(N305="Lump Sum / Quote",S305*Y305,0)))))</x:f>
      </x:c>
      <x:c r="AA305" s="81" t="str">
        <x:f>IFERROR(INDEX('Resource Rate Library'!$N$5:$N$85,MATCH(P305,'Resource Rate Library'!$A$5:$A$85,0)),"")</x:f>
      </x:c>
      <x:c r="AB305" s="53"/>
      <x:c r="AC305" s="59"/>
      <x:c r="AD305" s="81" t="str">
        <x:f>IFERROR(INDEX('Resource Rate Library'!$G$5:$G$85,MATCH(P305,'Resource Rate Library'!$A$5:$A$85,0)),"")</x:f>
      </x:c>
      <x:c r="AE305" s="81" t="str">
        <x:f>IFERROR(INDEX('Resource Rate Library'!$H$5:$H$85,MATCH(P305,'Resource Rate Library'!$A$5:$A$85,0)),"")</x:f>
      </x:c>
      <x:c r="AF305" s="53"/>
      <x:c r="AG305" s="53"/>
      <x:c r="AH305" s="53"/>
      <x:c r="AI305" s="81" t="str">
        <x:f t="shared" si="28">IF(B305="","",IF(AND(P305="",N305&lt;&gt;"Lump Sum / Quote"),"RESOURCE CODE",IF(Y305=0,"RATE MISSING",IF(AND(O305="Plant",AD305="Yes",COUNTIFS($B$7:$B$306,B305,$O$7:$O$306,"Labour",$Q$7:$Q$306,"*Operator*")&gt;0),"OPERATOR DOUBLE-COUNT",IF(AND(O305="Plant",AE305="Yes",COUNTIFS($B$7:$B$306,B305,$Q$7:$Q$306,"*Fuel*")&gt;0),"FUEL DOUBLE-COUNT",IF(AH305&lt;&gt;"Yes","VERIFY","OK"))))))</x:f>
      </x:c>
      <x:c r="AJ305" s="54"/>
      <x:c r="AK305" s="473"/>
      <x:c r="AL305" s="473"/>
      <x:c r="AM305" s="473"/>
      <x:c r="AN305" s="500" t="n">
        <x:f>IF(AND(AK305="Yes",OR(O305="Labour",O305="Plant")),Z305,0)</x:f>
        <x:v>0</x:v>
      </x:c>
    </x:row>
    <x:row r="306">
      <x:c r="A306" s="84" t="str">
        <x:f>IF(B306="","",B306&amp;"-"&amp;TEXT(COUNTIF($B$7:B306,B306),"000"))</x:f>
      </x:c>
      <x:c r="B306" s="56"/>
      <x:c r="C306" s="85" t="str">
        <x:f>IFERROR(INDEX('QS Takeoff'!$A$3:$A$194,MATCH(B306,'QS Takeoff'!$B$3:$B$194,0)),"")</x:f>
      </x:c>
      <x:c r="D306" s="85" t="str">
        <x:f>IFERROR(INDEX('QS Takeoff'!$C$3:$C$194,MATCH(B306,'QS Takeoff'!$B$3:$B$194,0)),"")</x:f>
      </x:c>
      <x:c r="E306" s="85" t="str">
        <x:f>IFERROR(INDEX('QS Takeoff'!$E$3:$E$194,MATCH(B306,'QS Takeoff'!$B$3:$B$194,0)),"")</x:f>
      </x:c>
      <x:c r="F306" s="85" t="str">
        <x:f>IFERROR(INDEX('QS Takeoff'!$D$3:$D$194,MATCH(B306,'QS Takeoff'!$B$3:$B$194,0)),"")</x:f>
      </x:c>
      <x:c r="G306" s="85" t="str">
        <x:f>IFERROR(INDEX('QS Takeoff'!$J$3:$J$194,MATCH(B306,'QS Takeoff'!$B$3:$B$194,0)),"")</x:f>
      </x:c>
      <x:c r="H306" s="56"/>
      <x:c r="I306" s="61"/>
      <x:c r="J306" s="61"/>
      <x:c r="K306" s="86" t="str">
        <x:f t="shared" si="24">IF(OR(B306="",I306="",I306=0),"",E306/I306)</x:f>
      </x:c>
      <x:c r="L306" s="61"/>
      <x:c r="M306" s="86" t="str">
        <x:f t="shared" si="25">IF(L306&gt;0,L306,K306)</x:f>
      </x:c>
      <x:c r="N306" s="56"/>
      <x:c r="O306" s="56"/>
      <x:c r="P306" s="56"/>
      <x:c r="Q306" s="85" t="str">
        <x:f>IFERROR(INDEX('Resource Rate Library'!$C$5:$C$85,MATCH(P306,'Resource Rate Library'!$A$5:$A$85,0)),"")</x:f>
      </x:c>
      <x:c r="R306" s="56"/>
      <x:c r="S306" s="56"/>
      <x:c r="T306" s="85" t="str">
        <x:f>IFERROR(INDEX('Resource Rate Library'!$E$5:$E$85,MATCH(P306,'Resource Rate Library'!$A$5:$A$85,0)),"")</x:f>
      </x:c>
      <x:c r="U306" s="63"/>
      <x:c r="V306" s="63"/>
      <x:c r="W306" s="87" t="n">
        <x:f>IFERROR(INDEX('Resource Rate Library'!$I$5:$I$85,MATCH(P306,'Resource Rate Library'!$A$5:$A$85,0)),0)</x:f>
        <x:v>0</x:v>
      </x:c>
      <x:c r="X306" s="55"/>
      <x:c r="Y306" s="87" t="n">
        <x:f t="shared" si="26">IF(X306&gt;0,X306,W306)</x:f>
        <x:v>0</x:v>
      </x:c>
      <x:c r="Z306" s="87" t="str">
        <x:f t="shared" si="27">IF(B306="","",IF(N306="Time x Count",M306*R306*IF(U306="",1,U306)*Y306,IF(N306="QS Qty x Factor",E306*R306*(1+IF(V306="",0,V306))*Y306,IF(N306="Direct Qty",S306*(1+IF(V306="",0,V306))*Y306,IF(N306="Lump Sum / Quote",S306*Y306,0)))))</x:f>
      </x:c>
      <x:c r="AA306" s="85" t="str">
        <x:f>IFERROR(INDEX('Resource Rate Library'!$N$5:$N$85,MATCH(P306,'Resource Rate Library'!$A$5:$A$85,0)),"")</x:f>
      </x:c>
      <x:c r="AB306" s="56"/>
      <x:c r="AC306" s="64"/>
      <x:c r="AD306" s="85" t="str">
        <x:f>IFERROR(INDEX('Resource Rate Library'!$G$5:$G$85,MATCH(P306,'Resource Rate Library'!$A$5:$A$85,0)),"")</x:f>
      </x:c>
      <x:c r="AE306" s="85" t="str">
        <x:f>IFERROR(INDEX('Resource Rate Library'!$H$5:$H$85,MATCH(P306,'Resource Rate Library'!$A$5:$A$85,0)),"")</x:f>
      </x:c>
      <x:c r="AF306" s="56"/>
      <x:c r="AG306" s="56"/>
      <x:c r="AH306" s="56"/>
      <x:c r="AI306" s="85" t="str">
        <x:f t="shared" si="28">IF(B306="","",IF(AND(P306="",N306&lt;&gt;"Lump Sum / Quote"),"RESOURCE CODE",IF(Y306=0,"RATE MISSING",IF(AND(O306="Plant",AD306="Yes",COUNTIFS($B$7:$B$306,B306,$O$7:$O$306,"Labour",$Q$7:$Q$306,"*Operator*")&gt;0),"OPERATOR DOUBLE-COUNT",IF(AND(O306="Plant",AE306="Yes",COUNTIFS($B$7:$B$306,B306,$Q$7:$Q$306,"*Fuel*")&gt;0),"FUEL DOUBLE-COUNT",IF(AH306&lt;&gt;"Yes","VERIFY","OK"))))))</x:f>
      </x:c>
      <x:c r="AJ306" s="57"/>
      <x:c r="AK306" s="473"/>
      <x:c r="AL306" s="473"/>
      <x:c r="AM306" s="473"/>
      <x:c r="AN306" s="500" t="n">
        <x:f>IF(AND(AK306="Yes",OR(O306="Labour",O306="Plant")),Z306,0)</x:f>
        <x:v>0</x:v>
      </x:c>
    </x:row>
  </x:sheetData>
  <x:mergeCells>
    <x:mergeCell ref="A1:AJ1"/>
    <x:mergeCell ref="A2:AJ2"/>
    <x:mergeCell ref="A3:AJ3"/>
    <x:mergeCell ref="A4:AJ4"/>
    <x:mergeCell ref="A5:AN5"/>
  </x:mergeCells>
  <x:conditionalFormatting sqref="AJ7:AJ306">
    <x:cfRule type="expression" dxfId="2" priority="1">
      <x:formula>$AJ7="OK"</x:formula>
    </x:cfRule>
    <x:cfRule type="expression" dxfId="1" priority="2">
      <x:formula>OR($AJ7="VERIFY",$AJ7="RATE MISSING",$AJ7="RESOURCE CODE")</x:formula>
    </x:cfRule>
    <x:cfRule type="expression" dxfId="0" priority="3">
      <x:formula>OR($AJ7="OPERATOR DOUBLE-COUNT",$AJ7="FUEL DOUBLE-COUNT")</x:formula>
    </x:cfRule>
  </x:conditionalFormatting>
  <x:dataValidations count="9">
    <x:dataValidation type="list" sqref="N7:N306">
      <x:formula1>"Time x Count,QS Qty x Factor,Direct Qty,Lump Sum / Quote"</x:formula1>
    </x:dataValidation>
    <x:dataValidation type="list" sqref="O7:O306">
      <x:formula1>"Labour,Plant,Material,Subcontract,Cartage,Disposal,Testing,Other"</x:formula1>
    </x:dataValidation>
    <x:dataValidation type="list" sqref="AF7:AF306">
      <x:formula1>"High,Medium,Low,Quote-backed,Not assessed"</x:formula1>
    </x:dataValidation>
    <x:dataValidation type="list" sqref="AH7:AH306">
      <x:formula1>"Yes,No,Pending"</x:formula1>
    </x:dataValidation>
    <x:dataValidation type="custom" allowBlank="1" showErrorMessage="1" errorTitle="Linked formula cell" error="This value is linked. Change the upstream input/source instead of overwriting this cell." sqref="A7:A306 AI7:AI306 AD7:AE306 Y7:AA306 W7:W306 T7:T306 Q7:Q306 M7:M306 K7:K306 C7:G306">
      <x:formula1>FALSE</x:formula1>
    </x:dataValidation>
    <x:dataValidation type="decimal" operator="greaterThanOrEqual" sqref="X81">
      <x:formula1>0</x:formula1>
    </x:dataValidation>
    <x:dataValidation type="list" sqref="AK7:AK306">
      <x:formula1>"Yes,No"</x:formula1>
    </x:dataValidation>
    <x:dataValidation type="list" sqref="AL7:AL306">
      <x:formula1>'Weather Risk'!$J$54:$J$71</x:formula1>
    </x:dataValidation>
    <x:dataValidation type="list" sqref="P7:P306">
      <x:formula1>'Resource Rate Library'!$A$5:$A$85</x:formula1>
    </x:dataValidation>
  </x:dataValidation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3.800000190734863"/>
  <x:cols>
    <x:col min="1" max="1" width="12" customWidth="1"/>
    <x:col min="2" max="2" width="14" customWidth="1"/>
    <x:col min="3" max="3" width="16.59765625" customWidth="1"/>
    <x:col min="4" max="4" width="33.59765625" customWidth="1"/>
    <x:col min="5" max="5" width="83.296875" customWidth="1"/>
    <x:col min="6" max="6" width="25.19921875" customWidth="1"/>
    <x:col min="7" max="7" width="48.3984375" customWidth="1"/>
    <x:col min="8" max="8" width="10" customWidth="1"/>
    <x:col min="9" max="9" width="13" customWidth="1"/>
    <x:col min="10" max="10" width="15" customWidth="1"/>
    <x:col min="11" max="11" width="44" customWidth="1"/>
    <x:col min="12" max="12" width="10" customWidth="1"/>
    <x:col min="13" max="13" width="44" customWidth="1"/>
    <x:col min="14" max="14" width="10" customWidth="1"/>
    <x:col min="15" max="15" width="44" customWidth="1"/>
    <x:col min="16" max="16" width="10" customWidth="1"/>
    <x:col min="17" max="17" width="8" customWidth="1"/>
    <x:col min="18" max="18" width="13" customWidth="1"/>
    <x:col min="19" max="19" width="12" customWidth="1"/>
    <x:col min="20" max="20" width="53" customWidth="1"/>
    <x:col min="21" max="21" width="40" customWidth="1"/>
    <x:col min="22" max="22" width="38" customWidth="1"/>
  </x:cols>
  <x:sheetData>
    <x:row r="1" s="3" customFormat="1" ht="38.400001525878906" customHeight="1">
      <x:c r="A1" s="236" t="str">
        <x:v>RATE &amp; ALLOWANCE VERIFICATION - MASTER ESTIMATE WORKBOOK REV4</x:v>
      </x:c>
      <x:c r="B1" s="236"/>
      <x:c r="C1" s="236"/>
      <x:c r="D1" s="236"/>
      <x:c r="E1" s="236"/>
      <x:c r="F1" s="236"/>
      <x:c r="G1" s="236"/>
      <x:c r="H1" s="236"/>
      <x:c r="I1" s="236"/>
      <x:c r="J1" s="236"/>
      <x:c r="K1" s="236"/>
      <x:c r="L1" s="236"/>
      <x:c r="M1" s="236"/>
      <x:c r="N1" s="236"/>
      <x:c r="O1" s="236"/>
      <x:c r="P1" s="236"/>
      <x:c r="Q1" s="236"/>
      <x:c r="R1" s="236"/>
      <x:c r="S1" s="236"/>
      <x:c r="T1" s="236"/>
      <x:c r="U1" s="236"/>
      <x:c r="V1" s="236"/>
    </x:row>
    <x:row r="2" s="3" customFormat="1" ht="34.04999923706055" customHeight="1">
      <x:c r="A2" s="237" t="str">
        <x:v>GREEN requires: (1) current primary evidence, (2) an independent market check, and (3) a first-principles quantity/scope/arithmetic check. This source-level verification remains mandatory and is separate from the Independent Estimate Verification Board. An allowance may remain AMBER; unsupported quote/design items are RED.</x:v>
      </x:c>
      <x:c r="B2" s="237"/>
      <x:c r="C2" s="237"/>
      <x:c r="D2" s="237"/>
      <x:c r="E2" s="237"/>
      <x:c r="F2" s="237"/>
      <x:c r="G2" s="237"/>
      <x:c r="H2" s="237"/>
      <x:c r="I2" s="237"/>
      <x:c r="J2" s="237"/>
      <x:c r="K2" s="237"/>
      <x:c r="L2" s="237"/>
      <x:c r="M2" s="237"/>
      <x:c r="N2" s="237"/>
      <x:c r="O2" s="237"/>
      <x:c r="P2" s="237"/>
      <x:c r="Q2" s="237"/>
      <x:c r="R2" s="237"/>
      <x:c r="S2" s="237"/>
      <x:c r="T2" s="237"/>
      <x:c r="U2" s="237"/>
      <x:c r="V2" s="237"/>
    </x:row>
    <x:row r="3" s="3" customFormat="1" ht="18.600000381469727" customHeight="1">
      <x:c r="A3" s="176" t="s">
        <x:v>11</x:v>
      </x:c>
      <x:c r="B3" s="176" t="s">
        <x:v>497</x:v>
      </x:c>
      <x:c r="C3" s="176" t="s">
        <x:v>498</x:v>
      </x:c>
      <x:c r="E3" s="176" t="s">
        <x:v>11</x:v>
      </x:c>
      <x:c r="F3" s="176" t="s">
        <x:v>497</x:v>
      </x:c>
      <x:c r="G3" s="176" t="s">
        <x:v>498</x:v>
      </x:c>
    </x:row>
    <x:row r="4" s="3" customFormat="1" ht="18.600000381469727" customHeight="1">
      <x:c r="A4" s="177" t="s">
        <x:v>499</x:v>
      </x:c>
      <x:c r="B4" s="177" t="n">
        <x:f>COUNTIF($T$8:$T$136,"GREEN - 3-point checked")+COUNTIF($T$8:$T$136,"GREEN - duplicate prevented")</x:f>
        <x:v>2</x:v>
      </x:c>
      <x:c r="C4" s="178" t="n">
        <x:f>SUMIF($T$8:$T$136,"GREEN - 3-point checked",$J$8:$J$136)+SUMIF($T$8:$T$136,"GREEN - duplicate prevented",$J$8:$J$136)</x:f>
        <x:v>1203.35</x:v>
      </x:c>
      <x:c r="E4" s="179" t="s">
        <x:v>500</x:v>
      </x:c>
      <x:c r="F4" s="179" t="n">
        <x:f>COUNTIF($T$8:$T$136,"RED - live quote/design evidence required")+COUNTIF($T$8:$T$136,"RED - allowance basis/quote required")</x:f>
        <x:v>0</x:v>
      </x:c>
      <x:c r="G4" s="180" t="n">
        <x:f>SUMIF($T$8:$T$136,"RED - live quote/design evidence required",$J$8:$J$136)+SUMIF($T$8:$T$136,"RED - allowance basis/quote required",$J$8:$J$136)</x:f>
        <x:v>0</x:v>
      </x:c>
    </x:row>
    <x:row r="5" s="3" customFormat="1" ht="18.600000381469727" customHeight="1">
      <x:c r="A5" s="181" t="s">
        <x:v>501</x:v>
      </x:c>
      <x:c r="B5" s="181" t="n">
        <x:f>COUNTIF($T$8:$T$136,"AMBER - company cost rate required")+COUNTIF($T$8:$T$136,"AMBER - explicit allowance; second evidence required")+COUNTIF($T$8:$T$136,"AMBER - benchmark only")+COUNTIF($T$8:$T$136,"AMBER - 3-point benchmark; quote required")+COUNTIF($T$8:$T$136,"AMBER - specification/delivery quote required")+COUNTIF($T$8:$T$136,"AMBER - benchmarked PC; NZ supplier quote required")+COUNTIF($T$8:$T$136,"AMBER - PC SUM / QUOTE REQUIRED")+COUNTIF($T$8:$T$136,"AMBER - PC sum / part quote requested")+COUNTIF($T$8:$T$136,"AMBER - PC SUM / RFI HOLD")+COUNTIF($T$8:$T$136,"AMBER - PC SUM / DUPLICATION CHECK")+COUNTIF($T$8:$T$136,"AMBER - QUOTE REQUEST SENT")+COUNTIF($T$8:$T$136,"AMBER - PC SUM / DESIGN HOLD")+COUNTIF($T$8:$T$136,"AMBER - QUOTE REQUEST SENT / SCOPE CONFIRM")</x:f>
        <x:v>43</x:v>
      </x:c>
      <x:c r="C5" s="182" t="n">
        <x:f>SUMIF($T$8:$T$136,"AMBER - company cost rate required",$J$8:$J$136)+SUMIF($T$8:$T$136,"AMBER - explicit allowance; second evidence required",$J$8:$J$136)+SUMIF($T$8:$T$136,"AMBER - benchmark only",$J$8:$J$136)+SUMIF($T$8:$T$136,"AMBER - 3-point benchmark; quote required",$J$8:$J$136)+SUMIF($T$8:$T$136,"AMBER - specification/delivery quote required",$J$8:$J$136)+SUMIF($T$8:$T$136,"AMBER - benchmarked PC; NZ supplier quote required",$J$8:$J$136)+SUMIF($T$8:$T$136,"AMBER - PC SUM / QUOTE REQUIRED",$J$8:$J$136)+SUMIF($T$8:$T$136,"AMBER - PC sum / part quote requested",$J$8:$J$136)+SUMIF($T$8:$T$136,"AMBER - PC SUM / RFI HOLD",$J$8:$J$136)+SUMIF($T$8:$T$136,"AMBER - PC SUM / DUPLICATION CHECK",$J$8:$J$136)+SUMIF($T$8:$T$136,"AMBER - QUOTE REQUEST SENT",$J$8:$J$136)+SUMIF($T$8:$T$136,"AMBER - PC SUM / DESIGN HOLD",$J$8:$J$136)+SUMIF($T$8:$T$136,"AMBER - QUOTE REQUEST SENT / SCOPE CONFIRM",$J$8:$J$136)</x:f>
        <x:v>174994.0290535457</x:v>
      </x:c>
      <x:c r="E5" s="183" t="s">
        <x:v>502</x:v>
      </x:c>
      <x:c r="F5" s="183" t="s">
        <x:v>503</x:v>
      </x:c>
      <x:c r="G5" s="183" t="s">
        <x:v>504</x:v>
      </x:c>
    </x:row>
    <x:row r="7" ht="37.95000076293945" customHeight="1">
      <x:c r="A7" s="95" t="s">
        <x:v>505</x:v>
      </x:c>
      <x:c r="B7" s="96" t="s">
        <x:v>506</x:v>
      </x:c>
      <x:c r="C7" s="96" t="s">
        <x:v>468</x:v>
      </x:c>
      <x:c r="D7" s="96" t="s">
        <x:v>469</x:v>
      </x:c>
      <x:c r="E7" s="96" t="s">
        <x:v>507</x:v>
      </x:c>
      <x:c r="F7" s="96" t="s">
        <x:v>254</x:v>
      </x:c>
      <x:c r="G7" s="96" t="s">
        <x:v>508</x:v>
      </x:c>
      <x:c r="H7" s="96" t="s">
        <x:v>214</x:v>
      </x:c>
      <x:c r="I7" s="96" t="s">
        <x:v>489</x:v>
      </x:c>
      <x:c r="J7" s="96" t="s">
        <x:v>490</x:v>
      </x:c>
      <x:c r="K7" s="96" t="s">
        <x:v>509</x:v>
      </x:c>
      <x:c r="L7" s="96" t="s">
        <x:v>510</x:v>
      </x:c>
      <x:c r="M7" s="96" t="s">
        <x:v>511</x:v>
      </x:c>
      <x:c r="N7" s="96" t="s">
        <x:v>512</x:v>
      </x:c>
      <x:c r="O7" s="96" t="s">
        <x:v>513</x:v>
      </x:c>
      <x:c r="P7" s="96" t="s">
        <x:v>514</x:v>
      </x:c>
      <x:c r="Q7" s="96" t="s">
        <x:v>515</x:v>
      </x:c>
      <x:c r="R7" s="96" t="s">
        <x:v>493</x:v>
      </x:c>
      <x:c r="S7" s="96" t="s">
        <x:v>269</x:v>
      </x:c>
      <x:c r="T7" s="96" t="s">
        <x:v>516</x:v>
      </x:c>
      <x:c r="U7" s="96" t="s">
        <x:v>517</x:v>
      </x:c>
      <x:c r="V7" s="97" t="s">
        <x:v>518</x:v>
      </x:c>
    </x:row>
    <x:row r="8" ht="32.400001525878906" customHeight="1">
      <x:c r="A8" s="98" t="s">
        <x:v>519</x:v>
      </x:c>
      <x:c r="B8" s="98" t="str">
        <x:f>'Resource Build-Up'!A7</x:f>
        <x:v>EW01-001</x:v>
      </x:c>
      <x:c r="C8" s="98" t="str">
        <x:f>'Resource Build-Up'!B7</x:f>
        <x:v>EW01</x:v>
      </x:c>
      <x:c r="D8" s="26" t="str">
        <x:f>'Resource Build-Up'!C7</x:f>
        <x:v>Earthworks</x:v>
      </x:c>
      <x:c r="E8" s="26" t="str">
        <x:f>'Resource Build-Up'!H7</x:f>
        <x:v>Clear/surface strip workfront</x:v>
      </x:c>
      <x:c r="F8" s="26" t="str">
        <x:f>'Resource Build-Up'!P7</x:f>
        <x:v>PL-EXC-13</x:v>
      </x:c>
      <x:c r="G8" s="26" t="str">
        <x:f>'Resource Build-Up'!Q7</x:f>
        <x:v>14 t excavator wet hire</x:v>
      </x:c>
      <x:c r="H8" s="26" t="str">
        <x:f>'Resource Build-Up'!T7</x:f>
        <x:v>hr</x:v>
      </x:c>
      <x:c r="I8" s="44" t="n">
        <x:f>'Resource Build-Up'!Y7</x:f>
        <x:v>150</x:v>
      </x:c>
      <x:c r="J8" s="44" t="n">
        <x:f>'Resource Build-Up'!Z7</x:f>
        <x:v>3946.875</x:v>
      </x:c>
      <x:c r="K8" s="26" t="str">
        <x:v>Published wet-hire supplier evidence retained in Rev4 library</x:v>
      </x:c>
      <x:c r="L8" s="26" t="str">
        <x:v>PASS</x:v>
      </x:c>
      <x:c r="M8" s="26" t="str">
        <x:v>NZ Machine Hire cross-check retained in library</x:v>
      </x:c>
      <x:c r="N8" s="26" t="str">
        <x:v>PASS</x:v>
      </x:c>
      <x:c r="O8" s="26" t="str">
        <x:v>Hobsonville quantity is project-based; 80m2/hr productivity remains judgement</x:v>
      </x:c>
      <x:c r="P8" s="26" t="str">
        <x:v>AMBER</x:v>
      </x:c>
      <x:c r="Q8" s="26" t="n">
        <x:f t="shared" ref="Q8:Q39" si="0">COUNTIF(L8,"PASS")+COUNTIF(N8,"PASS")+COUNTIF(P8,"PASS")</x:f>
        <x:v>2</x:v>
      </x:c>
      <x:c r="R8" s="26" t="str">
        <x:f>'Resource Build-Up'!AC7</x:f>
        <x:v>11-Sep-2026</x:v>
      </x:c>
      <x:c r="S8" s="26" t="str">
        <x:f>'Resource Build-Up'!AF7</x:f>
        <x:v>AMBER - CURRENT REV17 AREA / PRODUCTIVITY VERIFY</x:v>
      </x:c>
      <x:c r="T8" s="99" t="str">
        <x:v>AMBER - 3-point benchmark; quote required</x:v>
      </x:c>
      <x:c r="U8" s="26" t="str">
        <x:v>Verify surface-clearance productivity / actual crew method</x:v>
      </x:c>
      <x:c r="V8" s="26" t="str">
        <x:f>'Resource Build-Up'!AG7</x:f>
        <x:v>2,105m2 current area. Bulk cut/fill quantity conflict is tracked separately under RFI-15; do not alter this surface-strip method to force the mass balance.</x:v>
      </x:c>
    </x:row>
    <x:row r="9" ht="32.400001525878906" customHeight="1">
      <x:c r="A9" s="98" t="s">
        <x:v>520</x:v>
      </x:c>
      <x:c r="B9" s="98" t="str">
        <x:f>'Resource Build-Up'!A8</x:f>
        <x:v>EW01-002</x:v>
      </x:c>
      <x:c r="C9" s="98" t="str">
        <x:f>'Resource Build-Up'!B8</x:f>
        <x:v>EW01</x:v>
      </x:c>
      <x:c r="D9" s="26" t="str">
        <x:f>'Resource Build-Up'!C8</x:f>
        <x:v>Earthworks</x:v>
      </x:c>
      <x:c r="E9" s="26" t="str">
        <x:f>'Resource Build-Up'!H8</x:f>
        <x:v>Clear/surface strip labour support</x:v>
      </x:c>
      <x:c r="F9" s="26" t="str">
        <x:f>'Resource Build-Up'!P8</x:f>
        <x:v>LAB-LABOURER</x:v>
      </x:c>
      <x:c r="G9" s="26" t="str">
        <x:f>'Resource Build-Up'!Q8</x:f>
        <x:v>Civil labourer</x:v>
      </x:c>
      <x:c r="H9" s="26" t="str">
        <x:f>'Resource Build-Up'!T8</x:f>
        <x:v>hr</x:v>
      </x:c>
      <x:c r="I9" s="44" t="n">
        <x:f>'Resource Build-Up'!Y8</x:f>
        <x:v>38</x:v>
      </x:c>
      <x:c r="J9" s="44" t="n">
        <x:f>'Resource Build-Up'!Z8</x:f>
        <x:v>999.875</x:v>
      </x:c>
      <x:c r="K9" s="26" t="str">
        <x:v>Auckland labour market/on-cost benchmark in library</x:v>
      </x:c>
      <x:c r="L9" s="26" t="str">
        <x:v>AMBER</x:v>
      </x:c>
      <x:c r="M9" s="26" t="str">
        <x:v>SEEK/statutory market cross-check in library</x:v>
      </x:c>
      <x:c r="N9" s="26" t="str">
        <x:v>PASS</x:v>
      </x:c>
      <x:c r="O9" s="26" t="str">
        <x:v>Labour tied to same 80m2/hr workfront; company payroll not supplied</x:v>
      </x:c>
      <x:c r="P9" s="26" t="str">
        <x:v>PASS</x:v>
      </x:c>
      <x:c r="Q9" s="26">
        <x:f t="shared" si="0"/>
        <x:v>2</x:v>
      </x:c>
      <x:c r="R9" s="26" t="str">
        <x:f>'Resource Build-Up'!AC8</x:f>
        <x:v>11-Sep-2026</x:v>
      </x:c>
      <x:c r="S9" s="26" t="str">
        <x:f>'Resource Build-Up'!AF8</x:f>
        <x:v>AMBER - CURRENT REV17 AREA / PRODUCTIVITY VERIFY</x:v>
      </x:c>
      <x:c r="T9" s="99" t="str">
        <x:v>AMBER - company cost rate required</x:v>
      </x:c>
      <x:c r="U9" s="26" t="str">
        <x:v>Firm labour cost to Siteworks actual payroll before award</x:v>
      </x:c>
      <x:c r="V9" s="26" t="str">
        <x:f>'Resource Build-Up'!AG8</x:f>
        <x:v>2,105m2 current area. Bulk cut/fill quantity conflict is tracked separately under RFI-15; do not alter this surface-strip method to force the mass balance.</x:v>
      </x:c>
    </x:row>
    <x:row r="10" ht="32.400001525878906" customHeight="1">
      <x:c r="A10" s="98" t="s">
        <x:v>521</x:v>
      </x:c>
      <x:c r="B10" s="98" t="str">
        <x:f>'Resource Build-Up'!A9</x:f>
        <x:v>EW02-001</x:v>
      </x:c>
      <x:c r="C10" s="98" t="str">
        <x:f>'Resource Build-Up'!B9</x:f>
        <x:v>EW02</x:v>
      </x:c>
      <x:c r="D10" s="26" t="str">
        <x:f>'Resource Build-Up'!C9</x:f>
        <x:v>Earthworks</x:v>
      </x:c>
      <x:c r="E10" s="26" t="str">
        <x:f>'Resource Build-Up'!H9</x:f>
        <x:v>Bulk earthworks excavate / move / place</x:v>
      </x:c>
      <x:c r="F10" s="26" t="str">
        <x:f>'Resource Build-Up'!P9</x:f>
        <x:v>PL-EXC-13</x:v>
      </x:c>
      <x:c r="G10" s="26" t="str">
        <x:f>'Resource Build-Up'!Q9</x:f>
        <x:v>14 t excavator wet hire</x:v>
      </x:c>
      <x:c r="H10" s="26" t="str">
        <x:f>'Resource Build-Up'!T9</x:f>
        <x:v>hr</x:v>
      </x:c>
      <x:c r="I10" s="44" t="n">
        <x:f>'Resource Build-Up'!Y9</x:f>
        <x:v>150</x:v>
      </x:c>
      <x:c r="J10" s="44" t="n">
        <x:f>'Resource Build-Up'!Z9</x:f>
        <x:v>10329.999999999998</x:v>
      </x:c>
      <x:c r="K10" s="26" t="str">
        <x:v>Published wet-hire supplier evidence retained in Rev4 library</x:v>
      </x:c>
      <x:c r="L10" s="26" t="str">
        <x:v>PASS</x:v>
      </x:c>
      <x:c r="M10" s="26" t="str">
        <x:v>NZ Machine Hire cross-check retained in library</x:v>
      </x:c>
      <x:c r="N10" s="26" t="str">
        <x:v>PASS</x:v>
      </x:c>
      <x:c r="O10" s="26" t="str">
        <x:v>1,033m3 fill demand from Yodha RevB; 15m3/hr productivity remains AMBER</x:v>
      </x:c>
      <x:c r="P10" s="26" t="str">
        <x:v>AMBER</x:v>
      </x:c>
      <x:c r="Q10" s="26">
        <x:f t="shared" si="0"/>
        <x:v>2</x:v>
      </x:c>
      <x:c r="R10" s="26" t="str">
        <x:f>'Resource Build-Up'!AC9</x:f>
        <x:v>06-Sep-2026</x:v>
      </x:c>
      <x:c r="S10" s="26" t="str">
        <x:f>'Resource Build-Up'!AF9</x:f>
        <x:v>AMBER</x:v>
      </x:c>
      <x:c r="T10" s="99" t="str">
        <x:v>AMBER - 3-point benchmark; quote required</x:v>
      </x:c>
      <x:c r="U10" s="26" t="str">
        <x:v>Validate bulk-earthworks productivity and imported-fill delivery sequence</x:v>
      </x:c>
      <x:c r="V10" s="26" t="str">
        <x:v>Yodha RevB: 110m3 cut, 1,033m3 fill, 923m3 net import. 15m3/hr tender control; 12m3/hr sensitivity retained.</x:v>
      </x:c>
    </x:row>
    <x:row r="11" ht="32.400001525878906" customHeight="1">
      <x:c r="A11" s="98" t="s">
        <x:v>522</x:v>
      </x:c>
      <x:c r="B11" s="98" t="str">
        <x:f>'Resource Build-Up'!A10</x:f>
        <x:v>EW02-002</x:v>
      </x:c>
      <x:c r="C11" s="98" t="str">
        <x:f>'Resource Build-Up'!B10</x:f>
        <x:v>EW02</x:v>
      </x:c>
      <x:c r="D11" s="26" t="str">
        <x:f>'Resource Build-Up'!C10</x:f>
        <x:v>Earthworks</x:v>
      </x:c>
      <x:c r="E11" s="26" t="str">
        <x:f>'Resource Build-Up'!H10</x:f>
        <x:v>Bulk earthworks compaction</x:v>
      </x:c>
      <x:c r="F11" s="26" t="str">
        <x:f>'Resource Build-Up'!P10</x:f>
        <x:v>PL-ROLLER</x:v>
      </x:c>
      <x:c r="G11" s="26" t="str">
        <x:f>'Resource Build-Up'!Q10</x:f>
        <x:v>7-9 t roller wet-hire equivalent</x:v>
      </x:c>
      <x:c r="H11" s="26" t="str">
        <x:f>'Resource Build-Up'!T10</x:f>
        <x:v>hr</x:v>
      </x:c>
      <x:c r="I11" s="44" t="n">
        <x:f>'Resource Build-Up'!Y10</x:f>
        <x:v>110</x:v>
      </x:c>
      <x:c r="J11" s="44" t="n">
        <x:f>'Resource Build-Up'!Z10</x:f>
        <x:v>7575.333333333333</x:v>
      </x:c>
      <x:c r="K11" s="26" t="str">
        <x:v>Two-supplier roller dry-rate build-up retained in library</x:v>
      </x:c>
      <x:c r="L11" s="26" t="str">
        <x:v>PASS</x:v>
      </x:c>
      <x:c r="M11" s="26" t="str">
        <x:v>Operator/fuel wet-equivalent build-up in library</x:v>
      </x:c>
      <x:c r="N11" s="26" t="str">
        <x:v>AMBER</x:v>
      </x:c>
      <x:c r="O11" s="26" t="str">
        <x:v>Roller duration follows 1,033m3 / 15m3/hr earthworks placement control; project quote missing</x:v>
      </x:c>
      <x:c r="P11" s="26" t="str">
        <x:v>AMBER</x:v>
      </x:c>
      <x:c r="Q11" s="26">
        <x:f t="shared" si="0"/>
        <x:v>1</x:v>
      </x:c>
      <x:c r="R11" s="26" t="str">
        <x:f>'Resource Build-Up'!AC10</x:f>
        <x:v>06-Sep-2026</x:v>
      </x:c>
      <x:c r="S11" s="26" t="str">
        <x:f>'Resource Build-Up'!AF10</x:f>
        <x:v>AMBER</x:v>
      </x:c>
      <x:c r="T11" s="99" t="str">
        <x:v>AMBER - 3-point benchmark; quote required</x:v>
      </x:c>
      <x:c r="U11" s="26" t="str">
        <x:v>Obtain project roller/compaction quote and confirm production</x:v>
      </x:c>
      <x:c r="V11" s="26" t="str">
        <x:v>Roller tied to 1,033m3 fill-placement duration; rate itself AMBER/quote required.</x:v>
      </x:c>
    </x:row>
    <x:row r="12" ht="32.400001525878906" customHeight="1">
      <x:c r="A12" s="98" t="s">
        <x:v>523</x:v>
      </x:c>
      <x:c r="B12" s="98" t="str">
        <x:f>'Resource Build-Up'!A11</x:f>
        <x:v>EW02-003</x:v>
      </x:c>
      <x:c r="C12" s="98" t="str">
        <x:f>'Resource Build-Up'!B11</x:f>
        <x:v>EW02</x:v>
      </x:c>
      <x:c r="D12" s="26" t="str">
        <x:f>'Resource Build-Up'!C11</x:f>
        <x:v>Earthworks</x:v>
      </x:c>
      <x:c r="E12" s="26" t="str">
        <x:f>'Resource Build-Up'!H11</x:f>
        <x:v>Bulk earthworks labour / trim support</x:v>
      </x:c>
      <x:c r="F12" s="26" t="str">
        <x:f>'Resource Build-Up'!P11</x:f>
        <x:v>LAB-LABOURER</x:v>
      </x:c>
      <x:c r="G12" s="26" t="str">
        <x:f>'Resource Build-Up'!Q11</x:f>
        <x:v>Civil labourer</x:v>
      </x:c>
      <x:c r="H12" s="26" t="str">
        <x:f>'Resource Build-Up'!T11</x:f>
        <x:v>hr</x:v>
      </x:c>
      <x:c r="I12" s="44" t="n">
        <x:f>'Resource Build-Up'!Y11</x:f>
        <x:v>38</x:v>
      </x:c>
      <x:c r="J12" s="44" t="n">
        <x:f>'Resource Build-Up'!Z11</x:f>
        <x:v>2616.933333333333</x:v>
      </x:c>
      <x:c r="K12" s="26" t="str">
        <x:v>Auckland labour market/on-cost benchmark in library</x:v>
      </x:c>
      <x:c r="L12" s="26" t="str">
        <x:v>AMBER</x:v>
      </x:c>
      <x:c r="M12" s="26" t="str">
        <x:v>SEEK/statutory market cross-check in library</x:v>
      </x:c>
      <x:c r="N12" s="26" t="str">
        <x:v>PASS</x:v>
      </x:c>
      <x:c r="O12" s="26" t="str">
        <x:v>Labour tied to 1,033m3 / 15m3/hr workfront; company payroll not supplied</x:v>
      </x:c>
      <x:c r="P12" s="26" t="str">
        <x:v>PASS</x:v>
      </x:c>
      <x:c r="Q12" s="26">
        <x:f t="shared" si="0"/>
        <x:v>1</x:v>
      </x:c>
      <x:c r="R12" s="26" t="str">
        <x:f>'Resource Build-Up'!AC11</x:f>
        <x:v>06-Sep-2026</x:v>
      </x:c>
      <x:c r="S12" s="26" t="str">
        <x:f>'Resource Build-Up'!AF11</x:f>
        <x:v>AMBER</x:v>
      </x:c>
      <x:c r="T12" s="99" t="str">
        <x:v>AMBER - company cost rate required</x:v>
      </x:c>
      <x:c r="U12" s="26" t="str">
        <x:v>Firm labour cost to actual company payroll before award</x:v>
      </x:c>
      <x:c r="V12" s="26" t="str">
        <x:v>Labour support tied to 1,033m3 fill-placement workfront at 15m3/hr control.</x:v>
      </x:c>
    </x:row>
    <x:row r="13" ht="32.400001525878906" customHeight="1">
      <x:c r="A13" s="98" t="s">
        <x:v>524</x:v>
      </x:c>
      <x:c r="B13" s="98" t="str">
        <x:f>'Resource Build-Up'!A12</x:f>
        <x:v>EW03-001</x:v>
      </x:c>
      <x:c r="C13" s="98" t="str">
        <x:f>'Resource Build-Up'!B12</x:f>
        <x:v>EW03</x:v>
      </x:c>
      <x:c r="D13" s="26" t="str">
        <x:f>'Resource Build-Up'!C12</x:f>
        <x:v>Earthworks</x:v>
      </x:c>
      <x:c r="E13" s="26" t="str">
        <x:f>'Resource Build-Up'!H12</x:f>
        <x:v>Final trim / formation</x:v>
      </x:c>
      <x:c r="F13" s="26" t="str">
        <x:f>'Resource Build-Up'!P12</x:f>
        <x:v>PL-EXC-5</x:v>
      </x:c>
      <x:c r="G13" s="26" t="str">
        <x:f>'Resource Build-Up'!Q12</x:f>
        <x:v>5.5 t excavator wet hire</x:v>
      </x:c>
      <x:c r="H13" s="26" t="str">
        <x:f>'Resource Build-Up'!T12</x:f>
        <x:v>hr</x:v>
      </x:c>
      <x:c r="I13" s="44" t="n">
        <x:f>'Resource Build-Up'!Y12</x:f>
        <x:v>110</x:v>
      </x:c>
      <x:c r="J13" s="44" t="n">
        <x:f>'Resource Build-Up'!Z12</x:f>
        <x:v>1929.5833333333335</x:v>
      </x:c>
      <x:c r="K13" s="26" t="str">
        <x:v>Published wet-hire supplier evidence retained in Rev4 library</x:v>
      </x:c>
      <x:c r="L13" s="26" t="str">
        <x:v>PASS</x:v>
      </x:c>
      <x:c r="M13" s="26" t="str">
        <x:v>NZ Machine Hire cross-check retained in library</x:v>
      </x:c>
      <x:c r="N13" s="26" t="str">
        <x:v>PASS</x:v>
      </x:c>
      <x:c r="O13" s="26" t="str">
        <x:v>2,119m2 quantity is project-based; 120m2/hr trim productivity remains judgement</x:v>
      </x:c>
      <x:c r="P13" s="26" t="str">
        <x:v>AMBER</x:v>
      </x:c>
      <x:c r="Q13" s="26">
        <x:f t="shared" si="0"/>
        <x:v>2</x:v>
      </x:c>
      <x:c r="R13" s="26" t="str">
        <x:f>'Resource Build-Up'!AC12</x:f>
        <x:v>11-Sep-2026</x:v>
      </x:c>
      <x:c r="S13" s="26" t="str">
        <x:f>'Resource Build-Up'!AF12</x:f>
        <x:v>AMBER - CURRENT REV17 AREA / PRODUCTIVITY VERIFY</x:v>
      </x:c>
      <x:c r="T13" s="99" t="str">
        <x:v>AMBER - 3-point benchmark; quote required</x:v>
      </x:c>
      <x:c r="U13" s="26" t="str">
        <x:v>Validate final-trim productivity / tolerances</x:v>
      </x:c>
      <x:c r="V13" s="26" t="str">
        <x:f>'Resource Build-Up'!AG12</x:f>
        <x:v>2,105m2 current area. Bulk cut/fill quantity conflict is tracked separately under RFI-15.</x:v>
      </x:c>
    </x:row>
    <x:row r="14" ht="32.400001525878906" customHeight="1">
      <x:c r="A14" s="98" t="s">
        <x:v>525</x:v>
      </x:c>
      <x:c r="B14" s="98" t="str">
        <x:f>'Resource Build-Up'!A13</x:f>
        <x:v>EW03-002</x:v>
      </x:c>
      <x:c r="C14" s="98" t="str">
        <x:f>'Resource Build-Up'!B13</x:f>
        <x:v>EW03</x:v>
      </x:c>
      <x:c r="D14" s="26" t="str">
        <x:f>'Resource Build-Up'!C13</x:f>
        <x:v>Earthworks</x:v>
      </x:c>
      <x:c r="E14" s="26" t="str">
        <x:f>'Resource Build-Up'!H13</x:f>
        <x:v>Final trim labour support</x:v>
      </x:c>
      <x:c r="F14" s="26" t="str">
        <x:f>'Resource Build-Up'!P13</x:f>
        <x:v>LAB-LABOURER</x:v>
      </x:c>
      <x:c r="G14" s="26" t="str">
        <x:f>'Resource Build-Up'!Q13</x:f>
        <x:v>Civil labourer</x:v>
      </x:c>
      <x:c r="H14" s="26" t="str">
        <x:f>'Resource Build-Up'!T13</x:f>
        <x:v>hr</x:v>
      </x:c>
      <x:c r="I14" s="44" t="n">
        <x:f>'Resource Build-Up'!Y13</x:f>
        <x:v>38</x:v>
      </x:c>
      <x:c r="J14" s="44" t="n">
        <x:f>'Resource Build-Up'!Z13</x:f>
        <x:v>666.5833333333334</x:v>
      </x:c>
      <x:c r="K14" s="26" t="str">
        <x:v>Auckland labour market/on-cost benchmark in library</x:v>
      </x:c>
      <x:c r="L14" s="26" t="str">
        <x:v>AMBER</x:v>
      </x:c>
      <x:c r="M14" s="26" t="str">
        <x:v>SEEK/statutory market cross-check in library</x:v>
      </x:c>
      <x:c r="N14" s="26" t="str">
        <x:v>PASS</x:v>
      </x:c>
      <x:c r="O14" s="26" t="str">
        <x:v>Labour tied to trim workfront; company payroll not supplied</x:v>
      </x:c>
      <x:c r="P14" s="26" t="str">
        <x:v>PASS</x:v>
      </x:c>
      <x:c r="Q14" s="26">
        <x:f t="shared" si="0"/>
        <x:v>0</x:v>
      </x:c>
      <x:c r="R14" s="26" t="str">
        <x:f>'Resource Build-Up'!AC13</x:f>
        <x:v>11-Sep-2026</x:v>
      </x:c>
      <x:c r="S14" s="26" t="str">
        <x:f>'Resource Build-Up'!AF13</x:f>
        <x:v>AMBER - CURRENT REV17 AREA / PRODUCTIVITY VERIFY</x:v>
      </x:c>
      <x:c r="T14" s="100" t="str">
        <x:v>AMBER - company cost rate required</x:v>
      </x:c>
      <x:c r="U14" s="26" t="str">
        <x:v>Firm labour cost to actual company payroll before award</x:v>
      </x:c>
      <x:c r="V14" s="26" t="str">
        <x:f>'Resource Build-Up'!AG13</x:f>
        <x:v>2,105m2 current area. Bulk cut/fill quantity conflict is tracked separately under RFI-15.</x:v>
      </x:c>
    </x:row>
    <x:row r="15" ht="32.400001525878906" customHeight="1">
      <x:c r="A15" s="98" t="s">
        <x:v>526</x:v>
      </x:c>
      <x:c r="B15" s="98" t="str">
        <x:f>'Resource Build-Up'!A14</x:f>
        <x:v>PV01-001</x:v>
      </x:c>
      <x:c r="C15" s="98" t="str">
        <x:f>'Resource Build-Up'!B14</x:f>
        <x:v>PV01</x:v>
      </x:c>
      <x:c r="D15" s="26" t="str">
        <x:f>'Resource Build-Up'!C14</x:f>
        <x:v>Pavements &amp; Concrete</x:v>
      </x:c>
      <x:c r="E15" s="26" t="str">
        <x:f>'Resource Build-Up'!H14</x:f>
        <x:v>150mm concrete supply incl 5% order allowance</x:v>
      </x:c>
      <x:c r="F15" s="26" t="str">
        <x:f>'Resource Build-Up'!P14</x:f>
        <x:v>MAT-CONC25</x:v>
      </x:c>
      <x:c r="G15" s="26" t="str">
        <x:f>'Resource Build-Up'!Q14</x:f>
        <x:v>25 MPa ready-mix concrete</x:v>
      </x:c>
      <x:c r="H15" s="26" t="str">
        <x:f>'Resource Build-Up'!T14</x:f>
        <x:v>m3</x:v>
      </x:c>
      <x:c r="I15" s="44" t="n">
        <x:f>'Resource Build-Up'!Y14</x:f>
        <x:v>325</x:v>
      </x:c>
      <x:c r="J15" s="44" t="n">
        <x:f>'Resource Build-Up'!Z14</x:f>
        <x:v>24485.540625</x:v>
      </x:c>
      <x:c r="K15" s="26" t="str">
        <x:v>Rev29 stamped-RC quantity basis confirmed by TPW; current $325/m3 concrete supply allowance retained.</x:v>
      </x:c>
      <x:c r="L15" s="26" t="str">
        <x:v>AMBER</x:v>
      </x:c>
      <x:c r="M15" s="26" t="str">
        <x:v>Construction Intelligence / current concrete supplier benchmarks retained; Q-05 is placing only and no aligned ready-mix project quote has returned.</x:v>
      </x:c>
      <x:c r="N15" s="26" t="str">
        <x:v>AMBER</x:v>
      </x:c>
      <x:c r="O15" s="26" t="str">
        <x:v>75.340m3 = 478.35m2 x 150mm x 1.05 on provisional stamped-RC PV01 split.</x:v>
      </x:c>
      <x:c r="P15" s="26" t="str">
        <x:v>PASS</x:v>
      </x:c>
      <x:c r="Q15" s="26" t="n">
        <x:f t="shared" si="0"/>
        <x:v>2</x:v>
      </x:c>
      <x:c r="R15" s="26" t="str">
        <x:v>11-Sep-2026</x:v>
      </x:c>
      <x:c r="S15" s="26" t="str">
        <x:v>AMBER</x:v>
      </x:c>
      <x:c r="T15" s="100" t="str">
        <x:v>AMBER - QUANTITY UPDATED / SUPPLY TERMS OPEN</x:v>
      </x:c>
      <x:c r="U15" s="26" t="str">
        <x:v>Confirm project ready-mix strength/delivery/minimum terms and fresh stamped-RC geometry markup.</x:v>
      </x:c>
      <x:c r="V15" s="26" t="str">
        <x:v>Quantity changed from 71.048m3 to Rev29 control; rate not reduced merely because scope changed.</x:v>
      </x:c>
    </x:row>
    <x:row r="16" ht="32.400001525878906" customHeight="1">
      <x:c r="A16" s="98" t="s">
        <x:v>527</x:v>
      </x:c>
      <x:c r="B16" s="98" t="str">
        <x:f>'Resource Build-Up'!A15</x:f>
        <x:v>PV01-002</x:v>
      </x:c>
      <x:c r="C16" s="98" t="str">
        <x:f>'Resource Build-Up'!B15</x:f>
        <x:v>PV01</x:v>
      </x:c>
      <x:c r="D16" s="26" t="str">
        <x:f>'Resource Build-Up'!C15</x:f>
        <x:v>Pavements &amp; Concrete</x:v>
      </x:c>
      <x:c r="E16" s="26" t="str">
        <x:f>'Resource Build-Up'!H15</x:f>
        <x:v>665 mesh supply incl layout/lap control</x:v>
      </x:c>
      <x:c r="F16" s="26" t="str">
        <x:f>'Resource Build-Up'!P15</x:f>
        <x:v>MAT-MESH665</x:v>
      </x:c>
      <x:c r="G16" s="26" t="str">
        <x:f>'Resource Build-Up'!Q15</x:f>
        <x:v>665 reinforcing mesh 4.51m x 1.96m</x:v>
      </x:c>
      <x:c r="H16" s="26" t="str">
        <x:f>'Resource Build-Up'!T15</x:f>
        <x:v>sheet</x:v>
      </x:c>
      <x:c r="I16" s="44" t="n">
        <x:f>'Resource Build-Up'!Y15</x:f>
        <x:v>62.5</x:v>
      </x:c>
      <x:c r="J16" s="44" t="n">
        <x:f>'Resource Build-Up'!Z15</x:f>
        <x:v>4375</x:v>
      </x:c>
      <x:c r="K16" s="26" t="str">
        <x:v>Current Quality Steel / CARTERS exact 665 evidence retained.</x:v>
      </x:c>
      <x:c r="L16" s="26" t="str">
        <x:v>PASS</x:v>
      </x:c>
      <x:c r="M16" s="26" t="str">
        <x:v>Independent current CARTERS checks remain valid.</x:v>
      </x:c>
      <x:c r="N16" s="26" t="str">
        <x:v>PASS</x:v>
      </x:c>
      <x:c r="O16" s="26" t="str">
        <x:v>70 sheet procurement control scaled to Rev29 provisional PV01 footprint; final lap/layout markup still required.</x:v>
      </x:c>
      <x:c r="P16" s="26" t="str">
        <x:v>AMBER</x:v>
      </x:c>
      <x:c r="Q16" s="26" t="n">
        <x:f t="shared" si="0"/>
        <x:v>2</x:v>
      </x:c>
      <x:c r="R16" s="26" t="str">
        <x:v>11-Sep-2026</x:v>
      </x:c>
      <x:c r="S16" s="26" t="str">
        <x:v>AMBER</x:v>
      </x:c>
      <x:c r="T16" s="100" t="str">
        <x:v>AMBER - RATE TRIANGULATED / FINAL LAYOUT OPEN</x:v>
      </x:c>
      <x:c r="U16" s="26" t="str">
        <x:v>Confirm final stamped-RC mesh layout and delivery/order terms.</x:v>
      </x:c>
      <x:c r="V16" s="26" t="str">
        <x:v>Rev29 quantity control = 70 sheets; rate remains $62.50/sheet.</x:v>
      </x:c>
    </x:row>
    <x:row r="17" ht="32.400001525878906" customHeight="1">
      <x:c r="A17" s="98" t="s">
        <x:v>528</x:v>
      </x:c>
      <x:c r="B17" s="98" t="str">
        <x:f>'Resource Build-Up'!A16</x:f>
        <x:v>PV01-003</x:v>
      </x:c>
      <x:c r="C17" s="98" t="str">
        <x:f>'Resource Build-Up'!B16</x:f>
        <x:v>PV01</x:v>
      </x:c>
      <x:c r="D17" s="26" t="str">
        <x:f>'Resource Build-Up'!C16</x:f>
        <x:v>Pavements &amp; Concrete</x:v>
      </x:c>
      <x:c r="E17" s="26" t="str">
        <x:f>'Resource Build-Up'!H16</x:f>
        <x:v>150mm AP40 base incl 5% material allowance</x:v>
      </x:c>
      <x:c r="F17" s="26" t="str">
        <x:f>'Resource Build-Up'!P16</x:f>
        <x:v>MAT-AP40</x:v>
      </x:c>
      <x:c r="G17" s="26" t="str">
        <x:f>'Resource Build-Up'!Q16</x:f>
        <x:v>AP40 / GAP40 basecourse aggregate</x:v>
      </x:c>
      <x:c r="H17" s="26" t="str">
        <x:f>'Resource Build-Up'!T16</x:f>
        <x:v>t</x:v>
      </x:c>
      <x:c r="I17" s="44" t="n">
        <x:f>'Resource Build-Up'!Y16</x:f>
        <x:v>35.75</x:v>
      </x:c>
      <x:c r="J17" s="44" t="n">
        <x:f>'Resource Build-Up'!Z16</x:f>
        <x:v>5656.159884375001</x:v>
      </x:c>
      <x:c r="K17" s="26" t="str">
        <x:v>Urban Quarry project email 11-Sep-2026: GAP40 delivered T&amp;T $35.75/t, subject to T&amp;T access.</x:v>
      </x:c>
      <x:c r="L17" s="26" t="str">
        <x:v>PASS</x:v>
      </x:c>
      <x:c r="M17" s="26" t="str">
        <x:v>ERB-07 / previous published AP40 market check remains independent reasonableness evidence.</x:v>
      </x:c>
      <x:c r="N17" s="26" t="str">
        <x:v>PASS</x:v>
      </x:c>
      <x:c r="O17" s="26" t="str">
        <x:v>158.214t reproduces Rev29 provisional PV01 footprint, 150mm layer, 2.1t/m3 and 5% material allowance.</x:v>
      </x:c>
      <x:c r="P17" s="26" t="str">
        <x:v>AMBER</x:v>
      </x:c>
      <x:c r="Q17" s="26" t="n">
        <x:f t="shared" si="0"/>
        <x:v>2</x:v>
      </x:c>
      <x:c r="R17" s="26" t="str">
        <x:v>11-Sep-2026</x:v>
      </x:c>
      <x:c r="S17" s="26" t="str">
        <x:v>AMBER</x:v>
      </x:c>
      <x:c r="T17" s="100" t="str">
        <x:v>AMBER - DELIVERED QUOTE APPLIED / SPEC COMPLIANCE HOLD</x:v>
      </x:c>
      <x:c r="U17" s="26" t="str">
        <x:v>Confirm quoted GAP40 is compliant with the specified AP40/ATAP product and T&amp;T access is available.</x:v>
      </x:c>
      <x:c r="V17" s="26" t="str">
        <x:v>Job override $35.75/t includes delivery benchmark; do not promote to reusable AP40 library until specification basis is normalised.</x:v>
      </x:c>
    </x:row>
    <x:row r="18" ht="32.400001525878906" customHeight="1">
      <x:c r="A18" s="98" t="s">
        <x:v>529</x:v>
      </x:c>
      <x:c r="B18" s="98" t="str">
        <x:f>'Resource Build-Up'!A17</x:f>
        <x:v>PV01-004</x:v>
      </x:c>
      <x:c r="C18" s="98" t="str">
        <x:f>'Resource Build-Up'!B17</x:f>
        <x:v>PV01</x:v>
      </x:c>
      <x:c r="D18" s="26" t="str">
        <x:f>'Resource Build-Up'!C17</x:f>
        <x:v>Pavements &amp; Concrete</x:v>
      </x:c>
      <x:c r="E18" s="26" t="str">
        <x:f>'Resource Build-Up'!H17</x:f>
        <x:v>50mm AP20 base incl 5% material allowance</x:v>
      </x:c>
      <x:c r="F18" s="26" t="str">
        <x:f>'Resource Build-Up'!P17</x:f>
        <x:v>MAT-AP20</x:v>
      </x:c>
      <x:c r="G18" s="26" t="str">
        <x:f>'Resource Build-Up'!Q17</x:f>
        <x:v>AP20 / GAP20 basecourse aggregate</x:v>
      </x:c>
      <x:c r="H18" s="26" t="str">
        <x:f>'Resource Build-Up'!T17</x:f>
        <x:v>t</x:v>
      </x:c>
      <x:c r="I18" s="44" t="n">
        <x:f>'Resource Build-Up'!Y17</x:f>
        <x:v>44.25</x:v>
      </x:c>
      <x:c r="J18" s="44" t="n">
        <x:f>'Resource Build-Up'!Z17</x:f>
        <x:v>2333.6603718750007</x:v>
      </x:c>
      <x:c r="K18" s="26" t="str">
        <x:v>Urban Quarry project email 11-Sep-2026: GAP20 delivered T&amp;T $44.25/t, subject to T&amp;T access.</x:v>
      </x:c>
      <x:c r="L18" s="26" t="str">
        <x:v>PASS</x:v>
      </x:c>
      <x:c r="M18" s="26" t="str">
        <x:v>Previous current public GAP20 benchmark remains independent check.</x:v>
      </x:c>
      <x:c r="N18" s="26" t="str">
        <x:v>PASS</x:v>
      </x:c>
      <x:c r="O18" s="26" t="str">
        <x:v>52.738t reproduces Rev29 provisional PV01 footprint, 50mm layer, 2.1t/m3 and 5% material allowance.</x:v>
      </x:c>
      <x:c r="P18" s="26" t="str">
        <x:v>AMBER</x:v>
      </x:c>
      <x:c r="Q18" s="26" t="n">
        <x:f t="shared" si="0"/>
        <x:v>2</x:v>
      </x:c>
      <x:c r="R18" s="26" t="str">
        <x:v>11-Sep-2026</x:v>
      </x:c>
      <x:c r="S18" s="26" t="str">
        <x:v>AMBER</x:v>
      </x:c>
      <x:c r="T18" s="99" t="str">
        <x:v>AMBER - DELIVERED QUOTE APPLIED / SPEC COMPLIANCE HOLD</x:v>
      </x:c>
      <x:c r="U18" s="26" t="str">
        <x:v>Confirm quoted GAP20 satisfies specified AP20 requirements and T&amp;T access is available.</x:v>
      </x:c>
      <x:c r="V18" s="26" t="str">
        <x:v>Job override $44.25/t includes delivery benchmark; project-specific only pending product compliance.</x:v>
      </x:c>
    </x:row>
    <x:row r="19" ht="32.400001525878906" customHeight="1">
      <x:c r="A19" s="98" t="s">
        <x:v>530</x:v>
      </x:c>
      <x:c r="B19" s="98" t="str">
        <x:f>'Resource Build-Up'!A18</x:f>
        <x:v>PV01-005</x:v>
      </x:c>
      <x:c r="C19" s="98" t="str">
        <x:f>'Resource Build-Up'!B18</x:f>
        <x:v>PV01</x:v>
      </x:c>
      <x:c r="D19" s="26" t="str">
        <x:f>'Resource Build-Up'!C18</x:f>
        <x:v>Pavements &amp; Concrete</x:v>
      </x:c>
      <x:c r="E19" s="26" t="str">
        <x:f>'Resource Build-Up'!H18</x:f>
        <x:v>Concrete placing / finishing labour control</x:v>
      </x:c>
      <x:c r="F19" s="26" t="str">
        <x:f>'Resource Build-Up'!P18</x:f>
        <x:v>LAB-CONCRETE</x:v>
      </x:c>
      <x:c r="G19" s="26" t="str">
        <x:f>'Resource Build-Up'!Q18</x:f>
        <x:v>Concrete placer / finisher</x:v>
      </x:c>
      <x:c r="H19" s="26" t="str">
        <x:f>'Resource Build-Up'!T18</x:f>
        <x:v>hr</x:v>
      </x:c>
      <x:c r="I19" s="44" t="n">
        <x:f>'Resource Build-Up'!Y18</x:f>
        <x:v>44</x:v>
      </x:c>
      <x:c r="J19" s="44" t="n">
        <x:f>'Resource Build-Up'!Z18</x:f>
        <x:v>21047.4</x:v>
      </x:c>
      <x:c r="K19" s="26" t="str">
        <x:v>Auckland concrete-finisher labour benchmark retained; stamped-RC quantity basis now confirmed.</x:v>
      </x:c>
      <x:c r="L19" s="26" t="str">
        <x:v>AMBER</x:v>
      </x:c>
      <x:c r="M19" s="26" t="str">
        <x:v>No Formcon/specialist placing quote received by Rev29.</x:v>
      </x:c>
      <x:c r="N19" s="26" t="str">
        <x:v>RED</x:v>
      </x:c>
      <x:c r="O19" s="26" t="str">
        <x:v>478.35m2 / 3m2/hr x 3-person crew is transparent first-principles only; programme still 10WD.</x:v>
      </x:c>
      <x:c r="P19" s="26" t="str">
        <x:v>AMBER</x:v>
      </x:c>
      <x:c r="Q19" s="26" t="n">
        <x:f t="shared" si="0"/>
        <x:v>2</x:v>
      </x:c>
      <x:c r="R19" s="26" t="str">
        <x:v>11-Sep-2026</x:v>
      </x:c>
      <x:c r="S19" s="26" t="str">
        <x:v>AMBER</x:v>
      </x:c>
      <x:c r="T19" s="99" t="str">
        <x:v>RED - Q-05 REQUIRED FOR PRODUCTIVITY / PROGRAMME RECONCILIATION</x:v>
      </x:c>
      <x:c r="U19" s="26" t="str">
        <x:v>Obtain/normalise Q-05 by crew, pour sequence, pump/boxing/joints and working duration.</x:v>
      </x:c>
      <x:c r="V19" s="26" t="str">
        <x:v>Price and programme remain deliberately unreconciled rather than forcing false agreement.</x:v>
      </x:c>
    </x:row>
    <x:row r="20" ht="32.400001525878906" customHeight="1">
      <x:c r="A20" s="98" t="s">
        <x:v>531</x:v>
      </x:c>
      <x:c r="B20" s="98" t="str">
        <x:f>'Resource Build-Up'!A19</x:f>
        <x:v>PV01-006</x:v>
      </x:c>
      <x:c r="C20" s="98" t="str">
        <x:f>'Resource Build-Up'!B19</x:f>
        <x:v>PV01</x:v>
      </x:c>
      <x:c r="D20" s="26" t="str">
        <x:f>'Resource Build-Up'!C19</x:f>
        <x:v>Pavements &amp; Concrete</x:v>
      </x:c>
      <x:c r="E20" s="26" t="str">
        <x:f>'Resource Build-Up'!H19</x:f>
        <x:v>Boxing, chairs, sawcuts, pump/minor plant provisional control</x:v>
      </x:c>
      <x:c r="F20" s="26" t="str">
        <x:f>'Resource Build-Up'!P19</x:f>
        <x:v>OTH-GENERAL</x:v>
      </x:c>
      <x:c r="G20" s="26" t="str">
        <x:f>'Resource Build-Up'!Q19</x:f>
        <x:v>Project-specific transparent allowance</x:v>
      </x:c>
      <x:c r="H20" s="26" t="str">
        <x:f>'Resource Build-Up'!T19</x:f>
        <x:v>LS</x:v>
      </x:c>
      <x:c r="I20" s="44" t="n">
        <x:f>'Resource Build-Up'!Y19</x:f>
        <x:v>16263.9</x:v>
      </x:c>
      <x:c r="J20" s="44" t="n">
        <x:f>'Resource Build-Up'!Z19</x:f>
        <x:v>16263.9</x:v>
      </x:c>
      <x:c r="K20" s="26" t="str">
        <x:v>Existing $34/m2 ancillary control scaled proportionally to Rev29 provisional PV01 footprint.</x:v>
      </x:c>
      <x:c r="L20" s="26" t="str">
        <x:v>AMBER</x:v>
      </x:c>
      <x:c r="M20" s="26" t="str">
        <x:v>No current specialist placing/boxing/joints quote returned.</x:v>
      </x:c>
      <x:c r="N20" s="26" t="str">
        <x:v>RED</x:v>
      </x:c>
      <x:c r="O20" s="26" t="str">
        <x:v>Arithmetic is transparent but package composition remains provisional.</x:v>
      </x:c>
      <x:c r="P20" s="26" t="str">
        <x:v>AMBER</x:v>
      </x:c>
      <x:c r="Q20" s="26" t="n">
        <x:f t="shared" si="0"/>
        <x:v>1</x:v>
      </x:c>
      <x:c r="R20" s="26" t="str">
        <x:v>11-Sep-2026</x:v>
      </x:c>
      <x:c r="S20" s="26" t="str">
        <x:v>AMBER</x:v>
      </x:c>
      <x:c r="T20" s="100" t="str">
        <x:v>AMBER - BENCHMARK ONLY / Q-05 OPEN</x:v>
      </x:c>
      <x:c r="U20" s="26" t="str">
        <x:v>Replace with current project specialist quote.</x:v>
      </x:c>
      <x:c r="V20" s="26" t="str">
        <x:v>Rev29 ancillary PC = $16,263.90; no extra contingency added.</x:v>
      </x:c>
    </x:row>
    <x:row r="21" ht="32.400001525878906" customHeight="1">
      <x:c r="A21" s="98" t="s">
        <x:v>532</x:v>
      </x:c>
      <x:c r="B21" s="98" t="str">
        <x:f>'Resource Build-Up'!A20</x:f>
        <x:v>RW03-001</x:v>
      </x:c>
      <x:c r="C21" s="98" t="str">
        <x:f>'Resource Build-Up'!B20</x:f>
        <x:v>RW03</x:v>
      </x:c>
      <x:c r="D21" s="26" t="str">
        <x:f>'Resource Build-Up'!C20</x:f>
        <x:v>Retaining Walls</x:v>
      </x:c>
      <x:c r="E21" s="26" t="str">
        <x:f>'Resource Build-Up'!H20</x:f>
        <x:v>Mass-concrete volume for 7 PILE1 bridging piles</x:v>
      </x:c>
      <x:c r="F21" s="26" t="str">
        <x:f>'Resource Build-Up'!P20</x:f>
        <x:v>MAT-CONC25</x:v>
      </x:c>
      <x:c r="G21" s="26" t="str">
        <x:f>'Resource Build-Up'!Q20</x:f>
        <x:v>25 MPa ready-mix concrete</x:v>
      </x:c>
      <x:c r="H21" s="26" t="str">
        <x:f>'Resource Build-Up'!T20</x:f>
        <x:v>m3</x:v>
      </x:c>
      <x:c r="I21" s="44" t="n">
        <x:f>'Resource Build-Up'!Y20</x:f>
        <x:v>325</x:v>
      </x:c>
      <x:c r="J21" s="44" t="n">
        <x:f>'Resource Build-Up'!Z20</x:f>
        <x:v>562.83595875</x:v>
      </x:c>
      <x:c r="K21" s="26" t="str">
        <x:v>Rev4 concrete benchmark used only as material control</x:v>
      </x:c>
      <x:c r="L21" s="26" t="str">
        <x:v>AMBER</x:v>
      </x:c>
      <x:c r="M21" s="26" t="str">
        <x:v>Construction Intelligence / CARTERS 08-Sep-2026: Allied 25MPa 19mm structural $265.40/m3 plus listed small-load delivery $121.62. For 1.732m3 this is about $581 before any other minimums, versus current $562.84 allowance.</x:v>
      </x:c>
      <x:c r="N21" s="26" t="str">
        <x:v>AMBER</x:v>
      </x:c>
      <x:c r="O21" s="26" t="str">
        <x:v>1.732m3 derives from 7 x 500dia x 1.2m x 1.05</x:v>
      </x:c>
      <x:c r="P21" s="26" t="str">
        <x:v>PASS</x:v>
      </x:c>
      <x:c r="Q21" s="26" t="n">
        <x:f t="shared" si="0"/>
        <x:v>1</x:v>
      </x:c>
      <x:c r="R21" s="26" t="str">
        <x:v>08-Sep-2026</x:v>
      </x:c>
      <x:c r="S21" s="26" t="str">
        <x:v>AMBER</x:v>
      </x:c>
      <x:c r="T21" s="100" t="str">
        <x:v>AMBER - current supplier intelligence / small-load terms incomplete</x:v>
      </x:c>
      <x:c r="U21" s="26" t="str">
        <x:v>Retain current allowance until concrete grade, minimum load and delivery terms are confirmed. Difference to the current control is immaterial at this stage.</x:v>
      </x:c>
      <x:c r="V21" s="26" t="str">
        <x:v>PILE1 concrete is a small load; minimum/small-load charges matter more than the base $/m3 rate.</x:v>
      </x:c>
    </x:row>
    <x:row r="22" ht="32.400001525878906" customHeight="1">
      <x:c r="A22" s="98" t="s">
        <x:v>533</x:v>
      </x:c>
      <x:c r="B22" s="98" t="str">
        <x:f>'Resource Build-Up'!A21</x:f>
        <x:v>RW03-002</x:v>
      </x:c>
      <x:c r="C22" s="98" t="str">
        <x:f>'Resource Build-Up'!B21</x:f>
        <x:v>RW03</x:v>
      </x:c>
      <x:c r="D22" s="26" t="str">
        <x:f>'Resource Build-Up'!C21</x:f>
        <x:v>Retaining Walls</x:v>
      </x:c>
      <x:c r="E22" s="26" t="str">
        <x:f>'Resource Build-Up'!H21</x:f>
        <x:v>In-house 3t excavator boring - 7 x 500mm PILE1</x:v>
      </x:c>
      <x:c r="F22" s="26" t="str">
        <x:f>'Resource Build-Up'!P21</x:f>
        <x:v>PL-EXC-3-INHOUSE</x:v>
      </x:c>
      <x:c r="G22" s="26" t="str">
        <x:f>'Resource Build-Up'!Q21</x:f>
        <x:v>3.0 t excavator in-house historical project rate - operator included</x:v>
      </x:c>
      <x:c r="H22" s="26" t="str">
        <x:f>'Resource Build-Up'!T21</x:f>
        <x:v>hr</x:v>
      </x:c>
      <x:c r="I22" s="44" t="n">
        <x:f>'Resource Build-Up'!Y21</x:f>
        <x:v>97.5</x:v>
      </x:c>
      <x:c r="J22" s="44" t="n">
        <x:f>'Resource Build-Up'!Z21</x:f>
        <x:v>682.5</x:v>
      </x:c>
      <x:c r="K22" s="26" t="str">
        <x:v>48 Eastglen company-project direct rate: 3.0t machine incl operator $97.50/hr (19-Mar-2026)</x:v>
      </x:c>
      <x:c r="L22" s="26" t="str">
        <x:v>AMBER</x:v>
      </x:c>
      <x:c r="M22" s="26" t="str">
        <x:v>Independent checks: current Rev4 5.5t wet-hire benchmark $110/hr; Bridle Trail 5t+auger all-in control $180/hr</x:v>
      </x:c>
      <x:c r="N22" s="26" t="str">
        <x:v>PASS</x:v>
      </x:c>
      <x:c r="O22" s="26" t="str">
        <x:v>7 PILE1 holes x nominal 1.2m; 7 productive machine-hours allocated from 18h combined boring allowance; arithmetic and resource separation checked</x:v>
      </x:c>
      <x:c r="P22" s="26" t="str">
        <x:v>PASS</x:v>
      </x:c>
      <x:c r="Q22" s="26" t="n">
        <x:f t="shared" si="0"/>
        <x:v>2</x:v>
      </x:c>
      <x:c r="R22" s="26" t="str">
        <x:f>'Resource Build-Up'!AC21</x:f>
        <x:v>07-Sep-2026</x:v>
      </x:c>
      <x:c r="S22" s="26" t="str">
        <x:v>AMBER - historical comparable / in-house control</x:v>
      </x:c>
      <x:c r="T22" s="99" t="str">
        <x:v>AMBER - explicit allowance; second evidence required</x:v>
      </x:c>
      <x:c r="U22" s="26" t="str">
        <x:v>Confirm 500mm auger tooling / 3t machine availability and final geotech depth/service-clearance hold point before construction</x:v>
      </x:c>
      <x:c r="V22" s="26" t="str">
        <x:v>7 x 500mm PILE1 holes; self-perform machine component only. Final depth/geotech hold point still governs.</x:v>
      </x:c>
    </x:row>
    <x:row r="23" ht="32.400001525878906" customHeight="1">
      <x:c r="A23" s="98" t="s">
        <x:v>534</x:v>
      </x:c>
      <x:c r="B23" s="98" t="str">
        <x:f>'Resource Build-Up'!A22</x:f>
        <x:v>PG01-001</x:v>
      </x:c>
      <x:c r="C23" s="98" t="str">
        <x:f>'Resource Build-Up'!B22</x:f>
        <x:v>PG01</x:v>
      </x:c>
      <x:c r="D23" s="26" t="str">
        <x:f>'Resource Build-Up'!C22</x:f>
        <x:v>Preliminaries &amp; General</x:v>
      </x:c>
      <x:c r="E23" s="26" t="str">
        <x:f>'Resource Build-Up'!H22</x:f>
        <x:v>Site supervisor / project management - 55WD Board-adjudicated dry tender programme</x:v>
      </x:c>
      <x:c r="F23" s="26" t="str">
        <x:f>'Resource Build-Up'!P22</x:f>
        <x:v>LAB-SUPERVISOR</x:v>
      </x:c>
      <x:c r="G23" s="26" t="str">
        <x:f>'Resource Build-Up'!Q22</x:f>
        <x:v>Site supervisor / project manager</x:v>
      </x:c>
      <x:c r="H23" s="26" t="str">
        <x:f>'Resource Build-Up'!T22</x:f>
        <x:v>hr</x:v>
      </x:c>
      <x:c r="I23" s="44" t="n">
        <x:f>'Resource Build-Up'!Y22</x:f>
        <x:v>73</x:v>
      </x:c>
      <x:c r="J23" s="44" t="n">
        <x:f>'Resource Build-Up'!Z22</x:f>
        <x:v>32120</x:v>
      </x:c>
      <x:c r="K23" s="26" t="str">
        <x:v>55WD Board-adjudicated programme + Auckland direct employment/on-cost supervisor benchmark</x:v>
      </x:c>
      <x:c r="L23" s="26" t="str">
        <x:v>AMBER</x:v>
      </x:c>
      <x:c r="M23" s="26" t="str">
        <x:v>Rosebank: 270h site manager @ $125/h; tender/daywork rate $140/h (sell/commercial reference only)</x:v>
      </x:c>
      <x:c r="N23" s="26" t="str">
        <x:v>PASS</x:v>
      </x:c>
      <x:c r="O23" s="26" t="str">
        <x:v>440h = 55WD x 8h; direct project cost excludes OH/profit/vehicle/overtime</x:v>
      </x:c>
      <x:c r="P23" s="26" t="str">
        <x:v>PASS</x:v>
      </x:c>
      <x:c r="Q23" s="26">
        <x:f t="shared" si="0"/>
      </x:c>
      <x:c r="R23" s="26" t="str">
        <x:v>08-Sep-2026</x:v>
      </x:c>
      <x:c r="S23" s="26" t="str">
        <x:v>AMBER - company rate not supplied</x:v>
      </x:c>
      <x:c r="T23" s="100" t="str">
        <x:v>AMBER - company cost rate required</x:v>
      </x:c>
      <x:c r="U23" s="26" t="str">
        <x:v>Use current direct-cost benchmark for tender; client may replace with Siteworks actual payroll/cost rate. Do not import Rosebank sell rate.</x:v>
      </x:c>
      <x:c r="V23" s="26" t="str">
        <x:v>Direct site supervision for 55 dry working days only; weather-extension supervision remains CA10; corporate OH/profit separate.</x:v>
      </x:c>
    </x:row>
    <x:row r="24" ht="32.400001525878906" customHeight="1">
      <x:c r="A24" s="98" t="s">
        <x:v>535</x:v>
      </x:c>
      <x:c r="B24" s="98" t="str">
        <x:f>'Resource Build-Up'!A23</x:f>
        <x:v>ESC01-001</x:v>
      </x:c>
      <x:c r="C24" s="98" t="str">
        <x:f>'Resource Build-Up'!B23</x:f>
        <x:v>ESC01</x:v>
      </x:c>
      <x:c r="D24" s="26" t="str">
        <x:f>'Resource Build-Up'!C23</x:f>
        <x:v>Erosion &amp; Sediment Control</x:v>
      </x:c>
      <x:c r="E24" s="26" t="str">
        <x:f>'Resource Build-Up'!H23</x:f>
        <x:v>Silt-fence fabric: 5 x 50m rolls for 234.3lm working length</x:v>
      </x:c>
      <x:c r="F24" s="26" t="str">
        <x:f>'Resource Build-Up'!P23</x:f>
        <x:v>MAT-SILTFENCE-50</x:v>
      </x:c>
      <x:c r="G24" s="26" t="str">
        <x:f>'Resource Build-Up'!Q23</x:f>
        <x:v>Cirtex premium silt fence 1.0 x 50m, code 76027</x:v>
      </x:c>
      <x:c r="H24" s="26" t="str">
        <x:f>'Resource Build-Up'!T23</x:f>
        <x:v>roll</x:v>
      </x:c>
      <x:c r="I24" s="44" t="n">
        <x:f>'Resource Build-Up'!Y23</x:f>
        <x:v>87.07</x:v>
      </x:c>
      <x:c r="J24" s="44" t="n">
        <x:f>'Resource Build-Up'!Z23</x:f>
        <x:v>435.34999999999997</x:v>
      </x:c>
      <x:c r="K24" s="26" t="str">
        <x:v>CARTERS 08-Sep-2026 Cirtex 76027 $87.07/roll excl GST</x:v>
      </x:c>
      <x:c r="L24" s="26" t="str">
        <x:v>PASS</x:v>
      </x:c>
      <x:c r="M24" s="26" t="str">
        <x:v>Mitre10 current Cirtex 1x50m $72.98/roll</x:v>
      </x:c>
      <x:c r="N24" s="26" t="str">
        <x:v>PASS</x:v>
      </x:c>
      <x:c r="O24" s="26" t="str">
        <x:v>5 rolls cover 234.3lm with 15.7lm reserve</x:v>
      </x:c>
      <x:c r="P24" s="26" t="str">
        <x:v>PASS</x:v>
      </x:c>
      <x:c r="Q24" s="26" t="n">
        <x:f t="shared" si="0"/>
        <x:v>3</x:v>
      </x:c>
      <x:c r="R24" s="26" t="str">
        <x:v>09-Sep-2026</x:v>
      </x:c>
      <x:c r="S24" s="26" t="str">
        <x:v>GREEN - measured/current ESC material rate</x:v>
      </x:c>
      <x:c r="T24" s="99" t="str">
        <x:v>GREEN - 3-point checked</x:v>
      </x:c>
      <x:c r="U24" s="26" t="str">
        <x:v>Use current account pricebook rate; review delivery only if material procurement changes.</x:v>
      </x:c>
      <x:c r="V24" s="26" t="str">
        <x:v>Main fence 226.3lm measured + 8.0lm calculated returns; five 50m rolls include repair reserve.</x:v>
      </x:c>
    </x:row>
    <x:row r="25" ht="32.400001525878906" customHeight="1">
      <x:c r="A25" s="98" t="s">
        <x:v>536</x:v>
      </x:c>
      <x:c r="B25" s="98" t="str">
        <x:f>'Resource Build-Up'!A24</x:f>
        <x:v>EW04-001</x:v>
      </x:c>
      <x:c r="C25" s="98" t="str">
        <x:f>'Resource Build-Up'!B24</x:f>
        <x:v>EW04</x:v>
      </x:c>
      <x:c r="D25" s="26" t="str">
        <x:f>'Resource Build-Up'!C24</x:f>
        <x:v>Earthworks</x:v>
      </x:c>
      <x:c r="E25" s="26" t="str">
        <x:f>'Resource Build-Up'!H24</x:f>
        <x:v>OLFP swale shaping / trim / grass-interface PC</x:v>
      </x:c>
      <x:c r="F25" s="26" t="str">
        <x:f>'Resource Build-Up'!P24</x:f>
        <x:v>OTH-GENERAL</x:v>
      </x:c>
      <x:c r="G25" s="26" t="str">
        <x:f>'Resource Build-Up'!Q24</x:f>
        <x:v>Project-specific transparent allowance</x:v>
      </x:c>
      <x:c r="H25" s="26" t="str">
        <x:f>'Resource Build-Up'!T24</x:f>
        <x:v>LS</x:v>
      </x:c>
      <x:c r="I25" s="44" t="n">
        <x:f>'Resource Build-Up'!Y24</x:f>
        <x:v>3000</x:v>
      </x:c>
      <x:c r="J25" s="44" t="n">
        <x:f>'Resource Build-Up'!Z24</x:f>
        <x:v>3000</x:v>
      </x:c>
      <x:c r="K25" s="26" t="str">
        <x:v>Flood design defines 94.08lm OLFP control and 0.42m2 section; $3k shaping PC integrated</x:v>
      </x:c>
      <x:c r="L25" s="26" t="str">
        <x:v>AMBER</x:v>
      </x:c>
      <x:c r="M25" s="26" t="str">
        <x:v>No independent contractor quote; physical volume checked against flood geometry</x:v>
      </x:c>
      <x:c r="N25" s="26" t="str">
        <x:v>AMBER</x:v>
      </x:c>
      <x:c r="O25" s="26" t="str">
        <x:v>Duplication control explicitly prevents adding swale cut twice to Yodha mass balance</x:v>
      </x:c>
      <x:c r="P25" s="26" t="str">
        <x:v>PASS</x:v>
      </x:c>
      <x:c r="Q25" s="26">
        <x:f t="shared" si="0"/>
        <x:v>2</x:v>
      </x:c>
      <x:c r="R25" s="26" t="str">
        <x:v>07-Sep-2026</x:v>
      </x:c>
      <x:c r="S25" s="26" t="str">
        <x:v>AMBER - PC sum / current evidence</x:v>
      </x:c>
      <x:c r="T25" s="99" t="str">
        <x:v>AMBER - PC SUM / DUPLICATION CHECK</x:v>
      </x:c>
      <x:c r="U25" s="26" t="str">
        <x:v>Confirm swale cut is within Yodha earthworks balance and clarify landscaping/fence interface</x:v>
      </x:c>
      <x:c r="V25" s="26" t="str">
        <x:v>Swale shaping/trim only; no duplicate bulk cut volume.</x:v>
      </x:c>
    </x:row>
    <x:row r="26" ht="32.400001525878906" customHeight="1">
      <x:c r="A26" s="98" t="s">
        <x:v>537</x:v>
      </x:c>
      <x:c r="B26" s="98" t="str">
        <x:f>'Resource Build-Up'!A25</x:f>
        <x:v>EW05-001</x:v>
      </x:c>
      <x:c r="C26" s="98" t="str">
        <x:f>'Resource Build-Up'!B25</x:f>
        <x:v>EW05</x:v>
      </x:c>
      <x:c r="D26" s="26" t="str">
        <x:f>'Resource Build-Up'!C25</x:f>
        <x:v>Earthworks</x:v>
      </x:c>
      <x:c r="E26" s="26" t="str">
        <x:f>'Resource Build-Up'!H25</x:f>
        <x:v>P1-P4 pad excavation PC</x:v>
      </x:c>
      <x:c r="F26" s="26" t="str">
        <x:f>'Resource Build-Up'!P25</x:f>
        <x:v>OTH-GENERAL</x:v>
      </x:c>
      <x:c r="G26" s="26" t="str">
        <x:f>'Resource Build-Up'!Q25</x:f>
        <x:v>Project-specific transparent allowance</x:v>
      </x:c>
      <x:c r="H26" s="26" t="str">
        <x:f>'Resource Build-Up'!T25</x:f>
        <x:v>LS</x:v>
      </x:c>
      <x:c r="I26" s="44" t="n">
        <x:f>'Resource Build-Up'!Y25</x:f>
        <x:v>2500</x:v>
      </x:c>
      <x:c r="J26" s="44" t="n">
        <x:f>'Resource Build-Up'!Z25</x:f>
        <x:v>2500</x:v>
      </x:c>
      <x:c r="K26" s="26" t="str">
        <x:v>17 P1-P4 pads counted from DHC S101; neat excavation 2.191m3; $2.5k PC</x:v>
      </x:c>
      <x:c r="L26" s="26" t="str">
        <x:v>AMBER</x:v>
      </x:c>
      <x:c r="M26" s="26" t="str">
        <x:v>No independent foundation excavation quote yet</x:v>
      </x:c>
      <x:c r="N26" s="26" t="str">
        <x:v>AMBER</x:v>
      </x:c>
      <x:c r="O26" s="26" t="str">
        <x:v>Measured counts/sizes support scope; productivity/working space/spoil method remains provisional</x:v>
      </x:c>
      <x:c r="P26" s="26" t="str">
        <x:v>AMBER</x:v>
      </x:c>
      <x:c r="Q26" s="26">
        <x:f t="shared" si="0"/>
        <x:v>1</x:v>
      </x:c>
      <x:c r="R26" s="26" t="str">
        <x:v>07-Sep-2026</x:v>
      </x:c>
      <x:c r="S26" s="26" t="str">
        <x:v>AMBER - PC sum / current evidence</x:v>
      </x:c>
      <x:c r="T26" s="99" t="str">
        <x:v>AMBER - PC SUM / RFI HOLD</x:v>
      </x:c>
      <x:c r="U26" s="26" t="str">
        <x:v>Close foundation-trade boundary and replace PC with final measured production or aligned quote</x:v>
      </x:c>
      <x:c r="V26" s="26" t="str">
        <x:v>Excavate/trim P1-P4 pads only; concrete/reinforcement excluded.</x:v>
      </x:c>
    </x:row>
    <x:row r="27" ht="32.400001525878906" customHeight="1">
      <x:c r="A27" s="98" t="s">
        <x:v>538</x:v>
      </x:c>
      <x:c r="B27" s="98" t="str">
        <x:f>'Resource Build-Up'!A26</x:f>
        <x:v>EW06-001</x:v>
      </x:c>
      <x:c r="C27" s="98" t="str">
        <x:f>'Resource Build-Up'!B26</x:f>
        <x:v>EW06</x:v>
      </x:c>
      <x:c r="D27" s="26" t="str">
        <x:f>'Resource Build-Up'!C26</x:f>
        <x:v>Earthworks</x:v>
      </x:c>
      <x:c r="E27" s="26" t="str">
        <x:f>'Resource Build-Up'!H26</x:f>
        <x:v>Coast PILE2 bored-hole excavation - 15 P2 piles confirmed; Siteworks historical self-perform control retained for audit</x:v>
      </x:c>
      <x:c r="F27" s="26" t="str">
        <x:f>'Resource Build-Up'!P26</x:f>
        <x:v>PL-EXC-3-INHOUSE</x:v>
      </x:c>
      <x:c r="G27" s="26" t="str">
        <x:f>'Resource Build-Up'!Q26</x:f>
        <x:v>3.0 t excavator in-house historical project rate - operator included</x:v>
      </x:c>
      <x:c r="H27" s="26" t="str">
        <x:f>'Resource Build-Up'!T26</x:f>
        <x:v>hr</x:v>
      </x:c>
      <x:c r="I27" s="44" t="n">
        <x:f>'Resource Build-Up'!Y26</x:f>
        <x:v>97.5</x:v>
      </x:c>
      <x:c r="J27" s="44" t="n">
        <x:f>'Resource Build-Up'!Z26</x:f>
        <x:v>0</x:v>
      </x:c>
      <x:c r="K27" s="26" t="str">
        <x:v>48 Eastglen company-project direct rate: 3.0t machine incl operator $97.50/hr (19-Mar-2026)</x:v>
      </x:c>
      <x:c r="L27" s="26" t="str">
        <x:v>AMBER</x:v>
      </x:c>
      <x:c r="M27" s="26" t="str">
        <x:v>Independent checks: current Rev4 5.5t wet-hire benchmark $110/hr; Bridle Trail 5t+auger all-in control $180/hr</x:v>
      </x:c>
      <x:c r="N27" s="26" t="str">
        <x:v>PASS</x:v>
      </x:c>
      <x:c r="O27" s="26" t="str">
        <x:v>15 PILE2 confirmed by Karl/Coast; Coast formal quote includes P2 excavation. Siteworks resource count is zero.</x:v>
      </x:c>
      <x:c r="P27" s="26" t="str">
        <x:v>PASS</x:v>
      </x:c>
      <x:c r="Q27" s="26" t="n">
        <x:f t="shared" si="0"/>
        <x:v>3</x:v>
      </x:c>
      <x:c r="R27" s="26" t="str">
        <x:v>11-Sep-2026</x:v>
      </x:c>
      <x:c r="S27" s="26" t="str">
        <x:v>GREEN - CURRENT PROJECT QUOTE / CLARIFICATION</x:v>
      </x:c>
      <x:c r="T27" s="99" t="str">
        <x:v>GREEN - BY COAST / SITEWORKS COST ZERO</x:v>
      </x:c>
      <x:c r="U27" s="26" t="str">
        <x:v>Retain 15 PILE2 as Coast scope. Siteworks retains EW05/EW07 footing excavation only.</x:v>
      </x:c>
      <x:c r="V27" s="26" t="str">
        <x:v>Latest Karl clarification excludes footing/bulk excavation but does not retract the formal quote inclusion of 15 P2 pile excavation.</x:v>
      </x:c>
    </x:row>
    <x:row r="28" ht="32.400001525878906" customHeight="1">
      <x:c r="A28" s="98" t="s">
        <x:v>539</x:v>
      </x:c>
      <x:c r="B28" s="98" t="str">
        <x:f>'Resource Build-Up'!A27</x:f>
        <x:v>EW07-001</x:v>
      </x:c>
      <x:c r="C28" s="98" t="str">
        <x:f>'Resource Build-Up'!B27</x:f>
        <x:v>EW07</x:v>
      </x:c>
      <x:c r="D28" s="26" t="str">
        <x:f>'Resource Build-Up'!C27</x:f>
        <x:v>Earthworks</x:v>
      </x:c>
      <x:c r="E28" s="26" t="str">
        <x:f>'Resource Build-Up'!H27</x:f>
        <x:v>F1-F7 strip/thickening/wing-footing excavation PC</x:v>
      </x:c>
      <x:c r="F28" s="26" t="str">
        <x:f>'Resource Build-Up'!P27</x:f>
        <x:v>OTH-GENERAL</x:v>
      </x:c>
      <x:c r="G28" s="26" t="str">
        <x:f>'Resource Build-Up'!Q27</x:f>
        <x:v>Project-specific transparent allowance</x:v>
      </x:c>
      <x:c r="H28" s="26" t="str">
        <x:f>'Resource Build-Up'!T27</x:f>
        <x:v>LS</x:v>
      </x:c>
      <x:c r="I28" s="44" t="n">
        <x:f>'Resource Build-Up'!Y27</x:f>
        <x:v>12500</x:v>
      </x:c>
      <x:c r="J28" s="44" t="n">
        <x:f>'Resource Build-Up'!Z27</x:f>
        <x:v>12500</x:v>
      </x:c>
      <x:c r="K28" s="26" t="str">
        <x:v>F1-F7 footing types/sections defined by DHC; $12.5k PC closes remaining unmeasured length gap</x:v>
      </x:c>
      <x:c r="L28" s="26" t="str">
        <x:v>AMBER</x:v>
      </x:c>
      <x:c r="M28" s="26" t="str">
        <x:v>No independent slab/foundation excavation schedule received from Dave yet</x:v>
      </x:c>
      <x:c r="N28" s="26" t="str">
        <x:v>AMBER</x:v>
      </x:c>
      <x:c r="O28" s="26" t="str">
        <x:v>PC is visible and isolated; exact lineal quantity is intentionally not invented</x:v>
      </x:c>
      <x:c r="P28" s="26" t="str">
        <x:v>AMBER</x:v>
      </x:c>
      <x:c r="Q28" s="26">
        <x:f t="shared" si="0"/>
        <x:v>3</x:v>
      </x:c>
      <x:c r="R28" s="26" t="str">
        <x:v>07-Sep-2026</x:v>
      </x:c>
      <x:c r="S28" s="26" t="str">
        <x:v>AMBER - PC sum / current evidence</x:v>
      </x:c>
      <x:c r="T28" s="101" t="str">
        <x:v>AMBER - PC SUM / RFI HOLD</x:v>
      </x:c>
      <x:c r="U28" s="26" t="str">
        <x:v>Complete final visual takeoff or reconcile against slab/foundation contractor schedule</x:v>
      </x:c>
      <x:c r="V28" s="26" t="str">
        <x:v>F1-F7 strip/thickening/wing footing excavation only.</x:v>
      </x:c>
    </x:row>
    <x:row r="29" ht="32.400001525878906" customHeight="1">
      <x:c r="A29" s="98" t="s">
        <x:v>540</x:v>
      </x:c>
      <x:c r="B29" s="98" t="str">
        <x:f>'Resource Build-Up'!A28</x:f>
        <x:v>EW08-001</x:v>
      </x:c>
      <x:c r="C29" s="98" t="str">
        <x:f>'Resource Build-Up'!B28</x:f>
        <x:v>EW08</x:v>
      </x:c>
      <x:c r="D29" s="26" t="str">
        <x:f>'Resource Build-Up'!C28</x:f>
        <x:v>Earthworks</x:v>
      </x:c>
      <x:c r="E29" s="26" t="str">
        <x:f>'Resource Build-Up'!H28</x:f>
        <x:v>Incidental surplus spoil / cartage / tipping PC</x:v>
      </x:c>
      <x:c r="F29" s="26" t="str">
        <x:f>'Resource Build-Up'!P28</x:f>
        <x:v>OTH-GENERAL</x:v>
      </x:c>
      <x:c r="G29" s="26" t="str">
        <x:f>'Resource Build-Up'!Q28</x:f>
        <x:v>Project-specific transparent allowance</x:v>
      </x:c>
      <x:c r="H29" s="26" t="str">
        <x:f>'Resource Build-Up'!T28</x:f>
        <x:v>LS</x:v>
      </x:c>
      <x:c r="I29" s="44" t="n">
        <x:f>'Resource Build-Up'!Y28</x:f>
        <x:v>10000</x:v>
      </x:c>
      <x:c r="J29" s="44" t="n">
        <x:f>'Resource Build-Up'!Z28</x:f>
        <x:v>10000</x:v>
      </x:c>
      <x:c r="K29" s="26" t="str">
        <x:v>Yodha RevB proves project is net import; EW08 remains incidental surplus/topsoil/unsuitable disposal only.</x:v>
      </x:c>
      <x:c r="L29" s="26" t="str">
        <x:v>PASS</x:v>
      </x:c>
      <x:c r="M29" s="26" t="str">
        <x:v>Urban Quarry 11-Sep-2026 quoted delivered/outbound rates: cleanfill $31.20/t, mixed $46.20/t, managed $49.55/t; T&amp;T access required.</x:v>
      </x:c>
      <x:c r="N29" s="26" t="str">
        <x:v>PASS</x:v>
      </x:c>
      <x:c r="O29" s="26" t="str">
        <x:v>Actual disposal quantity/classification remains unknown, so the $10k PC cannot be converted to a measured quantity without invention.</x:v>
      </x:c>
      <x:c r="P29" s="26" t="str">
        <x:v>AMBER</x:v>
      </x:c>
      <x:c r="Q29" s="26" t="n">
        <x:f t="shared" si="0"/>
        <x:v>2</x:v>
      </x:c>
      <x:c r="R29" s="26" t="str">
        <x:v>11-Sep-2026</x:v>
      </x:c>
      <x:c r="S29" s="26" t="str">
        <x:v>AMBER</x:v>
      </x:c>
      <x:c r="T29" s="101" t="str">
        <x:v>AMBER - LIVE DISPOSAL RATES / QUANTITY HOLD</x:v>
      </x:c>
      <x:c r="U29" s="26" t="str">
        <x:v>Confirm surplus/topsoil/unsuitable quantity, material classification, receiving-facility acceptance and T&amp;T access before replacing EW08 PC.</x:v>
      </x:c>
      <x:c r="V29" s="26" t="str">
        <x:v>Urban Quarry levy is stated included for mixed/managed fill; do not add the waste levy again.</x:v>
      </x:c>
    </x:row>
    <x:row r="30" ht="32.400001525878906" customHeight="1">
      <x:c r="A30" s="98" t="s">
        <x:v>541</x:v>
      </x:c>
      <x:c r="B30" s="98" t="str">
        <x:f>'Resource Build-Up'!A29</x:f>
        <x:v>EW09-001</x:v>
      </x:c>
      <x:c r="C30" s="98" t="str">
        <x:f>'Resource Build-Up'!B29</x:f>
        <x:v>EW09</x:v>
      </x:c>
      <x:c r="D30" s="26" t="str">
        <x:f>'Resource Build-Up'!C29</x:f>
        <x:v>Earthworks</x:v>
      </x:c>
      <x:c r="E30" s="26" t="str">
        <x:f>'Resource Build-Up'!H29</x:f>
        <x:v>923m3 net imported engineered fill supply/delivery PC</x:v>
      </x:c>
      <x:c r="F30" s="26" t="str">
        <x:f>'Resource Build-Up'!P29</x:f>
        <x:v>OTH-GENERAL</x:v>
      </x:c>
      <x:c r="G30" s="26" t="str">
        <x:f>'Resource Build-Up'!Q29</x:f>
        <x:v>Project-specific transparent allowance</x:v>
      </x:c>
      <x:c r="H30" s="26" t="str">
        <x:f>'Resource Build-Up'!T29</x:f>
        <x:v>LS</x:v>
      </x:c>
      <x:c r="I30" s="44" t="n">
        <x:f>'Resource Build-Up'!Y29</x:f>
        <x:v>60000</x:v>
      </x:c>
      <x:c r="J30" s="44" t="n">
        <x:f>'Resource Build-Up'!Z29</x:f>
        <x:v>60000</x:v>
      </x:c>
      <x:c r="K30" s="26" t="str">
        <x:v>Yodha RevB provides 923m3 net imported fill; $60k delivered-material PC remains the tender baseline.</x:v>
      </x:c>
      <x:c r="L30" s="26" t="str">
        <x:v>PASS</x:v>
      </x:c>
      <x:c r="M30" s="26" t="str">
        <x:v>Urban Quarry 11-Sep-2026 quotes inbound clay $25.10/t delivered T&amp;T but does not prove compliance with engineered-fill specification.</x:v>
      </x:c>
      <x:c r="N30" s="26" t="str">
        <x:v>AMBER</x:v>
      </x:c>
      <x:c r="O30" s="26" t="str">
        <x:v>923m3 supply remains separated from EW02 placement/compaction; conversion to tonnes and accepted source/spec are not yet evidenced.</x:v>
      </x:c>
      <x:c r="P30" s="26" t="str">
        <x:v>PASS</x:v>
      </x:c>
      <x:c r="Q30" s="26" t="n">
        <x:f t="shared" si="0"/>
        <x:v>2</x:v>
      </x:c>
      <x:c r="R30" s="26" t="str">
        <x:v>11-Sep-2026</x:v>
      </x:c>
      <x:c r="S30" s="26" t="str">
        <x:v>AMBER</x:v>
      </x:c>
      <x:c r="T30" s="101" t="str">
        <x:v>AMBER - LIVE MATERIAL RATE / ENGINEERED-FILL COMPLIANCE HOLD</x:v>
      </x:c>
      <x:c r="U30" s="26" t="str">
        <x:v>Obtain consultant/geotech acceptance of source/spec/density and confirm T&amp;T access before replacing the $60k EW09 PC.</x:v>
      </x:c>
      <x:c r="V30" s="26" t="str">
        <x:v>Do not substitute quoted inbound clay for specified engineered fill solely on price.</x:v>
      </x:c>
    </x:row>
    <x:row r="31" ht="32.400001525878906" customHeight="1">
      <x:c r="A31" s="98" t="s">
        <x:v>542</x:v>
      </x:c>
      <x:c r="B31" s="98" t="str">
        <x:f>'Resource Build-Up'!A30</x:f>
        <x:v>PV02-001</x:v>
      </x:c>
      <x:c r="C31" s="98" t="str">
        <x:f>'Resource Build-Up'!B30</x:f>
        <x:v>PV02</x:v>
      </x:c>
      <x:c r="D31" s="26" t="str">
        <x:f>'Resource Build-Up'!C30</x:f>
        <x:v>Pavements &amp; Concrete</x:v>
      </x:c>
      <x:c r="E31" s="26" t="str">
        <x:f>'Resource Build-Up'!H30</x:f>
        <x:v>Public Hobsonville Road VX203 crossing construction PC</x:v>
      </x:c>
      <x:c r="F31" s="26" t="str">
        <x:f>'Resource Build-Up'!P30</x:f>
        <x:v>OTH-GENERAL</x:v>
      </x:c>
      <x:c r="G31" s="26" t="str">
        <x:f>'Resource Build-Up'!Q30</x:f>
        <x:v>Project-specific transparent allowance</x:v>
      </x:c>
      <x:c r="H31" s="26" t="str">
        <x:f>'Resource Build-Up'!T30</x:f>
        <x:v>LS</x:v>
      </x:c>
      <x:c r="I31" s="44" t="n">
        <x:f>'Resource Build-Up'!Y30</x:f>
        <x:v>18250</x:v>
      </x:c>
      <x:c r="J31" s="44" t="n">
        <x:f>'Resource Build-Up'!Z30</x:f>
        <x:v>18250</x:v>
      </x:c>
      <x:c r="K31" s="26" t="str">
        <x:v>37.7665m2 public Hobsonville Rd VX203 footprint measured; $18.25k full crossing PC</x:v>
      </x:c>
      <x:c r="L31" s="26" t="str">
        <x:v>AMBER</x:v>
      </x:c>
      <x:c r="M31" s="26" t="str">
        <x:v>Q-05 concrete placement and Q-07 CAR/TMP quote requests sent 07-Sep-2026</x:v>
      </x:c>
      <x:c r="N31" s="26" t="str">
        <x:v>AMBER</x:v>
      </x:c>
      <x:c r="O31" s="26" t="str">
        <x:v>Private ROW connection is explicitly included in PV01; public crossing baseline is isolated</x:v>
      </x:c>
      <x:c r="P31" s="26" t="str">
        <x:v>PASS</x:v>
      </x:c>
      <x:c r="Q31" s="26">
        <x:f t="shared" si="0"/>
        <x:v>3</x:v>
      </x:c>
      <x:c r="R31" s="26" t="str">
        <x:v>07-Sep-2026</x:v>
      </x:c>
      <x:c r="S31" s="26" t="str">
        <x:v>AMBER - PC sum / current evidence</x:v>
      </x:c>
      <x:c r="T31" s="101" t="str">
        <x:v>AMBER - QUOTE REQUEST SENT</x:v>
      </x:c>
      <x:c r="U31" s="26" t="str">
        <x:v>Reconcile Q-05/Q-07 returns, authority fees and inspection obligations into PV02/PG01 once</x:v>
      </x:c>
      <x:c r="V31" s="26" t="str">
        <x:v>Public VX203 crossing only; private ROW connection not duplicated.</x:v>
      </x:c>
    </x:row>
    <x:row r="32" ht="32.400001525878906" customHeight="1">
      <x:c r="A32" s="98" t="s">
        <x:v>543</x:v>
      </x:c>
      <x:c r="B32" s="98" t="str">
        <x:f>'Resource Build-Up'!A31</x:f>
        <x:v>PV04-001</x:v>
      </x:c>
      <x:c r="C32" s="98" t="str">
        <x:f>'Resource Build-Up'!B31</x:f>
        <x:v>PV04</x:v>
      </x:c>
      <x:c r="D32" s="26" t="str">
        <x:f>'Resource Build-Up'!C31</x:f>
        <x:v>Pavements &amp; Concrete</x:v>
      </x:c>
      <x:c r="E32" s="26" t="str">
        <x:f>'Resource Build-Up'!H31</x:f>
        <x:v>External path/interface concrete PC</x:v>
      </x:c>
      <x:c r="F32" s="26" t="str">
        <x:f>'Resource Build-Up'!P31</x:f>
        <x:v>OTH-GENERAL</x:v>
      </x:c>
      <x:c r="G32" s="26" t="str">
        <x:f>'Resource Build-Up'!Q31</x:f>
        <x:v>Project-specific transparent allowance</x:v>
      </x:c>
      <x:c r="H32" s="26" t="str">
        <x:f>'Resource Build-Up'!T31</x:f>
        <x:v>LS</x:v>
      </x:c>
      <x:c r="I32" s="44" t="n">
        <x:f>'Resource Build-Up'!Y31</x:f>
        <x:v>21026.652452025588</x:v>
      </x:c>
      <x:c r="J32" s="44" t="n">
        <x:f>'Resource Build-Up'!Z31</x:f>
        <x:v>21026.652452025588</x:v>
      </x:c>
      <x:c r="K32" s="26" t="str">
        <x:v>46.9m2 path/interface area calculated from 498m2 architectural total less 451.1m2 internal pavement</x:v>
      </x:c>
      <x:c r="L32" s="26" t="str">
        <x:v>AMBER</x:v>
      </x:c>
      <x:c r="M32" s="26" t="str">
        <x:v>Q-05 concrete placement/finishing request sent 07-Sep-2026</x:v>
      </x:c>
      <x:c r="N32" s="26" t="str">
        <x:v>AMBER</x:v>
      </x:c>
      <x:c r="O32" s="26" t="str">
        <x:v>Quantity reconciliation is reproducible; slab thickness/reinforcement/base remains design PC</x:v>
      </x:c>
      <x:c r="P32" s="26" t="str">
        <x:v>AMBER</x:v>
      </x:c>
      <x:c r="Q32" s="26">
        <x:f t="shared" si="0"/>
        <x:v>1</x:v>
      </x:c>
      <x:c r="R32" s="26" t="str">
        <x:v>07-Sep-2026</x:v>
      </x:c>
      <x:c r="S32" s="26" t="str">
        <x:v>AMBER - PC sum / current evidence</x:v>
      </x:c>
      <x:c r="T32" s="99" t="str">
        <x:v>AMBER - QUOTE REQUEST SENT</x:v>
      </x:c>
      <x:c r="U32" s="26" t="str">
        <x:v>Confirm path build-up and replace $11k PC with measured resource/quote build-up</x:v>
      </x:c>
      <x:c r="V32" s="26" t="str">
        <x:v>External path/interface concrete only.</x:v>
      </x:c>
    </x:row>
    <x:row r="33" ht="32.400001525878906" customHeight="1">
      <x:c r="A33" s="98" t="s">
        <x:v>544</x:v>
      </x:c>
      <x:c r="B33" s="98" t="str">
        <x:f>'Resource Build-Up'!A32</x:f>
        <x:v>PV05-001</x:v>
      </x:c>
      <x:c r="C33" s="98" t="str">
        <x:f>'Resource Build-Up'!B32</x:f>
        <x:v>PV05</x:v>
      </x:c>
      <x:c r="D33" s="26" t="str">
        <x:f>'Resource Build-Up'!C32</x:f>
        <x:v>Pavements &amp; Concrete</x:v>
      </x:c>
      <x:c r="E33" s="26" t="str">
        <x:f>'Resource Build-Up'!H32</x:f>
        <x:v>Line marking / accessible symbol / signage PC</x:v>
      </x:c>
      <x:c r="F33" s="26" t="str">
        <x:f>'Resource Build-Up'!P32</x:f>
        <x:v>OTH-GENERAL</x:v>
      </x:c>
      <x:c r="G33" s="26" t="str">
        <x:f>'Resource Build-Up'!Q32</x:f>
        <x:v>Project-specific transparent allowance</x:v>
      </x:c>
      <x:c r="H33" s="26" t="str">
        <x:f>'Resource Build-Up'!T32</x:f>
        <x:v>LS</x:v>
      </x:c>
      <x:c r="I33" s="44" t="n">
        <x:f>'Resource Build-Up'!Y32</x:f>
        <x:v>2500</x:v>
      </x:c>
      <x:c r="J33" s="44" t="n">
        <x:f>'Resource Build-Up'!Z32</x:f>
        <x:v>2500</x:v>
      </x:c>
      <x:c r="K33" s="26" t="str">
        <x:v>21 parks incl. one accessible space visible in project documents; $2.5k marking/signage PC</x:v>
      </x:c>
      <x:c r="L33" s="26" t="str">
        <x:v>AMBER</x:v>
      </x:c>
      <x:c r="M33" s="26" t="str">
        <x:v>Q-09 line marking/speed-control request sent 07-Sep-2026</x:v>
      </x:c>
      <x:c r="N33" s="26" t="str">
        <x:v>AMBER</x:v>
      </x:c>
      <x:c r="O33" s="26" t="str">
        <x:v>Package scope is visible but final marking schedule/accessibility requirement remains to firm</x:v>
      </x:c>
      <x:c r="P33" s="26" t="str">
        <x:v>AMBER</x:v>
      </x:c>
      <x:c r="Q33" s="26">
        <x:f t="shared" si="0"/>
        <x:v>0</x:v>
      </x:c>
      <x:c r="R33" s="26" t="str">
        <x:v>07-Sep-2026</x:v>
      </x:c>
      <x:c r="S33" s="26" t="str">
        <x:v>AMBER - PC sum / current evidence</x:v>
      </x:c>
      <x:c r="T33" s="100" t="str">
        <x:v>AMBER - QUOTE REQUEST SENT</x:v>
      </x:c>
      <x:c r="U33" s="26" t="str">
        <x:v>Replace $2.5k PC with Q-09 measured marking/signage return and confirm accessible-space requirement</x:v>
      </x:c>
      <x:c r="V33" s="26" t="str">
        <x:v>Parking lines, accessible symbol/signage and normal directional markings.</x:v>
      </x:c>
    </x:row>
    <x:row r="34" ht="32.400001525878906" customHeight="1">
      <x:c r="A34" s="98" t="s">
        <x:v>545</x:v>
      </x:c>
      <x:c r="B34" s="98" t="str">
        <x:f>'Resource Build-Up'!A33</x:f>
        <x:v>PV06-001</x:v>
      </x:c>
      <x:c r="C34" s="98" t="str">
        <x:f>'Resource Build-Up'!B33</x:f>
        <x:v>PV06</x:v>
      </x:c>
      <x:c r="D34" s="26" t="str">
        <x:f>'Resource Build-Up'!C33</x:f>
        <x:v>Pavements &amp; Concrete</x:v>
      </x:c>
      <x:c r="E34" s="26" t="str">
        <x:f>'Resource Build-Up'!H33</x:f>
        <x:v>Existing speed bump shown on topographical survey - no new Siteworks speed-control device priced</x:v>
      </x:c>
      <x:c r="F34" s="26" t="str">
        <x:f>'Resource Build-Up'!P33</x:f>
        <x:v>OTH-GENERAL</x:v>
      </x:c>
      <x:c r="G34" s="26" t="str">
        <x:f>'Resource Build-Up'!Q33</x:f>
        <x:v>Project-specific transparent allowance</x:v>
      </x:c>
      <x:c r="H34" s="26" t="str">
        <x:f>'Resource Build-Up'!T33</x:f>
        <x:v>LS</x:v>
      </x:c>
      <x:c r="I34" s="44" t="n">
        <x:f>'Resource Build-Up'!Y33</x:f>
        <x:v>4000</x:v>
      </x:c>
      <x:c r="J34" s="44" t="n">
        <x:f>'Resource Build-Up'!Z33</x:f>
        <x:v>0</x:v>
      </x:c>
      <x:c r="K34" s="26" t="str">
        <x:v>Existing Speed Bump located on topographical survey only; no proposed new device found in current Arch Rev16/Civil EPA</x:v>
      </x:c>
      <x:c r="L34" s="26" t="str">
        <x:v>AMBER</x:v>
      </x:c>
      <x:c r="M34" s="26" t="str">
        <x:v>Board ERB-05 scope challenge closed 08-Sep-2026 against current drawings</x:v>
      </x:c>
      <x:c r="N34" s="26" t="str">
        <x:v>PASS</x:v>
      </x:c>
      <x:c r="O34" s="26" t="str">
        <x:v>Quantity reset to 0; current proposed-work evidence does not support new devices</x:v>
      </x:c>
      <x:c r="P34" s="26" t="str">
        <x:v>PASS</x:v>
      </x:c>
      <x:c r="Q34" s="26" t="n">
        <x:f t="shared" si="0"/>
        <x:v>3</x:v>
      </x:c>
      <x:c r="R34" s="26" t="str">
        <x:v>08-Sep-2026</x:v>
      </x:c>
      <x:c r="S34" s="26" t="str">
        <x:v>AMBER - scope exclusion</x:v>
      </x:c>
      <x:c r="T34" s="99" t="str">
        <x:v>AMBER - RFI only if client expects new devices</x:v>
      </x:c>
      <x:c r="U34" s="26" t="str">
        <x:v>No new cost. Re-add only on explicit instructed scope.</x:v>
      </x:c>
      <x:c r="V34" s="26" t="str">
        <x:v>Prior $4,000 PC removed in Rev21.</x:v>
      </x:c>
    </x:row>
    <x:row r="35" ht="32.400001525878906" customHeight="1">
      <x:c r="A35" s="98" t="s">
        <x:v>546</x:v>
      </x:c>
      <x:c r="B35" s="98" t="str">
        <x:f>'Resource Build-Up'!A34</x:f>
        <x:v>ES01-001</x:v>
      </x:c>
      <x:c r="C35" s="98" t="str">
        <x:f>'Resource Build-Up'!B34</x:f>
        <x:v>ES01</x:v>
      </x:c>
      <x:c r="D35" s="26" t="str">
        <x:f>'Resource Build-Up'!C34</x:f>
        <x:v>Kerbs, Channels &amp; External Sitework</x:v>
      </x:c>
      <x:c r="E35" s="26" t="str">
        <x:f>'Resource Build-Up'!H34</x:f>
        <x:v>Dry service/utility trenching PC pending coordinated design</x:v>
      </x:c>
      <x:c r="F35" s="26" t="str">
        <x:f>'Resource Build-Up'!P34</x:f>
        <x:v>OTH-GENERAL</x:v>
      </x:c>
      <x:c r="G35" s="26" t="str">
        <x:f>'Resource Build-Up'!Q34</x:f>
        <x:v>Project-specific transparent allowance</x:v>
      </x:c>
      <x:c r="H35" s="26" t="str">
        <x:f>'Resource Build-Up'!T34</x:f>
        <x:v>LS</x:v>
      </x:c>
      <x:c r="I35" s="44" t="n">
        <x:f>'Resource Build-Up'!Y34</x:f>
        <x:v>15000</x:v>
      </x:c>
      <x:c r="J35" s="44" t="n">
        <x:f>'Resource Build-Up'!Z34</x:f>
        <x:v>15000</x:v>
      </x:c>
      <x:c r="K35" s="26" t="str">
        <x:v>Civil DWG311 explicitly states typical service trench details by others; $15k PC prevents omission</x:v>
      </x:c>
      <x:c r="L35" s="26" t="str">
        <x:v>AMBER</x:v>
      </x:c>
      <x:c r="M35" s="26" t="str">
        <x:v>No coordinated service design or specialist quote received</x:v>
      </x:c>
      <x:c r="N35" s="26" t="str">
        <x:v>RED</x:v>
      </x:c>
      <x:c r="O35" s="26" t="str">
        <x:v>PC is visible as design hold and not presented as measured trench quantity</x:v>
      </x:c>
      <x:c r="P35" s="26" t="str">
        <x:v>AMBER</x:v>
      </x:c>
      <x:c r="Q35" s="26">
        <x:f t="shared" si="0"/>
        <x:v>3</x:v>
      </x:c>
      <x:c r="R35" s="26" t="str">
        <x:v>07-Sep-2026</x:v>
      </x:c>
      <x:c r="S35" s="26" t="str">
        <x:v>AMBER - PC sum / current evidence</x:v>
      </x:c>
      <x:c r="T35" s="101" t="str">
        <x:v>AMBER - PC SUM / DESIGN HOLD</x:v>
      </x:c>
      <x:c r="U35" s="26" t="str">
        <x:v>Obtain coordinated service layout/sections and rebuild measured trench/resources</x:v>
      </x:c>
      <x:c r="V35" s="26" t="str">
        <x:v>Dry utility/service trench interface only; service supply/testing scope remains subject to design.</x:v>
      </x:c>
    </x:row>
    <x:row r="36" ht="32.400001525878906" customHeight="1">
      <x:c r="A36" s="98" t="s">
        <x:v>547</x:v>
      </x:c>
      <x:c r="B36" s="98" t="str">
        <x:f>'Resource Build-Up'!A35</x:f>
        <x:v>ES02-001</x:v>
      </x:c>
      <x:c r="C36" s="98" t="str">
        <x:f>'Resource Build-Up'!B35</x:f>
        <x:v>ES02</x:v>
      </x:c>
      <x:c r="D36" s="26" t="str">
        <x:f>'Resource Build-Up'!C35</x:f>
        <x:v>Kerbs, Channels &amp; External Sitework</x:v>
      </x:c>
      <x:c r="E36" s="26" t="str">
        <x:f>'Resource Build-Up'!H35</x:f>
        <x:v>Carpark formed dish-channel/interface PC</x:v>
      </x:c>
      <x:c r="F36" s="26" t="str">
        <x:f>'Resource Build-Up'!P35</x:f>
        <x:v>OTH-GENERAL</x:v>
      </x:c>
      <x:c r="G36" s="26" t="str">
        <x:f>'Resource Build-Up'!Q35</x:f>
        <x:v>Project-specific transparent allowance</x:v>
      </x:c>
      <x:c r="H36" s="26" t="str">
        <x:f>'Resource Build-Up'!T35</x:f>
        <x:v>LS</x:v>
      </x:c>
      <x:c r="I36" s="44" t="n">
        <x:f>'Resource Build-Up'!Y35</x:f>
        <x:v>7500</x:v>
      </x:c>
      <x:c r="J36" s="44" t="n">
        <x:f>'Resource Build-Up'!Z35</x:f>
        <x:v>7500</x:v>
      </x:c>
      <x:c r="K36" s="26" t="str">
        <x:v>Civil drawings show dish-channel interface; $7.5k PC integrated</x:v>
      </x:c>
      <x:c r="L36" s="26" t="str">
        <x:v>AMBER</x:v>
      </x:c>
      <x:c r="M36" s="26" t="str">
        <x:v>No independently measured final length or specialist quote received</x:v>
      </x:c>
      <x:c r="N36" s="26" t="str">
        <x:v>AMBER</x:v>
      </x:c>
      <x:c r="O36" s="26" t="str">
        <x:v>Downstream catchpit/piped drainage is kept outside this PC as a by-others interface</x:v>
      </x:c>
      <x:c r="P36" s="26" t="str">
        <x:v>PASS</x:v>
      </x:c>
      <x:c r="Q36" s="26">
        <x:f t="shared" si="0"/>
        <x:v>2</x:v>
      </x:c>
      <x:c r="R36" s="26" t="str">
        <x:v>07-Sep-2026</x:v>
      </x:c>
      <x:c r="S36" s="26" t="str">
        <x:v>AMBER - PC sum / current evidence</x:v>
      </x:c>
      <x:c r="T36" s="99" t="str">
        <x:v>AMBER - PC SUM / RFI HOLD</x:v>
      </x:c>
      <x:c r="U36" s="26" t="str">
        <x:v>Measure final dish-channel length and confirm Siteworks / downstream-drainage boundary</x:v>
      </x:c>
      <x:c r="V36" s="26" t="str">
        <x:v>Formed surface channel only.</x:v>
      </x:c>
    </x:row>
    <x:row r="37" ht="32.400001525878906" customHeight="1">
      <x:c r="A37" s="98" t="s">
        <x:v>548</x:v>
      </x:c>
      <x:c r="B37" s="98" t="str">
        <x:f>'Resource Build-Up'!A36</x:f>
        <x:v>ES03-001</x:v>
      </x:c>
      <x:c r="C37" s="98" t="str">
        <x:f>'Resource Build-Up'!B36</x:f>
        <x:v>ES03</x:v>
      </x:c>
      <x:c r="D37" s="26" t="str">
        <x:f>'Resource Build-Up'!C36</x:f>
        <x:v>Kerbs, Channels &amp; External Sitework</x:v>
      </x:c>
      <x:c r="E37" s="26" t="str">
        <x:f>'Resource Build-Up'!H36</x:f>
        <x:v>Allproof threshold drain PC - supplier order control 44m + 44 end caps; GFN/Wedge Wire selection unresolved</x:v>
      </x:c>
      <x:c r="F37" s="26" t="str">
        <x:f>'Resource Build-Up'!P36</x:f>
        <x:v>OTH-GENERAL</x:v>
      </x:c>
      <x:c r="G37" s="26" t="str">
        <x:f>'Resource Build-Up'!Q36</x:f>
        <x:v>Project-specific transparent allowance</x:v>
      </x:c>
      <x:c r="H37" s="26" t="str">
        <x:f>'Resource Build-Up'!T36</x:f>
        <x:v>LS</x:v>
      </x:c>
      <x:c r="I37" s="44" t="n">
        <x:f>'Resource Build-Up'!Y36</x:f>
        <x:v>40000</x:v>
      </x:c>
      <x:c r="J37" s="44" t="n">
        <x:f>'Resource Build-Up'!Z36</x:f>
        <x:v>40000</x:v>
      </x:c>
      <x:c r="K37" s="26" t="str">
        <x:v>PlaceMakers sell rates + supplier quantity rule: 44m + 44 caps. GFN material $19,280.36; Wedge Wire material $37,686.88 excl GST.</x:v>
      </x:c>
      <x:c r="L37" s="26" t="str">
        <x:v>PASS</x:v>
      </x:c>
      <x:c r="M37" s="26" t="str">
        <x:v>Independent product-rate check exists through Allproof Quote 547748 versus PlaceMakers Estimate 413360; the remaining uncertainty is product selection, not the supplier ordering quantity.</x:v>
      </x:c>
      <x:c r="N37" s="26" t="str">
        <x:v>AMBER</x:v>
      </x:c>
      <x:c r="O37" s="26" t="str">
        <x:v>Supplier order quantity is reproducible: 22 doors x 2m = 44m and 22 x 2 caps = 44 caps. Existing programme allows 7 days. One concrete finisher + one civil labourer for 56h each = $4,592.00 labour sensitivity.</x:v>
      </x:c>
      <x:c r="P37" s="26" t="str">
        <x:v>PASS</x:v>
      </x:c>
      <x:c r="Q37" s="26" t="n">
        <x:f t="shared" si="0"/>
        <x:v>3</x:v>
      </x:c>
      <x:c r="R37" s="26" t="str">
        <x:v>07-Sep-2026</x:v>
      </x:c>
      <x:c r="S37" s="26" t="str">
        <x:v>AMBER - QUANTITY/RATES STRONGLY EVIDENCED</x:v>
      </x:c>
      <x:c r="T37" s="101" t="str">
        <x:v>AMBER - GFN vs WW / outlets / install interface unresolved</x:v>
      </x:c>
      <x:c r="U37" s="26" t="str">
        <x:v>Confirm selected grate (GFN or Wedge Wire), confirm outlet/downstream responsibility with the separate drainage contractor, then replace $40k PC with final resource build. No further Allproof takeoff expected.</x:v>
      </x:c>
      <x:c r="V37" s="26" t="str">
        <x:v>GFN supply + 7-day two-person labour sensitivity $23,872.36; Wedge Wire equivalent $42,278.88, both before outlet/downstream connection and store-to-site delivery. Allproof confirmed 7-8 week lead time.</x:v>
      </x:c>
    </x:row>
    <x:row r="38" ht="32.400001525878906" customHeight="1">
      <x:c r="A38" s="98" t="s">
        <x:v>549</x:v>
      </x:c>
      <x:c r="B38" s="98" t="str">
        <x:f>'Resource Build-Up'!A37</x:f>
        <x:v>ES04-001</x:v>
      </x:c>
      <x:c r="C38" s="98" t="str">
        <x:f>'Resource Build-Up'!B37</x:f>
        <x:v>ES04</x:v>
      </x:c>
      <x:c r="D38" s="26" t="str">
        <x:f>'Resource Build-Up'!C37</x:f>
        <x:v>Kerbs, Channels &amp; External Sitework</x:v>
      </x:c>
      <x:c r="E38" s="26" t="str">
        <x:f>'Resource Build-Up'!H37</x:f>
        <x:v>OLFP fence opening / reinstatement PC</x:v>
      </x:c>
      <x:c r="F38" s="26" t="str">
        <x:f>'Resource Build-Up'!P37</x:f>
        <x:v>OTH-GENERAL</x:v>
      </x:c>
      <x:c r="G38" s="26" t="str">
        <x:f>'Resource Build-Up'!Q37</x:f>
        <x:v>Project-specific transparent allowance</x:v>
      </x:c>
      <x:c r="H38" s="26" t="str">
        <x:f>'Resource Build-Up'!T37</x:f>
        <x:v>LS</x:v>
      </x:c>
      <x:c r="I38" s="44" t="n">
        <x:f>'Resource Build-Up'!Y37</x:f>
        <x:v>2500</x:v>
      </x:c>
      <x:c r="J38" s="44" t="n">
        <x:f>'Resource Build-Up'!Z37</x:f>
        <x:v>2500</x:v>
      </x:c>
      <x:c r="K38" s="26" t="str">
        <x:v>Flood assessment requires fence openings to preserve OLFP; $2.5k interface PC</x:v>
      </x:c>
      <x:c r="L38" s="26" t="str">
        <x:v>AMBER</x:v>
      </x:c>
      <x:c r="M38" s="26" t="str">
        <x:v>No fence-trade ownership confirmation or quote received</x:v>
      </x:c>
      <x:c r="N38" s="26" t="str">
        <x:v>AMBER</x:v>
      </x:c>
      <x:c r="O38" s="26" t="str">
        <x:v>PC is separated from swale earthworks EW04 and soft landscaping</x:v>
      </x:c>
      <x:c r="P38" s="26" t="str">
        <x:v>PASS</x:v>
      </x:c>
      <x:c r="Q38" s="26">
        <x:f t="shared" si="0"/>
        <x:v>2</x:v>
      </x:c>
      <x:c r="R38" s="26" t="str">
        <x:v>07-Sep-2026</x:v>
      </x:c>
      <x:c r="S38" s="26" t="str">
        <x:v>AMBER - PC sum / current evidence</x:v>
      </x:c>
      <x:c r="T38" s="99" t="str">
        <x:v>AMBER - PC SUM / RFI HOLD</x:v>
      </x:c>
      <x:c r="U38" s="26" t="str">
        <x:v>Confirm fencing responsibility and detail; remove/replace PC if by others</x:v>
      </x:c>
      <x:c r="V38" s="26" t="str">
        <x:v>OLFP fence opening/reinstatement interface.</x:v>
      </x:c>
    </x:row>
    <x:row r="39" ht="32.400001525878906" customHeight="1">
      <x:c r="A39" s="98" t="s">
        <x:v>550</x:v>
      </x:c>
      <x:c r="B39" s="98" t="str">
        <x:f>'Resource Build-Up'!A38</x:f>
        <x:v>RW01-001</x:v>
      </x:c>
      <x:c r="C39" s="98" t="str">
        <x:f>'Resource Build-Up'!B38</x:f>
        <x:v>RW01</x:v>
      </x:c>
      <x:c r="D39" s="26" t="str">
        <x:f>'Resource Build-Up'!C38</x:f>
        <x:v>Retaining Walls</x:v>
      </x:c>
      <x:c r="E39" s="26" t="str">
        <x:f>'Resource Build-Up'!H38</x:f>
        <x:v>Principal Keystone wall system PC</x:v>
      </x:c>
      <x:c r="F39" s="26" t="str">
        <x:f>'Resource Build-Up'!P38</x:f>
        <x:v>OTH-GENERAL</x:v>
      </x:c>
      <x:c r="G39" s="26" t="str">
        <x:f>'Resource Build-Up'!Q38</x:f>
        <x:v>Project-specific transparent allowance</x:v>
      </x:c>
      <x:c r="H39" s="26" t="str">
        <x:f>'Resource Build-Up'!T38</x:f>
        <x:v>LS</x:v>
      </x:c>
      <x:c r="I39" s="44" t="n">
        <x:f>'Resource Build-Up'!Y38</x:f>
        <x:v>45000</x:v>
      </x:c>
      <x:c r="J39" s="44" t="n">
        <x:f>'Resource Build-Up'!Z38</x:f>
        <x:v>45000</x:v>
      </x:c>
      <x:c r="K39" s="26" t="str">
        <x:v>Citi Quote #1020 dated 10-Sep-2026: combined Keystone supply subtotal $26,339.10 excl GST. Refundable pallet deposit is $1,656.00, not $1,440.</x:v>
      </x:c>
      <x:c r="L39" s="26" t="str">
        <x:v>PASS</x:v>
      </x:c>
      <x:c r="M39" s="26" t="str">
        <x:v>Bryn/Citi 11-Sep-2026 supplier takeoff: 84.0lm, height bands 0.2-1.8m plus one buried straight-face course. Our vector alignment = 82.93lm.</x:v>
      </x:c>
      <x:c r="N39" s="26" t="str">
        <x:v>PASS</x:v>
      </x:c>
      <x:c r="O39" s="26" t="str">
        <x:v>Supplier bands produce 100.6m2 exposed face + 16.8m2 buried = 117.4m2 equivalent. @11 blocks/m2 = 1,291 theoretical vs 1,274 quoted (-1.35%); cap check 184 theoretical vs 187 quoted (1.65%).</x:v>
      </x:c>
      <x:c r="P39" s="26" t="str">
        <x:v>PASS</x:v>
      </x:c>
      <x:c r="Q39" s="26" t="n">
        <x:f t="shared" si="0"/>
        <x:v>3</x:v>
      </x:c>
      <x:c r="R39" s="26" t="str">
        <x:v>11-Sep-2026</x:v>
      </x:c>
      <x:c r="S39" s="26" t="str">
        <x:v>AMBER - QUOTE/QUANTITY TRIANGULATED; DESIGN AUTHORITY OPEN</x:v>
      </x:c>
      <x:c r="T39" s="101" t="str">
        <x:v>AMBER - MATERIAL BASIS STRONG / DESIGN RFI HOLD</x:v>
      </x:c>
      <x:c r="U39" s="26" t="str">
        <x:v>Retain RW01 PC until Civil 1.5m vs Arch/DHC 1.8m governing design is confirmed and installed base/excavation/no-fines scope is rebuilt.</x:v>
      </x:c>
      <x:c r="V39" s="26" t="str">
        <x:v>Q1020 material quantity is strongly corroborated and already includes up-to-1.8m bands. Net non-recoverable quote if all pallets returned = $24,683.10.</x:v>
      </x:c>
    </x:row>
    <x:row r="40" ht="32.400001525878906" customHeight="1">
      <x:c r="A40" s="98" t="s">
        <x:v>551</x:v>
      </x:c>
      <x:c r="B40" s="98" t="str">
        <x:f>'Resource Build-Up'!A39</x:f>
        <x:v>RW02-001</x:v>
      </x:c>
      <x:c r="C40" s="98" t="str">
        <x:f>'Resource Build-Up'!B39</x:f>
        <x:v>RW02</x:v>
      </x:c>
      <x:c r="D40" s="26" t="str">
        <x:f>'Resource Build-Up'!C39</x:f>
        <x:v>Retaining Walls</x:v>
      </x:c>
      <x:c r="E40" s="26" t="str">
        <x:f>'Resource Build-Up'!H39</x:f>
        <x:v>Low Keystone wall system PC</x:v>
      </x:c>
      <x:c r="F40" s="26" t="str">
        <x:f>'Resource Build-Up'!P39</x:f>
        <x:v>OTH-GENERAL</x:v>
      </x:c>
      <x:c r="G40" s="26" t="str">
        <x:f>'Resource Build-Up'!Q39</x:f>
        <x:v>Project-specific transparent allowance</x:v>
      </x:c>
      <x:c r="H40" s="26" t="str">
        <x:f>'Resource Build-Up'!T39</x:f>
        <x:v>LS</x:v>
      </x:c>
      <x:c r="I40" s="44" t="n">
        <x:f>'Resource Build-Up'!Y39</x:f>
        <x:v>7000</x:v>
      </x:c>
      <x:c r="J40" s="44" t="n">
        <x:f>'Resource Build-Up'!Z39</x:f>
        <x:v>7000</x:v>
      </x:c>
      <x:c r="K40" s="26" t="str">
        <x:v>Citi Q1020 includes the low-wall materials within the combined quoted quantity.</x:v>
      </x:c>
      <x:c r="L40" s="26" t="str">
        <x:v>PASS</x:v>
      </x:c>
      <x:c r="M40" s="26" t="str">
        <x:v>11-Sep supplier banding includes 8.5m @0.2m and 4.5m @0.6m plus other stepped heights; combined 84.0lm is within 1.29% of our total vector length.</x:v>
      </x:c>
      <x:c r="N40" s="26" t="str">
        <x:v>PASS</x:v>
      </x:c>
      <x:c r="O40" s="26" t="str">
        <x:v>Do not invent a monetary split between RW01/RW02; supplier materials are combined and installed scope is not quoted.</x:v>
      </x:c>
      <x:c r="P40" s="26" t="str">
        <x:v>PASS</x:v>
      </x:c>
      <x:c r="Q40" s="26" t="n">
        <x:f t="shared" ref="Q40:Q71" si="1">COUNTIF(L40,"PASS")+COUNTIF(N40,"PASS")+COUNTIF(P40,"PASS")</x:f>
        <x:v>3</x:v>
      </x:c>
      <x:c r="R40" s="26" t="str">
        <x:v>11-Sep-2026</x:v>
      </x:c>
      <x:c r="S40" s="26" t="str">
        <x:v>AMBER - COMBINED QUOTE / DESIGN ALLOCATION OPEN</x:v>
      </x:c>
      <x:c r="T40" s="99" t="str">
        <x:v>AMBER - MATERIAL BASIS STRONG / DESIGN RFI HOLD</x:v>
      </x:c>
      <x:c r="U40" s="26" t="str">
        <x:v>Retain RW02 PC until final design profile is confirmed, then allocate quoted material by measured courses/height bands.</x:v>
      </x:c>
      <x:c r="V40" s="26" t="str">
        <x:v>Combined quote now has a documented height-band basis; the former lower-height-only assumption is withdrawn.</x:v>
      </x:c>
    </x:row>
    <x:row r="41" ht="32.400001525878906" customHeight="1">
      <x:c r="A41" s="98" t="s">
        <x:v>552</x:v>
      </x:c>
      <x:c r="B41" s="98" t="str">
        <x:f>'Resource Build-Up'!A40</x:f>
        <x:v>RW04-001</x:v>
      </x:c>
      <x:c r="C41" s="98" t="str">
        <x:f>'Resource Build-Up'!B40</x:f>
        <x:v>RW04</x:v>
      </x:c>
      <x:c r="D41" s="26" t="str">
        <x:f>'Resource Build-Up'!C40</x:f>
        <x:v>Retaining Walls</x:v>
      </x:c>
      <x:c r="E41" s="26" t="str">
        <x:f>'Resource Build-Up'!H40</x:f>
        <x:v>13MPa no-fines: Allied quoted supply plus retained placement/conditional-charge allowance</x:v>
      </x:c>
      <x:c r="F41" s="26" t="str">
        <x:f>'Resource Build-Up'!P40</x:f>
        <x:v>OTH-GENERAL</x:v>
      </x:c>
      <x:c r="G41" s="26" t="str">
        <x:f>'Resource Build-Up'!Q40</x:f>
        <x:v>Project-specific transparent allowance</x:v>
      </x:c>
      <x:c r="H41" s="26" t="str">
        <x:f>'Resource Build-Up'!T40</x:f>
        <x:v>LS</x:v>
      </x:c>
      <x:c r="I41" s="44" t="n">
        <x:f>'Resource Build-Up'!Y40</x:f>
        <x:v>18000</x:v>
      </x:c>
      <x:c r="J41" s="44" t="n">
        <x:f>'Resource Build-Up'!Z40</x:f>
        <x:v>18000</x:v>
      </x:c>
      <x:c r="K41" s="26" t="str">
        <x:v>Allied Concrete project Quote 11092026SX3BEARS dated 11-Sep-2026: 13MPa 19mm no-fines, estimated 50m3 @ $295/m3 excl GST.</x:v>
      </x:c>
      <x:c r="L41" s="26" t="str">
        <x:v>PASS</x:v>
      </x:c>
      <x:c r="M41" s="26" t="str">
        <x:v>Independent geometry check: Citi supplier height bands + DHC S303 Wall Design Table calculate 47.98m3. Allied quoted 50m3 = +4.2% order buffer.</x:v>
      </x:c>
      <x:c r="N41" s="26" t="str">
        <x:v>PASS</x:v>
      </x:c>
      <x:c r="O41" s="26" t="str">
        <x:v>Current Allied published fuel surcharge = $6.99/m3 for week starting 07-Sep-2026; current supply sensitivity = $15,099.50. Existing RW04 $18k leaves $2,900.50 for unquoted placement/conditional charges.</x:v>
      </x:c>
      <x:c r="P41" s="26" t="str">
        <x:v>AMBER</x:v>
      </x:c>
      <x:c r="Q41" s="26" t="n">
        <x:f t="shared" si="1"/>
        <x:v>2</x:v>
      </x:c>
      <x:c r="R41" s="26" t="str">
        <x:v>11-Sep-2026</x:v>
      </x:c>
      <x:c r="S41" s="26" t="str">
        <x:v>AMBER - PRIMARY QUOTE + QUANTITY CROSS-CHECK / PLACEMENT OPEN</x:v>
      </x:c>
      <x:c r="T41" s="100" t="str">
        <x:v>AMBER - SUPPLY VERIFIED / PLACEMENT METHOD HOLD</x:v>
      </x:c>
      <x:c r="U41" s="26" t="str">
        <x:v>Retain $18k total until placement/pump/method is confirmed; refresh fuel surcharge at order/delivery. No second cost addition.</x:v>
      </x:c>
      <x:c r="V41" s="26" t="str">
        <x:v>Quote conditional extras: testing $125/set, small-load $200 where applicable, extra measure $200, waiting $180 after standard allowance, cancellation $500; onsite washout by customer.</x:v>
      </x:c>
    </x:row>
    <x:row r="42" ht="32.400001525878906" customHeight="1">
      <x:c r="A42" s="98" t="s">
        <x:v>553</x:v>
      </x:c>
      <x:c r="B42" s="98" t="str">
        <x:f>'Resource Build-Up'!A41</x:f>
        <x:v>RW05-001</x:v>
      </x:c>
      <x:c r="C42" s="98" t="str">
        <x:f>'Resource Build-Up'!B41</x:f>
        <x:v>RW05</x:v>
      </x:c>
      <x:c r="D42" s="26" t="str">
        <x:f>'Resource Build-Up'!C41</x:f>
        <x:v>Retaining Walls</x:v>
      </x:c>
      <x:c r="E42" s="26" t="str">
        <x:f>'Resource Build-Up'!H41</x:f>
        <x:v>Retaining drainage transferred to Allied subcontract - 108m Novacoil + 2 Type 1 cesspits confirmed by Jason</x:v>
      </x:c>
      <x:c r="F42" s="26" t="str">
        <x:f>'Resource Build-Up'!P41</x:f>
        <x:v>OTH-GENERAL</x:v>
      </x:c>
      <x:c r="G42" s="26" t="str">
        <x:f>'Resource Build-Up'!Q41</x:f>
        <x:v>Project-specific transparent allowance</x:v>
      </x:c>
      <x:c r="H42" s="26" t="str">
        <x:f>'Resource Build-Up'!T41</x:f>
        <x:v>LS</x:v>
      </x:c>
      <x:c r="I42" s="44" t="n">
        <x:f>'Resource Build-Up'!Y41</x:f>
        <x:v>1</x:v>
      </x:c>
      <x:c r="J42" s="44" t="n">
        <x:f>'Resource Build-Up'!Z41</x:f>
        <x:v>0</x:v>
      </x:c>
      <x:c r="K42" s="26" t="str">
        <x:v>Jason Wilson email 10-Sep-2026 confirms the 108m Novacoil is retaining-wall drainage including 2 Type 1 cesspits.</x:v>
      </x:c>
      <x:c r="L42" s="26" t="str">
        <x:v>PASS</x:v>
      </x:c>
      <x:c r="M42" s="26" t="str">
        <x:v>Allied Ref25237 explicitly prices 108m Novacoil $9,441.04 and quote materials include 2 Type 1 cesspits at $1,000 each.</x:v>
      </x:c>
      <x:c r="N42" s="26" t="str">
        <x:v>PASS</x:v>
      </x:c>
      <x:c r="O42" s="26" t="str">
        <x:v>21-day labour pool is $54,390 / 21 = $2,590/day. Jason allocates 3 labour days to Novacoil: $7,770. Retaining allocation = $9,441.04 + $2,000 cesspits + $7,770 = $19,211.04. Siteworks RW05 $12,000 is therefore duplicate if retained.</x:v>
      </x:c>
      <x:c r="P42" s="26" t="str">
        <x:v>PASS</x:v>
      </x:c>
      <x:c r="Q42" s="26" t="n">
        <x:f t="shared" si="1"/>
        <x:v>3</x:v>
      </x:c>
      <x:c r="R42" s="26" t="str">
        <x:v>10-Sep-2026</x:v>
      </x:c>
      <x:c r="S42" s="26" t="str">
        <x:v>GREEN - ownership / duplication treatment verified; component completeness AMBER</x:v>
      </x:c>
      <x:c r="T42" s="101" t="str">
        <x:v>AMBER - BY SUBCONTRACT / DIRECT COST ZERO</x:v>
      </x:c>
      <x:c r="U42" s="26" t="str">
        <x:v>Keep Siteworks RW05 at $0 while Allied subcontract remains in consolidated package. Confirm filter fabric/accessories are within subcontract or another identified line before final award.</x:v>
      </x:c>
      <x:c r="V42" s="26" t="str">
        <x:v>Do not deduct $12,000 again at package level; the direct cost chain now already removes it.</x:v>
      </x:c>
    </x:row>
    <x:row r="43" ht="32.400001525878906" customHeight="1">
      <x:c r="A43" s="98" t="s">
        <x:v>554</x:v>
      </x:c>
      <x:c r="B43" s="98" t="str">
        <x:f>'Resource Build-Up'!A42</x:f>
        <x:v>TC01-001</x:v>
      </x:c>
      <x:c r="C43" s="98" t="str">
        <x:f>'Resource Build-Up'!B42</x:f>
        <x:v>TC01</x:v>
      </x:c>
      <x:c r="D43" s="26" t="str">
        <x:f>'Resource Build-Up'!C42</x:f>
        <x:v>Testing, As-Builts &amp; Compliance</x:v>
      </x:c>
      <x:c r="E43" s="26" t="str">
        <x:f>'Resource Build-Up'!H42</x:f>
        <x:v>Geotechnical construction monitoring / testing / PS4 - Gibb Ritchie quoted scope</x:v>
      </x:c>
      <x:c r="F43" s="26" t="str">
        <x:f>'Resource Build-Up'!P42</x:f>
        <x:v>OTH-GENERAL</x:v>
      </x:c>
      <x:c r="G43" s="26" t="str">
        <x:f>'Resource Build-Up'!Q42</x:f>
        <x:v>Project-specific transparent allowance</x:v>
      </x:c>
      <x:c r="H43" s="26" t="str">
        <x:f>'Resource Build-Up'!T42</x:f>
        <x:v>LS</x:v>
      </x:c>
      <x:c r="I43" s="44" t="n">
        <x:f>'Resource Build-Up'!Y42</x:f>
        <x:v>4600</x:v>
      </x:c>
      <x:c r="J43" s="44" t="n">
        <x:f>'Resource Build-Up'!Z42</x:f>
        <x:v>4600</x:v>
      </x:c>
      <x:c r="K43" s="26" t="str">
        <x:v>Gibb Ritchie AK26-051AD Rev0 dated 08-Sep-2026: $250 familiarisation + 7 visits/testing @ $500 + $850 PS4 = $4,600 excl GST.</x:v>
      </x:c>
      <x:c r="L43" s="26" t="str">
        <x:v>GREEN - current primary supplier proposal / 30-day validity</x:v>
      </x:c>
      <x:c r="M43" s="26" t="str">
        <x:v>Quoted monitoring scope aligns to earthworks fill testing, bridging pile, foundation subgrade, retaining wall, hardfill, general supervision/advice and PS4.</x:v>
      </x:c>
      <x:c r="N43" s="26" t="str">
        <x:v>PASS / AMBER - scope aligned; visit count variable</x:v>
      </x:c>
      <x:c r="O43" s="26" t="str">
        <x:v>$250 + $3,500 + $850 = $4,600. Seven visits assumed; actual visit count governed by contractor programme, weather and performance.</x:v>
      </x:c>
      <x:c r="P43" s="26" t="str">
        <x:v>PASS</x:v>
      </x:c>
      <x:c r="Q43" s="26" t="n">
        <x:f t="shared" si="1"/>
        <x:v>3</x:v>
      </x:c>
      <x:c r="R43" s="26" t="str">
        <x:v>08-Sep-2026</x:v>
      </x:c>
      <x:c r="S43" s="26" t="str">
        <x:v>AMBER - primary quote current; visit count variable</x:v>
      </x:c>
      <x:c r="T43" s="101" t="str">
        <x:v>AMBER - QUOTED / 7 VISITS ASSUMED</x:v>
      </x:c>
      <x:c r="U43" s="26" t="str">
        <x:v>Use $4,600 tender baseline. Manage any additional visits at $500/visit and preserve the quoted exclusions.</x:v>
      </x:c>
      <x:c r="V43" s="26" t="str">
        <x:v>24h notice required. Excludes structure design, environmental assessment and council-query response/rework. Payment 20 days. Valid 30 days from proposal.</x:v>
      </x:c>
    </x:row>
    <x:row r="44" ht="32.400001525878906" customHeight="1">
      <x:c r="A44" s="98" t="s">
        <x:v>555</x:v>
      </x:c>
      <x:c r="B44" s="98" t="str">
        <x:f>'Resource Build-Up'!A43</x:f>
        <x:v>RH01-001</x:v>
      </x:c>
      <x:c r="C44" s="98" t="str">
        <x:f>'Resource Build-Up'!B43</x:f>
        <x:v>RH01</x:v>
      </x:c>
      <x:c r="D44" s="26" t="str">
        <x:f>'Resource Build-Up'!C43</x:f>
        <x:v>Reinstatement &amp; Handover</x:v>
      </x:c>
      <x:c r="E44" s="26" t="str">
        <x:f>'Resource Build-Up'!H43</x:f>
        <x:v>Final clean / handover / minor defects PC</x:v>
      </x:c>
      <x:c r="F44" s="26" t="str">
        <x:f>'Resource Build-Up'!P43</x:f>
        <x:v>OTH-GENERAL</x:v>
      </x:c>
      <x:c r="G44" s="26" t="str">
        <x:f>'Resource Build-Up'!Q43</x:f>
        <x:v>Project-specific transparent allowance</x:v>
      </x:c>
      <x:c r="H44" s="26" t="str">
        <x:f>'Resource Build-Up'!T43</x:f>
        <x:v>LS</x:v>
      </x:c>
      <x:c r="I44" s="44" t="n">
        <x:f>'Resource Build-Up'!Y43</x:f>
        <x:v>3000</x:v>
      </x:c>
      <x:c r="J44" s="44" t="n">
        <x:f>'Resource Build-Up'!Z43</x:f>
        <x:v>3000</x:v>
      </x:c>
      <x:c r="K44" s="26" t="str">
        <x:v>Final clean / minor Siteworks handover attendance $3k PC</x:v>
      </x:c>
      <x:c r="L44" s="26" t="str">
        <x:v>AMBER</x:v>
      </x:c>
      <x:c r="M44" s="26" t="str">
        <x:v>No independent handover/defects quote; responsibility/programme not final</x:v>
      </x:c>
      <x:c r="N44" s="26" t="str">
        <x:v>AMBER</x:v>
      </x:c>
      <x:c r="O44" s="26" t="str">
        <x:v>PC is a discrete closeout line and does not duplicate corporate OH/profit</x:v>
      </x:c>
      <x:c r="P44" s="26" t="str">
        <x:v>PASS</x:v>
      </x:c>
      <x:c r="Q44" s="26">
        <x:f t="shared" si="1"/>
        <x:v>1</x:v>
      </x:c>
      <x:c r="R44" s="26" t="str">
        <x:v>07-Sep-2026</x:v>
      </x:c>
      <x:c r="S44" s="26" t="str">
        <x:v>AMBER - PC sum / current evidence</x:v>
      </x:c>
      <x:c r="T44" s="99" t="str">
        <x:v>AMBER - PC SUM / RFI HOLD</x:v>
      </x:c>
      <x:c r="U44" s="26" t="str">
        <x:v>Confirm head-contract handover/defects obligations and final programme</x:v>
      </x:c>
      <x:c r="V44" s="26" t="str">
        <x:v>Final clean, minor Siteworks closeout attendance and small defects allowance.</x:v>
      </x:c>
    </x:row>
    <x:row r="45" ht="32.400001525878906" customHeight="1">
      <x:c r="A45" s="98" t="s">
        <x:v>556</x:v>
      </x:c>
      <x:c r="B45" s="98" t="str">
        <x:f>'Resource Build-Up'!A44</x:f>
        <x:v>RW03-003</x:v>
      </x:c>
      <x:c r="C45" s="98" t="str">
        <x:f>'Resource Build-Up'!B44</x:f>
        <x:v>RW03</x:v>
      </x:c>
      <x:c r="D45" s="26" t="str">
        <x:f>'Resource Build-Up'!C44</x:f>
        <x:v>Retaining Walls</x:v>
      </x:c>
      <x:c r="E45" s="26" t="str">
        <x:f>'Resource Build-Up'!H44</x:f>
        <x:v>In-house 3t auger attachment - 7 x 500mm PILE1</x:v>
      </x:c>
      <x:c r="F45" s="26" t="str">
        <x:f>'Resource Build-Up'!P44</x:f>
        <x:v>PL-AUGER-3T-INHOUSE</x:v>
      </x:c>
      <x:c r="G45" s="26" t="str">
        <x:f>'Resource Build-Up'!Q44</x:f>
        <x:v>3 t excavator auger / drill attachment in-house historical project rate</x:v>
      </x:c>
      <x:c r="H45" s="26" t="str">
        <x:f>'Resource Build-Up'!T44</x:f>
        <x:v>hr</x:v>
      </x:c>
      <x:c r="I45" s="44" t="n">
        <x:f>'Resource Build-Up'!Y44</x:f>
        <x:v>22.5</x:v>
      </x:c>
      <x:c r="J45" s="44" t="n">
        <x:f>'Resource Build-Up'!Z44</x:f>
        <x:v>157.5</x:v>
      </x:c>
      <x:c r="K45" s="26" t="str">
        <x:v>48 Eastglen company-project drill-gear rate $22.50/hr (19-Mar-2026)</x:v>
      </x:c>
      <x:c r="L45" s="26" t="str">
        <x:v>AMBER</x:v>
      </x:c>
      <x:c r="M45" s="26" t="str">
        <x:v>Independent check: Bridle Trail 5t excavator + pole auger wet-hire allowance $180/hr all-in; combined Hobsonville machine+auger = $120/hr before support labour</x:v>
      </x:c>
      <x:c r="N45" s="26" t="str">
        <x:v>PASS</x:v>
      </x:c>
      <x:c r="O45" s="26" t="str">
        <x:v>Auger hours deliberately match PILE1 machine hours 1:1; no duplicate excavator/operator line</x:v>
      </x:c>
      <x:c r="P45" s="26" t="str">
        <x:v>PASS</x:v>
      </x:c>
      <x:c r="Q45" s="26" t="n">
        <x:f t="shared" si="1"/>
        <x:v>2</x:v>
      </x:c>
      <x:c r="R45" s="26" t="str">
        <x:f>'Resource Build-Up'!AC44</x:f>
        <x:v>07-Sep-2026</x:v>
      </x:c>
      <x:c r="S45" s="26" t="str">
        <x:f>'Resource Build-Up'!AF44</x:f>
        <x:v>AMBER</x:v>
      </x:c>
      <x:c r="T45" s="100" t="str">
        <x:v>AMBER - explicit allowance; second evidence required</x:v>
      </x:c>
      <x:c r="U45" s="26" t="str">
        <x:v>Confirm 500mm auger bit/tooling compatibility and wear condition before construction</x:v>
      </x:c>
      <x:c r="V45" s="26" t="str">
        <x:f>'Resource Build-Up'!AG44</x:f>
        <x:v>7 auger-hours paired with the PILE1 excavator row. Confirm 500mm tooling and service-clearance method before construction.</x:v>
      </x:c>
    </x:row>
    <x:row r="46" ht="32.400001525878906" customHeight="1">
      <x:c r="A46" s="98" t="s">
        <x:v>557</x:v>
      </x:c>
      <x:c r="B46" s="98" t="str">
        <x:f>'Resource Build-Up'!A45</x:f>
        <x:v>RW03-004</x:v>
      </x:c>
      <x:c r="C46" s="98" t="str">
        <x:f>'Resource Build-Up'!B45</x:f>
        <x:v>RW03</x:v>
      </x:c>
      <x:c r="D46" s="26" t="str">
        <x:f>'Resource Build-Up'!C45</x:f>
        <x:v>Retaining Walls</x:v>
      </x:c>
      <x:c r="E46" s="26" t="str">
        <x:f>'Resource Build-Up'!H45</x:f>
        <x:v>Labour support for in-house PILE1 boring</x:v>
      </x:c>
      <x:c r="F46" s="26" t="str">
        <x:f>'Resource Build-Up'!P45</x:f>
        <x:v>LAB-LABOURER</x:v>
      </x:c>
      <x:c r="G46" s="26" t="str">
        <x:f>'Resource Build-Up'!Q45</x:f>
        <x:v>Civil labourer</x:v>
      </x:c>
      <x:c r="H46" s="26" t="str">
        <x:f>'Resource Build-Up'!T45</x:f>
        <x:v>hr</x:v>
      </x:c>
      <x:c r="I46" s="44" t="n">
        <x:f>'Resource Build-Up'!Y45</x:f>
        <x:v>38</x:v>
      </x:c>
      <x:c r="J46" s="44" t="n">
        <x:f>'Resource Build-Up'!Z45</x:f>
        <x:v>266</x:v>
      </x:c>
      <x:c r="K46" s="26" t="str">
        <x:v>Current Rev4 civil labourer benchmark $38/hr; company payroll not yet supplied</x:v>
      </x:c>
      <x:c r="L46" s="26" t="str">
        <x:v>AMBER</x:v>
      </x:c>
      <x:c r="M46" s="26" t="str">
        <x:v>Independent historical Eastglen junior/support labour $33.90/hr; current Auckland labour-market benchmark remains within Rev4 library</x:v>
      </x:c>
      <x:c r="N46" s="26" t="str">
        <x:v>PASS</x:v>
      </x:c>
      <x:c r="O46" s="26" t="str">
        <x:v>One support labourer x 7h; excavator operator already included in plant rate so no duplicate operator cost</x:v>
      </x:c>
      <x:c r="P46" s="26" t="str">
        <x:v>PASS</x:v>
      </x:c>
      <x:c r="Q46" s="26" t="n">
        <x:f t="shared" si="1"/>
        <x:v>2</x:v>
      </x:c>
      <x:c r="R46" s="26" t="str">
        <x:f>'Resource Build-Up'!AC45</x:f>
        <x:v>07-Sep-2026</x:v>
      </x:c>
      <x:c r="S46" s="26" t="str">
        <x:f>'Resource Build-Up'!AF45</x:f>
        <x:v>AMBER</x:v>
      </x:c>
      <x:c r="T46" s="99" t="str">
        <x:v>AMBER - company cost rate required</x:v>
      </x:c>
      <x:c r="U46" s="26" t="str">
        <x:v>Firm support-labour rate to Siteworks actual payroll/on-cost basis before award</x:v>
      </x:c>
      <x:c r="V46" s="26" t="str">
        <x:f>'Resource Build-Up'!AG45</x:f>
        <x:v>One civil labourer for setout/support/spoil control during 7 productive PILE1 boring hours.</x:v>
      </x:c>
    </x:row>
    <x:row r="47" ht="32.400001525878906" customHeight="1">
      <x:c r="A47" s="98" t="s">
        <x:v>558</x:v>
      </x:c>
      <x:c r="B47" s="98" t="str">
        <x:f>'Resource Build-Up'!A46</x:f>
        <x:v>EW06-002</x:v>
      </x:c>
      <x:c r="C47" s="98" t="str">
        <x:f>'Resource Build-Up'!B46</x:f>
        <x:v>EW06</x:v>
      </x:c>
      <x:c r="D47" s="26" t="str">
        <x:f>'Resource Build-Up'!C46</x:f>
        <x:v>Earthworks</x:v>
      </x:c>
      <x:c r="E47" s="26" t="str">
        <x:f>'Resource Build-Up'!H46</x:f>
        <x:v>Historical auger reference - PILE2 transferred to Coast</x:v>
      </x:c>
      <x:c r="F47" s="26" t="str">
        <x:f>'Resource Build-Up'!P46</x:f>
        <x:v>PL-AUGER-3T-INHOUSE</x:v>
      </x:c>
      <x:c r="G47" s="26" t="str">
        <x:f>'Resource Build-Up'!Q46</x:f>
        <x:v>3 t excavator auger / drill attachment in-house historical project rate</x:v>
      </x:c>
      <x:c r="H47" s="26" t="str">
        <x:f>'Resource Build-Up'!T46</x:f>
        <x:v>hr</x:v>
      </x:c>
      <x:c r="I47" s="44" t="n">
        <x:f>'Resource Build-Up'!Y46</x:f>
        <x:v>22.5</x:v>
      </x:c>
      <x:c r="J47" s="44" t="n">
        <x:f>'Resource Build-Up'!Z46</x:f>
        <x:v>0</x:v>
      </x:c>
      <x:c r="K47" s="26" t="str">
        <x:v>Coast Concrete formal quote includes excavation of 15 P2 piles.</x:v>
      </x:c>
      <x:c r="L47" s="26" t="str">
        <x:v>PASS</x:v>
      </x:c>
      <x:c r="M47" s="26" t="str">
        <x:v>Karl 11-Sep-2026 confirms 15 PILE2 on Structural Rev B and footing excavation excluded.</x:v>
      </x:c>
      <x:c r="N47" s="26" t="str">
        <x:v>PASS</x:v>
      </x:c>
      <x:c r="O47" s="26" t="str">
        <x:v>Siteworks resource is retained as reference only with zero count/cost to prevent duplication.</x:v>
      </x:c>
      <x:c r="P47" s="26" t="str">
        <x:v>PASS</x:v>
      </x:c>
      <x:c r="Q47" s="26" t="n">
        <x:f t="shared" si="1"/>
        <x:v>3</x:v>
      </x:c>
      <x:c r="R47" s="26" t="str">
        <x:v>11-Sep-2026</x:v>
      </x:c>
      <x:c r="S47" s="26" t="str">
        <x:v>GREEN - SCOPE TRANSFER VERIFIED</x:v>
      </x:c>
      <x:c r="T47" s="99" t="str">
        <x:v>GREEN - REFERENCE ONLY / $0</x:v>
      </x:c>
      <x:c r="U47" s="26" t="str">
        <x:v>Do not reinstate Siteworks PILE2 boring unless Coast scope changes.</x:v>
      </x:c>
      <x:c r="V47" s="26" t="str">
        <x:v>Historical self-perform resource retained for audit/library intelligence only.</x:v>
      </x:c>
    </x:row>
    <x:row r="48" ht="32.400001525878906" customHeight="1">
      <x:c r="A48" s="98" t="s">
        <x:v>559</x:v>
      </x:c>
      <x:c r="B48" s="98" t="str">
        <x:f>'Resource Build-Up'!A47</x:f>
        <x:v>EW06-003</x:v>
      </x:c>
      <x:c r="C48" s="98" t="str">
        <x:f>'Resource Build-Up'!B47</x:f>
        <x:v>EW06</x:v>
      </x:c>
      <x:c r="D48" s="26" t="str">
        <x:f>'Resource Build-Up'!C47</x:f>
        <x:v>Earthworks</x:v>
      </x:c>
      <x:c r="E48" s="26" t="str">
        <x:f>'Resource Build-Up'!H47</x:f>
        <x:v>Historical labour reference - PILE2 transferred to Coast</x:v>
      </x:c>
      <x:c r="F48" s="26" t="str">
        <x:f>'Resource Build-Up'!P47</x:f>
        <x:v>LAB-LABOURER</x:v>
      </x:c>
      <x:c r="G48" s="26" t="str">
        <x:f>'Resource Build-Up'!Q47</x:f>
        <x:v>Civil labourer</x:v>
      </x:c>
      <x:c r="H48" s="26" t="str">
        <x:f>'Resource Build-Up'!T47</x:f>
        <x:v>hr</x:v>
      </x:c>
      <x:c r="I48" s="44" t="n">
        <x:f>'Resource Build-Up'!Y47</x:f>
        <x:v>38</x:v>
      </x:c>
      <x:c r="J48" s="44" t="n">
        <x:f>'Resource Build-Up'!Z47</x:f>
        <x:v>0</x:v>
      </x:c>
      <x:c r="K48" s="26" t="str">
        <x:v>Coast Concrete formal quote includes excavation of 15 P2 piles.</x:v>
      </x:c>
      <x:c r="L48" s="26" t="str">
        <x:v>PASS</x:v>
      </x:c>
      <x:c r="M48" s="26" t="str">
        <x:v>Karl 11-Sep-2026 confirms 15 PILE2 on Structural Rev B and footing excavation excluded.</x:v>
      </x:c>
      <x:c r="N48" s="26" t="str">
        <x:v>PASS</x:v>
      </x:c>
      <x:c r="O48" s="26" t="str">
        <x:v>Siteworks resource is retained as reference only with zero count/cost to prevent duplication.</x:v>
      </x:c>
      <x:c r="P48" s="26" t="str">
        <x:v>PASS</x:v>
      </x:c>
      <x:c r="Q48" s="26" t="n">
        <x:f t="shared" si="1"/>
        <x:v>3</x:v>
      </x:c>
      <x:c r="R48" s="26" t="str">
        <x:v>11-Sep-2026</x:v>
      </x:c>
      <x:c r="S48" s="26" t="str">
        <x:v>GREEN - SCOPE TRANSFER VERIFIED</x:v>
      </x:c>
      <x:c r="T48" s="101" t="str">
        <x:v>GREEN - REFERENCE ONLY / $0</x:v>
      </x:c>
      <x:c r="U48" s="26" t="str">
        <x:v>Do not reinstate Siteworks PILE2 boring unless Coast scope changes.</x:v>
      </x:c>
      <x:c r="V48" s="26" t="str">
        <x:v>Historical self-perform resource retained for audit/library intelligence only.</x:v>
      </x:c>
    </x:row>
    <x:row r="49" ht="32.400001525878906" customHeight="1">
      <x:c r="A49" s="98" t="s">
        <x:v>560</x:v>
      </x:c>
      <x:c r="B49" s="98" t="str">
        <x:f>'Resource Build-Up'!A48</x:f>
        <x:v>PG01-002</x:v>
      </x:c>
      <x:c r="C49" s="98" t="str">
        <x:f>'Resource Build-Up'!B48</x:f>
        <x:v>PG01</x:v>
      </x:c>
      <x:c r="D49" s="26" t="str">
        <x:f>'Resource Build-Up'!C48</x:f>
        <x:v>Preliminaries &amp; General</x:v>
      </x:c>
      <x:c r="E49" s="26" t="str">
        <x:f>'Resource Build-Up'!H48</x:f>
        <x:v>Portable toilet hire / servicing - 11 billed weeks</x:v>
      </x:c>
      <x:c r="F49" s="26" t="str">
        <x:f>'Resource Build-Up'!P48</x:f>
        <x:v>OTH-PORTABLE-TOILET</x:v>
      </x:c>
      <x:c r="G49" s="26" t="str">
        <x:f>'Resource Build-Up'!Q48</x:f>
        <x:v>Portable toilet hire and servicing - tender benchmark</x:v>
      </x:c>
      <x:c r="H49" s="26" t="str">
        <x:f>'Resource Build-Up'!T48</x:f>
        <x:v>week</x:v>
      </x:c>
      <x:c r="I49" s="44" t="n">
        <x:f>'Resource Build-Up'!Y48</x:f>
        <x:v>120</x:v>
      </x:c>
      <x:c r="J49" s="44" t="n">
        <x:f>'Resource Build-Up'!Z48</x:f>
        <x:v>1320</x:v>
      </x:c>
      <x:c r="K49" s="26" t="str">
        <x:v>Orion Point portable-toilet benchmark $120/week</x:v>
      </x:c>
      <x:c r="L49" s="26" t="str">
        <x:v>AMBER</x:v>
      </x:c>
      <x:c r="M49" s="26" t="str">
        <x:v>Rosebank site-hut/portaloo total $4,500 supports order of magnitude</x:v>
      </x:c>
      <x:c r="N49" s="26" t="str">
        <x:v>PASS</x:v>
      </x:c>
      <x:c r="O49" s="26" t="str">
        <x:v>8 weeks x $120 = $960</x:v>
      </x:c>
      <x:c r="P49" s="26" t="str">
        <x:v>PASS</x:v>
      </x:c>
      <x:c r="Q49" s="26">
        <x:f t="shared" si="1"/>
        <x:v>3</x:v>
      </x:c>
      <x:c r="R49" s="26" t="str">
        <x:v>08-Sep-2026</x:v>
      </x:c>
      <x:c r="S49" s="26" t="str">
        <x:v>AMBER</x:v>
      </x:c>
      <x:c r="T49" s="101" t="str">
        <x:v>AMBER - benchmark only</x:v>
      </x:c>
      <x:c r="U49" s="26" t="str">
        <x:v>Confirm supplier/company actual if desired.</x:v>
      </x:c>
      <x:c r="V49" s="26" t="str">
        <x:v>8-week Siteworks occupation only.</x:v>
      </x:c>
    </x:row>
    <x:row r="50" ht="32.400001525878906" customHeight="1">
      <x:c r="A50" s="98" t="s">
        <x:v>561</x:v>
      </x:c>
      <x:c r="B50" s="98" t="str">
        <x:f>'Resource Build-Up'!A49</x:f>
        <x:v>PG01-003</x:v>
      </x:c>
      <x:c r="C50" s="98" t="str">
        <x:f>'Resource Build-Up'!B49</x:f>
        <x:v>PG01</x:v>
      </x:c>
      <x:c r="D50" s="26" t="str">
        <x:f>'Resource Build-Up'!C49</x:f>
        <x:v>Preliminaries &amp; General</x:v>
      </x:c>
      <x:c r="E50" s="26" t="str">
        <x:f>'Resource Build-Up'!H49</x:f>
        <x:v>20ft lockable container / Siteworks lockup - 11 billed weeks</x:v>
      </x:c>
      <x:c r="F50" s="26" t="str">
        <x:f>'Resource Build-Up'!P49</x:f>
        <x:v>OTH-SITE-LOCKUP</x:v>
      </x:c>
      <x:c r="G50" s="26" t="str">
        <x:f>'Resource Build-Up'!Q49</x:f>
        <x:v>20ft lockable container / site lockup - tender benchmark</x:v>
      </x:c>
      <x:c r="H50" s="26" t="str">
        <x:f>'Resource Build-Up'!T49</x:f>
        <x:v>week</x:v>
      </x:c>
      <x:c r="I50" s="44" t="n">
        <x:f>'Resource Build-Up'!Y49</x:f>
        <x:v>175</x:v>
      </x:c>
      <x:c r="J50" s="44" t="n">
        <x:f>'Resource Build-Up'!Z49</x:f>
        <x:v>1925</x:v>
      </x:c>
      <x:c r="K50" s="26" t="str">
        <x:v>Orion Point 20ft container benchmark $175/week</x:v>
      </x:c>
      <x:c r="L50" s="26" t="str">
        <x:v>AMBER</x:v>
      </x:c>
      <x:c r="M50" s="26" t="str">
        <x:v>Rosebank site-hut/portaloo total $4,500 supports order of magnitude</x:v>
      </x:c>
      <x:c r="N50" s="26" t="str">
        <x:v>PASS</x:v>
      </x:c>
      <x:c r="O50" s="26" t="str">
        <x:v>8 weeks x $175 = $1,400</x:v>
      </x:c>
      <x:c r="P50" s="26" t="str">
        <x:v>PASS</x:v>
      </x:c>
      <x:c r="Q50" s="26">
        <x:f t="shared" si="1"/>
        <x:v>2</x:v>
      </x:c>
      <x:c r="R50" s="26" t="str">
        <x:v>08-Sep-2026</x:v>
      </x:c>
      <x:c r="S50" s="26" t="str">
        <x:v>AMBER</x:v>
      </x:c>
      <x:c r="T50" s="99" t="str">
        <x:v>AMBER - benchmark only</x:v>
      </x:c>
      <x:c r="U50" s="26" t="str">
        <x:v>Confirm supplier/company actual if desired.</x:v>
      </x:c>
      <x:c r="V50" s="26" t="str">
        <x:v>No separate office/power.</x:v>
      </x:c>
    </x:row>
    <x:row r="51" ht="32.400001525878906" customHeight="1">
      <x:c r="A51" s="98" t="s">
        <x:v>562</x:v>
      </x:c>
      <x:c r="B51" s="98" t="str">
        <x:f>'Resource Build-Up'!A50</x:f>
        <x:v>PG01-004</x:v>
      </x:c>
      <x:c r="C51" s="98" t="str">
        <x:f>'Resource Build-Up'!B50</x:f>
        <x:v>PG01</x:v>
      </x:c>
      <x:c r="D51" s="26" t="str">
        <x:f>'Resource Build-Up'!C50</x:f>
        <x:v>Preliminaries &amp; General</x:v>
      </x:c>
      <x:c r="E51" s="26" t="str">
        <x:f>'Resource Build-Up'!H50</x:f>
        <x:v>Setout / survey control / services search / Siteworks as-built support</x:v>
      </x:c>
      <x:c r="F51" s="26" t="str">
        <x:f>'Resource Build-Up'!P50</x:f>
        <x:v>OTH-GENERAL</x:v>
      </x:c>
      <x:c r="G51" s="26" t="str">
        <x:f>'Resource Build-Up'!Q50</x:f>
        <x:v>Project-specific transparent allowance</x:v>
      </x:c>
      <x:c r="H51" s="26" t="str">
        <x:f>'Resource Build-Up'!T50</x:f>
        <x:v>LS</x:v>
      </x:c>
      <x:c r="I51" s="44" t="n">
        <x:f>'Resource Build-Up'!Y50</x:f>
        <x:v>4000</x:v>
      </x:c>
      <x:c r="J51" s="44" t="n">
        <x:f>'Resource Build-Up'!Z50</x:f>
        <x:v>4000</x:v>
      </x:c>
      <x:c r="K51" s="26" t="str">
        <x:v>Rosebank survey/services search $4,000</x:v>
      </x:c>
      <x:c r="L51" s="26" t="str">
        <x:v>PASS</x:v>
      </x:c>
      <x:c r="M51" s="26" t="str">
        <x:v>Historical survey comparable: setout $1,500 + as-built $2,500 = $4,000</x:v>
      </x:c>
      <x:c r="N51" s="26" t="str">
        <x:v>PASS</x:v>
      </x:c>
      <x:c r="O51" s="26" t="str">
        <x:v>Scope covers normal Siteworks setout/services search/as-built support</x:v>
      </x:c>
      <x:c r="P51" s="26" t="str">
        <x:v>AMBER</x:v>
      </x:c>
      <x:c r="Q51" s="26">
        <x:f t="shared" si="1"/>
        <x:v>1</x:v>
      </x:c>
      <x:c r="R51" s="26" t="str">
        <x:v>08-Sep-2026</x:v>
      </x:c>
      <x:c r="S51" s="26" t="str">
        <x:v>AMBER</x:v>
      </x:c>
      <x:c r="T51" s="100" t="str">
        <x:v>AMBER - benchmark only</x:v>
      </x:c>
      <x:c r="U51" s="26" t="str">
        <x:v>Confirm principal survey interface / additional visits.</x:v>
      </x:c>
      <x:c r="V51" s="26" t="str">
        <x:v>No duplicate TC01 testing.</x:v>
      </x:c>
    </x:row>
    <x:row r="52" ht="32.400001525878906" customHeight="1">
      <x:c r="A52" s="98" t="s">
        <x:v>563</x:v>
      </x:c>
      <x:c r="B52" s="98" t="str">
        <x:f>'Resource Build-Up'!A51</x:f>
        <x:v>PG01-005</x:v>
      </x:c>
      <x:c r="C52" s="98" t="str">
        <x:f>'Resource Build-Up'!B51</x:f>
        <x:v>PG01</x:v>
      </x:c>
      <x:c r="D52" s="26" t="str">
        <x:f>'Resource Build-Up'!C51</x:f>
        <x:v>Preliminaries &amp; General</x:v>
      </x:c>
      <x:c r="E52" s="26" t="str">
        <x:f>'Resource Build-Up'!H51</x:f>
        <x:v>Traffic Safe CAR/TMP quoted core - planning + one Stop/Go shift + one shoulder/pedestrian shift</x:v>
      </x:c>
      <x:c r="F52" s="26" t="str">
        <x:f>'Resource Build-Up'!P51</x:f>
        <x:v>OTH-GENERAL</x:v>
      </x:c>
      <x:c r="G52" s="26" t="str">
        <x:f>'Resource Build-Up'!Q51</x:f>
        <x:v>Project-specific transparent allowance</x:v>
      </x:c>
      <x:c r="H52" s="26" t="str">
        <x:f>'Resource Build-Up'!T51</x:f>
        <x:v>LS</x:v>
      </x:c>
      <x:c r="I52" s="44" t="n">
        <x:f>'Resource Build-Up'!Y51</x:f>
        <x:v>3938.4</x:v>
      </x:c>
      <x:c r="J52" s="44" t="n">
        <x:f>'Resource Build-Up'!Z51</x:f>
        <x:v>3938.4</x:v>
      </x:c>
      <x:c r="K52" s="26" t="str">
        <x:v>Traffic Safe project-specific estimate 10-Sep-2026: planning/submission $500 + Stop/Go $2,275.60 + shoulder/pedestrian $1,162.80 = $3,938.40 excl GST.</x:v>
      </x:c>
      <x:c r="L52" s="26" t="str">
        <x:v>PASS</x:v>
      </x:c>
      <x:c r="M52" s="26" t="str">
        <x:v>Historical Auckland traffic-management day benchmark and Rosebank larger-scope TM allowance support order of magnitude but are not like-for-like.</x:v>
      </x:c>
      <x:c r="N52" s="26" t="str">
        <x:v>AMBER</x:v>
      </x:c>
      <x:c r="O52" s="26" t="str">
        <x:v>Arithmetic reconciles exactly to $3,938.40. Quote scope is one Stop/Go shift + one shoulder/pedestrian shift; 10:00-16:00 road window noted by supplier.</x:v>
      </x:c>
      <x:c r="P52" s="26" t="str">
        <x:v>PASS</x:v>
      </x:c>
      <x:c r="Q52" s="26" t="n">
        <x:f t="shared" si="1"/>
        <x:v>2</x:v>
      </x:c>
      <x:c r="R52" s="26" t="str">
        <x:v>10-Sep-2026</x:v>
      </x:c>
      <x:c r="S52" s="26" t="str">
        <x:v>AMBER - current project quote / excluded charges remain</x:v>
      </x:c>
      <x:c r="T52" s="99" t="str">
        <x:v>AMBER - QUOTE REQUEST SENT / SCOPE CONFIRM</x:v>
      </x:c>
      <x:c r="U52" s="26" t="str">
        <x:v>Use $3,938.40 quoted core. Confirm final number of traffic shifts. Add only evidenced temporary FAF / RCA-CAR / cable-locate / restricted-parking or other excluded costs.</x:v>
      </x:c>
      <x:c r="V52" s="26" t="str">
        <x:v>Quote excludes temporary FAF and additional authority/RCA fees/on-charges. VMS, barriers, plating and light towers are excluded. Four-hour minimum; time depot-to-depot.</x:v>
      </x:c>
    </x:row>
    <x:row r="53" ht="32.400001525878906" customHeight="1">
      <x:c r="A53" s="98" t="s">
        <x:v>564</x:v>
      </x:c>
      <x:c r="B53" s="98" t="str">
        <x:f>'Resource Build-Up'!A52</x:f>
        <x:v>PG01-006</x:v>
      </x:c>
      <x:c r="C53" s="98" t="str">
        <x:f>'Resource Build-Up'!B52</x:f>
        <x:v>PG01</x:v>
      </x:c>
      <x:c r="D53" s="26" t="str">
        <x:f>'Resource Build-Up'!C52</x:f>
        <x:v>Preliminaries &amp; General</x:v>
      </x:c>
      <x:c r="E53" s="26" t="str">
        <x:f>'Resource Build-Up'!H52</x:f>
        <x:v>Site H&amp;S board, signage, visitor controls and local workfront barriers</x:v>
      </x:c>
      <x:c r="F53" s="26" t="str">
        <x:f>'Resource Build-Up'!P52</x:f>
        <x:v>OTH-GENERAL</x:v>
      </x:c>
      <x:c r="G53" s="26" t="str">
        <x:f>'Resource Build-Up'!Q52</x:f>
        <x:v>Project-specific transparent allowance</x:v>
      </x:c>
      <x:c r="H53" s="26" t="str">
        <x:f>'Resource Build-Up'!T52</x:f>
        <x:v>LS</x:v>
      </x:c>
      <x:c r="I53" s="44" t="n">
        <x:f>'Resource Build-Up'!Y52</x:f>
        <x:v>1500</x:v>
      </x:c>
      <x:c r="J53" s="44" t="n">
        <x:f>'Resource Build-Up'!Z52</x:f>
        <x:v>1500</x:v>
      </x:c>
      <x:c r="K53" s="26" t="str">
        <x:v>Orion Point H&amp;S/signage $1,500</x:v>
      </x:c>
      <x:c r="L53" s="26" t="str">
        <x:v>AMBER</x:v>
      </x:c>
      <x:c r="M53" s="26" t="str">
        <x:v>Rosebank H&amp;S $1,680</x:v>
      </x:c>
      <x:c r="N53" s="26" t="str">
        <x:v>PASS</x:v>
      </x:c>
      <x:c r="O53" s="26" t="str">
        <x:v>Direct site signage/visitor/local barrier scope is explicit</x:v>
      </x:c>
      <x:c r="P53" s="26" t="str">
        <x:v>PASS</x:v>
      </x:c>
      <x:c r="Q53" s="26">
        <x:f t="shared" si="1"/>
        <x:v>3</x:v>
      </x:c>
      <x:c r="R53" s="26" t="str">
        <x:v>08-Sep-2026</x:v>
      </x:c>
      <x:c r="S53" s="26" t="str">
        <x:v>AMBER</x:v>
      </x:c>
      <x:c r="T53" s="101" t="str">
        <x:v>AMBER - benchmark only</x:v>
      </x:c>
      <x:c r="U53" s="26" t="str">
        <x:v>Retain unless Siteworks actual supplied.</x:v>
      </x:c>
      <x:c r="V53" s="26" t="str">
        <x:v>Whole-site temporary fencing excluded/by principal.</x:v>
      </x:c>
    </x:row>
    <x:row r="54" ht="32.400001525878906" customHeight="1">
      <x:c r="A54" s="98" t="s">
        <x:v>565</x:v>
      </x:c>
      <x:c r="B54" s="98" t="str">
        <x:f>'Resource Build-Up'!A53</x:f>
        <x:v>PG01-007</x:v>
      </x:c>
      <x:c r="C54" s="98" t="str">
        <x:f>'Resource Build-Up'!B53</x:f>
        <x:v>PG01</x:v>
      </x:c>
      <x:c r="D54" s="26" t="str">
        <x:f>'Resource Build-Up'!C53</x:f>
        <x:v>Preliminaries &amp; General</x:v>
      </x:c>
      <x:c r="E54" s="26" t="str">
        <x:f>'Resource Build-Up'!H53</x:f>
        <x:v>General Siteworks rubbish / small waste handling allowance</x:v>
      </x:c>
      <x:c r="F54" s="26" t="str">
        <x:f>'Resource Build-Up'!P53</x:f>
        <x:v>OTH-GENERAL</x:v>
      </x:c>
      <x:c r="G54" s="26" t="str">
        <x:f>'Resource Build-Up'!Q53</x:f>
        <x:v>Project-specific transparent allowance</x:v>
      </x:c>
      <x:c r="H54" s="26" t="str">
        <x:f>'Resource Build-Up'!T53</x:f>
        <x:v>LS</x:v>
      </x:c>
      <x:c r="I54" s="44" t="n">
        <x:f>'Resource Build-Up'!Y53</x:f>
        <x:v>800</x:v>
      </x:c>
      <x:c r="J54" s="44" t="n">
        <x:f>'Resource Build-Up'!Z53</x:f>
        <x:v>800</x:v>
      </x:c>
      <x:c r="K54" s="26" t="str">
        <x:v>Rosebank rubbish $800</x:v>
      </x:c>
      <x:c r="L54" s="26" t="str">
        <x:v>PASS</x:v>
      </x:c>
      <x:c r="M54" s="26" t="str">
        <x:v>Orion Point waste allowances support order of magnitude</x:v>
      </x:c>
      <x:c r="N54" s="26" t="str">
        <x:v>AMBER</x:v>
      </x:c>
      <x:c r="O54" s="26" t="str">
        <x:v>One $800 minor Siteworks waste allowance; RH01 final clean separate</x:v>
      </x:c>
      <x:c r="P54" s="26" t="str">
        <x:v>PASS</x:v>
      </x:c>
      <x:c r="Q54" s="26">
        <x:f t="shared" si="1"/>
        <x:v>3</x:v>
      </x:c>
      <x:c r="R54" s="26" t="str">
        <x:v>08-Sep-2026</x:v>
      </x:c>
      <x:c r="S54" s="26" t="str">
        <x:v>AMBER</x:v>
      </x:c>
      <x:c r="T54" s="101" t="str">
        <x:v>AMBER - benchmark only</x:v>
      </x:c>
      <x:c r="U54" s="26" t="str">
        <x:v>Retain unless supplier/site rules require more.</x:v>
      </x:c>
      <x:c r="V54" s="26" t="str">
        <x:v>No duplicate final clean.</x:v>
      </x:c>
    </x:row>
    <x:row r="55" ht="32.400001525878906" customHeight="1">
      <x:c r="A55" s="98" t="s">
        <x:v>566</x:v>
      </x:c>
      <x:c r="B55" s="98" t="str">
        <x:f>'Resource Build-Up'!A54</x:f>
        <x:v>PG01-008</x:v>
      </x:c>
      <x:c r="C55" s="98" t="str">
        <x:f>'Resource Build-Up'!B54</x:f>
        <x:v>PG01</x:v>
      </x:c>
      <x:c r="D55" s="26" t="str">
        <x:f>'Resource Build-Up'!C54</x:f>
        <x:v>Preliminaries &amp; General</x:v>
      </x:c>
      <x:c r="E55" s="26" t="str">
        <x:f>'Resource Build-Up'!H54</x:f>
        <x:v>Plant mobilisation / demobilisation - 4 plant classes, in/out transport control</x:v>
      </x:c>
      <x:c r="F55" s="26" t="str">
        <x:f>'Resource Build-Up'!P54</x:f>
        <x:v>OTH-PLANT-TRANSPORT-PROXY</x:v>
      </x:c>
      <x:c r="G55" s="26" t="str">
        <x:f>'Resource Build-Up'!Q54</x:f>
        <x:v>Plant mobilisation / transporter wet-hire proxy</x:v>
      </x:c>
      <x:c r="H55" s="26" t="str">
        <x:f>'Resource Build-Up'!T54</x:f>
        <x:v>hr</x:v>
      </x:c>
      <x:c r="I55" s="44" t="n">
        <x:f>'Resource Build-Up'!Y54</x:f>
        <x:v>175</x:v>
      </x:c>
      <x:c r="J55" s="44" t="n">
        <x:f>'Resource Build-Up'!Z54</x:f>
        <x:v>2800</x:v>
      </x:c>
      <x:c r="K55" s="26" t="str">
        <x:v>ASAP current published truck/trailer wet hire $175/hr</x:v>
      </x:c>
      <x:c r="L55" s="26" t="str">
        <x:v>PASS</x:v>
      </x:c>
      <x:c r="M55" s="26" t="str">
        <x:v>Resource list requires 14t excavator, roller, 5.5t excavator and 3t/auger movements</x:v>
      </x:c>
      <x:c r="N55" s="26" t="str">
        <x:v>AMBER</x:v>
      </x:c>
      <x:c r="O55" s="26" t="str">
        <x:v>4 plant classes x in/out x 2h = 16h x $175 = $2,800</x:v>
      </x:c>
      <x:c r="P55" s="26" t="str">
        <x:v>PASS</x:v>
      </x:c>
      <x:c r="Q55" s="26">
        <x:f t="shared" si="1"/>
        <x:v>2</x:v>
      </x:c>
      <x:c r="R55" s="26" t="str">
        <x:v>08-Sep-2026</x:v>
      </x:c>
      <x:c r="S55" s="26" t="str">
        <x:v>AMBER</x:v>
      </x:c>
      <x:c r="T55" s="99" t="str">
        <x:v>AMBER - specification/delivery quote required</x:v>
      </x:c>
      <x:c r="U55" s="26" t="str">
        <x:v>Confirm heavy transporter actual before award if materially different.</x:v>
      </x:c>
      <x:c r="V55" s="26" t="str">
        <x:v>One 3t/auger mobilisation only; no PILE1/PILE2 duplication.</x:v>
      </x:c>
    </x:row>
    <x:row r="56" ht="32.400001525878906" customHeight="1">
      <x:c r="A56" s="98" t="s">
        <x:v>567</x:v>
      </x:c>
      <x:c r="B56" s="98" t="str">
        <x:f>'Resource Build-Up'!A55</x:f>
        <x:v>PV01-007</x:v>
      </x:c>
      <x:c r="C56" s="98" t="str">
        <x:f>'Resource Build-Up'!B55</x:f>
        <x:v>PV01</x:v>
      </x:c>
      <x:c r="D56" s="26" t="str">
        <x:f>'Resource Build-Up'!C55</x:f>
        <x:v>Pavements &amp; Concrete</x:v>
      </x:c>
      <x:c r="E56" s="26" t="str">
        <x:f>'Resource Build-Up'!H55</x:f>
        <x:v>AP40/AP20 basecourse placement and compaction - 90.22m3, 11h crew control</x:v>
      </x:c>
      <x:c r="F56" s="26" t="str">
        <x:f>'Resource Build-Up'!P55</x:f>
        <x:v>OTH-GENERAL</x:v>
      </x:c>
      <x:c r="G56" s="26" t="str">
        <x:f>'Resource Build-Up'!Q55</x:f>
        <x:v>Project-specific transparent allowance</x:v>
      </x:c>
      <x:c r="H56" s="26" t="str">
        <x:f>'Resource Build-Up'!T55</x:f>
        <x:v>LS</x:v>
      </x:c>
      <x:c r="I56" s="44" t="n">
        <x:f>'Resource Build-Up'!Y55</x:f>
        <x:v>3096</x:v>
      </x:c>
      <x:c r="J56" s="44" t="n">
        <x:f>'Resource Build-Up'!Z55</x:f>
        <x:v>3096</x:v>
      </x:c>
      <x:c r="K56" s="26" t="str">
        <x:v>Bridle Trail temporary access: 275.25m3 placement/compaction with excavator + roller + labourer over 32h</x:v>
      </x:c>
      <x:c r="L56" s="26" t="str">
        <x:v>PASS</x:v>
      </x:c>
      <x:c r="M56" s="26" t="str">
        <x:v>Hobsonville issued pavement section = 451.1m2 x 200mm combined AP40/AP20 = 90.22m3</x:v>
      </x:c>
      <x:c r="N56" s="26" t="str">
        <x:v>PASS</x:v>
      </x:c>
      <x:c r="O56" s="26" t="str">
        <x:v>90.22 / 8.6016 = 10.49h -&gt; 11h; 11h x ($110+$110+$38) = $2,838</x:v>
      </x:c>
      <x:c r="P56" s="26" t="str">
        <x:v>PASS</x:v>
      </x:c>
      <x:c r="Q56" s="26">
        <x:f t="shared" si="1"/>
        <x:v>2</x:v>
      </x:c>
      <x:c r="R56" s="26" t="str">
        <x:v>08-Sep-2026</x:v>
      </x:c>
      <x:c r="S56" s="26" t="str">
        <x:v>AMBER - comparable method / current resource rates</x:v>
      </x:c>
      <x:c r="T56" s="99" t="str">
        <x:v>AMBER - benchmark only</x:v>
      </x:c>
      <x:c r="U56" s="26" t="str">
        <x:v>Replace/challenge only if Q-05 or contractor methodology expressly includes pavement-base placement.</x:v>
      </x:c>
      <x:c r="V56" s="26" t="str">
        <x:v>Aggregate delivery is Q-06; this line is placement/compaction only.</x:v>
      </x:c>
    </x:row>
    <x:row r="57" ht="32.400001525878906" customHeight="1">
      <x:c r="A57" s="98" t="s">
        <x:v>568</x:v>
      </x:c>
      <x:c r="B57" s="98" t="str">
        <x:f>'Resource Build-Up'!A56</x:f>
        <x:v>ESC01-002</x:v>
      </x:c>
      <x:c r="C57" s="98" t="str">
        <x:f>'Resource Build-Up'!B56</x:f>
        <x:v>ESC01</x:v>
      </x:c>
      <x:c r="D57" s="26" t="str">
        <x:f>'Resource Build-Up'!C56</x:f>
        <x:v>Erosion &amp; Sediment Control</x:v>
      </x:c>
      <x:c r="E57" s="26" t="str">
        <x:f>'Resource Build-Up'!H56</x:f>
        <x:v>Y posts at 4m spacing to 234.3lm working fence</x:v>
      </x:c>
      <x:c r="F57" s="26" t="str">
        <x:f>'Resource Build-Up'!P56</x:f>
        <x:v>MAT-YPOST-180</x:v>
      </x:c>
      <x:c r="G57" s="26" t="str">
        <x:f>'Resource Build-Up'!Q56</x:f>
        <x:v>Fencing standard Y post 1.80m</x:v>
      </x:c>
      <x:c r="H57" s="26" t="str">
        <x:f>'Resource Build-Up'!T56</x:f>
        <x:v>ea</x:v>
      </x:c>
      <x:c r="I57" s="44" t="n">
        <x:f>'Resource Build-Up'!Y56</x:f>
        <x:v>12.8</x:v>
      </x:c>
      <x:c r="J57" s="44" t="n">
        <x:f>'Resource Build-Up'!Z56</x:f>
        <x:v>768</x:v>
      </x:c>
      <x:c r="K57" s="26" t="str">
        <x:v>CARTERS Y post 1.8m $12.80/ea</x:v>
      </x:c>
      <x:c r="L57" s="26" t="str">
        <x:v>PASS</x:v>
      </x:c>
      <x:c r="M57" s="26" t="str">
        <x:v>Bunnings 1.8m black Y post $11.93/ea</x:v>
      </x:c>
      <x:c r="N57" s="26" t="str">
        <x:v>PASS</x:v>
      </x:c>
      <x:c r="O57" s="26" t="str">
        <x:v>60 posts @4m HT-wire spacing incl end post</x:v>
      </x:c>
      <x:c r="P57" s="26" t="str">
        <x:v>PASS</x:v>
      </x:c>
      <x:c r="Q57" s="26" t="n">
        <x:f t="shared" si="1"/>
        <x:v>3</x:v>
      </x:c>
      <x:c r="R57" s="26" t="str">
        <x:f>'Resource Build-Up'!AC56</x:f>
        <x:v>09-Sep-2026</x:v>
      </x:c>
      <x:c r="S57" s="26" t="str">
        <x:f>'Resource Build-Up'!AF56</x:f>
        <x:v>GREEN - current rate / calculated quantity</x:v>
      </x:c>
      <x:c r="T57" s="100" t="str">
        <x:v>GREEN - 3-point checked</x:v>
      </x:c>
      <x:c r="U57" s="26" t="str">
        <x:v>Verify corners/returns at setout.</x:v>
      </x:c>
      <x:c r="V57" s="26" t="str">
        <x:f>'Resource Build-Up'!AG56</x:f>
        <x:v>60 posts = ceil(234.3/4m)+1. High-tensile support wire basis permits 4m centres.</x:v>
      </x:c>
    </x:row>
    <x:row r="58" ht="32.400001525878906" customHeight="1">
      <x:c r="A58" s="98" t="s">
        <x:v>569</x:v>
      </x:c>
      <x:c r="B58" s="98" t="str">
        <x:f>'Resource Build-Up'!A57</x:f>
        <x:v>ESC01-003</x:v>
      </x:c>
      <x:c r="C58" s="98" t="str">
        <x:f>'Resource Build-Up'!B57</x:f>
        <x:v>ESC01</x:v>
      </x:c>
      <x:c r="D58" s="26" t="str">
        <x:f>'Resource Build-Up'!C57</x:f>
        <x:v>Erosion &amp; Sediment Control</x:v>
      </x:c>
      <x:c r="E58" s="26" t="str">
        <x:f>'Resource Build-Up'!H57</x:f>
        <x:v>Safety caps to all silt-fence Y posts</x:v>
      </x:c>
      <x:c r="F58" s="26" t="str">
        <x:f>'Resource Build-Up'!P57</x:f>
        <x:v>MAT-YPOST-CAP</x:v>
      </x:c>
      <x:c r="G58" s="26" t="str">
        <x:f>'Resource Build-Up'!Q57</x:f>
        <x:v>Safety cap for starter / Y post</x:v>
      </x:c>
      <x:c r="H58" s="26" t="str">
        <x:f>'Resource Build-Up'!T57</x:f>
        <x:v>ea</x:v>
      </x:c>
      <x:c r="I58" s="44" t="n">
        <x:f>'Resource Build-Up'!Y57</x:f>
        <x:v>0.98</x:v>
      </x:c>
      <x:c r="J58" s="44" t="n">
        <x:f>'Resource Build-Up'!Z57</x:f>
        <x:v>58.8</x:v>
      </x:c>
      <x:c r="K58" s="26" t="str">
        <x:v>CARTERS safety cap $0.98/ea</x:v>
      </x:c>
      <x:c r="L58" s="26" t="str">
        <x:v>PASS</x:v>
      </x:c>
      <x:c r="M58" s="26" t="str">
        <x:v>Independent direct current cap price not captured</x:v>
      </x:c>
      <x:c r="N58" s="26" t="str">
        <x:v>AMBER</x:v>
      </x:c>
      <x:c r="O58" s="26" t="str">
        <x:v>One cap per 60 posts</x:v>
      </x:c>
      <x:c r="P58" s="26" t="str">
        <x:v>PASS</x:v>
      </x:c>
      <x:c r="Q58" s="26" t="n">
        <x:f t="shared" si="1"/>
        <x:v>2</x:v>
      </x:c>
      <x:c r="R58" s="26" t="str">
        <x:f>'Resource Build-Up'!AC57</x:f>
        <x:v>09-Sep-2026</x:v>
      </x:c>
      <x:c r="S58" s="26" t="str">
        <x:f>'Resource Build-Up'!AF57</x:f>
        <x:v>AMBER - current primary price</x:v>
      </x:c>
      <x:c r="T58" s="99" t="str">
        <x:v>AMBER - explicit allowance; second evidence required</x:v>
      </x:c>
      <x:c r="U58" s="26" t="str">
        <x:v>Retain current primary account rate.</x:v>
      </x:c>
      <x:c r="V58" s="26" t="str">
        <x:f>'Resource Build-Up'!AG57</x:f>
        <x:v>One cap per 60 Y posts.</x:v>
      </x:c>
    </x:row>
    <x:row r="59" ht="32.400001525878906" customHeight="1">
      <x:c r="A59" s="98" t="s">
        <x:v>570</x:v>
      </x:c>
      <x:c r="B59" s="98" t="str">
        <x:f>'Resource Build-Up'!A58</x:f>
        <x:v>ESC01-004</x:v>
      </x:c>
      <x:c r="C59" s="98" t="str">
        <x:f>'Resource Build-Up'!B58</x:f>
        <x:v>ESC01</x:v>
      </x:c>
      <x:c r="D59" s="26" t="str">
        <x:f>'Resource Build-Up'!C58</x:f>
        <x:v>Erosion &amp; Sediment Control</x:v>
      </x:c>
      <x:c r="E59" s="26" t="str">
        <x:f>'Resource Build-Up'!H58</x:f>
        <x:v>High-tensile support wire to silt fence</x:v>
      </x:c>
      <x:c r="F59" s="26" t="str">
        <x:f>'Resource Build-Up'!P58</x:f>
        <x:v>MAT-WIRE-HT650</x:v>
      </x:c>
      <x:c r="G59" s="26" t="str">
        <x:f>'Resource Build-Up'!Q58</x:f>
        <x:v>Premium fencing wire 2.5mm HT, 25kg / 650m coil</x:v>
      </x:c>
      <x:c r="H59" s="26" t="str">
        <x:f>'Resource Build-Up'!T58</x:f>
        <x:v>coil</x:v>
      </x:c>
      <x:c r="I59" s="44" t="n">
        <x:f>'Resource Build-Up'!Y58</x:f>
        <x:v>114.91</x:v>
      </x:c>
      <x:c r="J59" s="44" t="n">
        <x:f>'Resource Build-Up'!Z58</x:f>
        <x:v>114.91</x:v>
      </x:c>
      <x:c r="K59" s="26" t="str">
        <x:v>CARTERS 2.5mm HT 650m coil $114.91</x:v>
      </x:c>
      <x:c r="L59" s="26" t="str">
        <x:v>PASS</x:v>
      </x:c>
      <x:c r="M59" s="26" t="str">
        <x:v>Cirtex install method confirms high-tensile support wire option</x:v>
      </x:c>
      <x:c r="N59" s="26" t="str">
        <x:v>PASS</x:v>
      </x:c>
      <x:c r="O59" s="26" t="str">
        <x:v>One coil exceeds working fence length; no duplicate support wire</x:v>
      </x:c>
      <x:c r="P59" s="26" t="str">
        <x:v>PASS</x:v>
      </x:c>
      <x:c r="Q59" s="26" t="n">
        <x:f t="shared" si="1"/>
        <x:v>3</x:v>
      </x:c>
      <x:c r="R59" s="26" t="str">
        <x:f>'Resource Build-Up'!AC58</x:f>
        <x:v>09-Sep-2026</x:v>
      </x:c>
      <x:c r="S59" s="26" t="str">
        <x:f>'Resource Build-Up'!AF58</x:f>
        <x:v>AMBER - current primary price</x:v>
      </x:c>
      <x:c r="T59" s="101" t="str">
        <x:v>AMBER - explicit allowance; second evidence required</x:v>
      </x:c>
      <x:c r="U59" s="26" t="str">
        <x:v>Independent second price not required for method but refresh procurement if material source changes.</x:v>
      </x:c>
      <x:c r="V59" s="26" t="str">
        <x:f>'Resource Build-Up'!AG58</x:f>
        <x:v>One 650m coil exceeds working fence length and provides repair reserve.</x:v>
      </x:c>
    </x:row>
    <x:row r="60" ht="32.400001525878906" customHeight="1">
      <x:c r="A60" s="98" t="s">
        <x:v>571</x:v>
      </x:c>
      <x:c r="B60" s="98" t="str">
        <x:f>'Resource Build-Up'!A59</x:f>
        <x:v>ESC01-005</x:v>
      </x:c>
      <x:c r="C60" s="98" t="str">
        <x:f>'Resource Build-Up'!B59</x:f>
        <x:v>ESC01</x:v>
      </x:c>
      <x:c r="D60" s="26" t="str">
        <x:f>'Resource Build-Up'!C59</x:f>
        <x:v>Erosion &amp; Sediment Control</x:v>
      </x:c>
      <x:c r="E60" s="26" t="str">
        <x:f>'Resource Build-Up'!H59</x:f>
        <x:v>Silt-fence pins to support wire at 500mm spacing - 5 x 100 packs</x:v>
      </x:c>
      <x:c r="F60" s="26" t="str">
        <x:f>'Resource Build-Up'!P59</x:f>
        <x:v>MAT-SILTFENCE-PINS100</x:v>
      </x:c>
      <x:c r="G60" s="26" t="str">
        <x:f>'Resource Build-Up'!Q59</x:f>
        <x:v>Cirtex 75mm SiltFence pins - 100 pack</x:v>
      </x:c>
      <x:c r="H60" s="26" t="str">
        <x:f>'Resource Build-Up'!T59</x:f>
        <x:v>bag</x:v>
      </x:c>
      <x:c r="I60" s="44" t="n">
        <x:f>'Resource Build-Up'!Y59</x:f>
        <x:v>27</x:v>
      </x:c>
      <x:c r="J60" s="44" t="n">
        <x:f>'Resource Build-Up'!Z59</x:f>
        <x:v>135</x:v>
      </x:c>
      <x:c r="K60" s="26" t="str">
        <x:v>Bunnings current Cirtex pins 100 pack $27</x:v>
      </x:c>
      <x:c r="L60" s="26" t="str">
        <x:v>PASS</x:v>
      </x:c>
      <x:c r="M60" s="26" t="str">
        <x:v>Cirtex 76062 confirms pins are compliant fixing accessory</x:v>
      </x:c>
      <x:c r="N60" s="26" t="str">
        <x:v>PASS</x:v>
      </x:c>
      <x:c r="O60" s="26" t="str">
        <x:v>5 bags cover ~469 fixings @500mm</x:v>
      </x:c>
      <x:c r="P60" s="26" t="str">
        <x:v>PASS</x:v>
      </x:c>
      <x:c r="Q60" s="26" t="n">
        <x:f t="shared" si="1"/>
        <x:v>3</x:v>
      </x:c>
      <x:c r="R60" s="26" t="str">
        <x:f>'Resource Build-Up'!AC59</x:f>
        <x:v>09-Sep-2026</x:v>
      </x:c>
      <x:c r="S60" s="26" t="str">
        <x:f>'Resource Build-Up'!AF59</x:f>
        <x:v>AMBER - current retail / project merchant quote open</x:v>
      </x:c>
      <x:c r="T60" s="101" t="str">
        <x:v>AMBER - explicit allowance; second evidence required</x:v>
      </x:c>
      <x:c r="U60" s="26" t="str">
        <x:v>Replace with merchant/project quote if better; do not add clips also.</x:v>
      </x:c>
      <x:c r="V60" s="26" t="str">
        <x:f>'Resource Build-Up'!AG59</x:f>
        <x:v>234.3m /0.5m = 469 pins; 5 x100 packs allowed.</x:v>
      </x:c>
    </x:row>
    <x:row r="61" ht="32.400001525878906" customHeight="1">
      <x:c r="A61" s="98" t="s">
        <x:v>572</x:v>
      </x:c>
      <x:c r="B61" s="98" t="str">
        <x:f>'Resource Build-Up'!A60</x:f>
        <x:v>ESC01-006</x:v>
      </x:c>
      <x:c r="C61" s="98" t="str">
        <x:f>'Resource Build-Up'!B60</x:f>
        <x:v>ESC01</x:v>
      </x:c>
      <x:c r="D61" s="26" t="str">
        <x:f>'Resource Build-Up'!C60</x:f>
        <x:v>Erosion &amp; Sediment Control</x:v>
      </x:c>
      <x:c r="E61" s="26" t="str">
        <x:f>'Resource Build-Up'!H60</x:f>
        <x:v>Support-wire strainers at 25m intervals</x:v>
      </x:c>
      <x:c r="F61" s="26" t="str">
        <x:f>'Resource Build-Up'!P60</x:f>
        <x:v>MAT-WIRE-STRAINER</x:v>
      </x:c>
      <x:c r="G61" s="26" t="str">
        <x:f>'Resource Build-Up'!Q60</x:f>
        <x:v>Wire strainer clip-lock type</x:v>
      </x:c>
      <x:c r="H61" s="26" t="str">
        <x:f>'Resource Build-Up'!T60</x:f>
        <x:v>ea</x:v>
      </x:c>
      <x:c r="I61" s="44" t="n">
        <x:f>'Resource Build-Up'!Y60</x:f>
        <x:v>4.88</x:v>
      </x:c>
      <x:c r="J61" s="44" t="n">
        <x:f>'Resource Build-Up'!Z60</x:f>
        <x:v>48.8</x:v>
      </x:c>
      <x:c r="K61" s="26" t="str">
        <x:v>CARTERS Strainrite clip-lock strainer $4.88</x:v>
      </x:c>
      <x:c r="L61" s="26" t="str">
        <x:v>PASS</x:v>
      </x:c>
      <x:c r="M61" s="26" t="str">
        <x:v>Cirtex calculator recommends one wire strainer each 25m</x:v>
      </x:c>
      <x:c r="N61" s="26" t="str">
        <x:v>PASS</x:v>
      </x:c>
      <x:c r="O61" s="26" t="str">
        <x:v>10 units = ceil(234.3/25m)</x:v>
      </x:c>
      <x:c r="P61" s="26" t="str">
        <x:v>PASS</x:v>
      </x:c>
      <x:c r="Q61" s="26" t="n">
        <x:f t="shared" si="1"/>
        <x:v>3</x:v>
      </x:c>
      <x:c r="R61" s="26" t="str">
        <x:f>'Resource Build-Up'!AC60</x:f>
        <x:v>09-Sep-2026</x:v>
      </x:c>
      <x:c r="S61" s="26" t="str">
        <x:f>'Resource Build-Up'!AF60</x:f>
        <x:v>AMBER - functional-equivalent accessory</x:v>
      </x:c>
      <x:c r="T61" s="99" t="str">
        <x:v>AMBER - explicit allowance; second evidence required</x:v>
      </x:c>
      <x:c r="U61" s="26" t="str">
        <x:v>Exact proprietary strainer not specified; retain as visible small accessory control.</x:v>
      </x:c>
      <x:c r="V61" s="26" t="str">
        <x:f>'Resource Build-Up'!AG60</x:f>
        <x:v>10 strainers = ceil(234.3/25m).</x:v>
      </x:c>
    </x:row>
    <x:row r="62" ht="32.400001525878906" customHeight="1">
      <x:c r="A62" s="98" t="s">
        <x:v>573</x:v>
      </x:c>
      <x:c r="B62" s="98" t="str">
        <x:f>'Resource Build-Up'!A61</x:f>
        <x:v>ESC01-007</x:v>
      </x:c>
      <x:c r="C62" s="98" t="str">
        <x:f>'Resource Build-Up'!B61</x:f>
        <x:v>ESC01</x:v>
      </x:c>
      <x:c r="D62" s="26" t="str">
        <x:f>'Resource Build-Up'!C61</x:f>
        <x:v>Erosion &amp; Sediment Control</x:v>
      </x:c>
      <x:c r="E62" s="26" t="str">
        <x:f>'Resource Build-Up'!H61</x:f>
        <x:v>Silt-fence install/trench/post workfront - 1.7t excavator wet hire</x:v>
      </x:c>
      <x:c r="F62" s="26" t="str">
        <x:f>'Resource Build-Up'!P61</x:f>
        <x:v>PL-EXC-1.7</x:v>
      </x:c>
      <x:c r="G62" s="26" t="str">
        <x:f>'Resource Build-Up'!Q61</x:f>
        <x:v>1.7 t excavator wet hire</x:v>
      </x:c>
      <x:c r="H62" s="26" t="str">
        <x:f>'Resource Build-Up'!T61</x:f>
        <x:v>hr</x:v>
      </x:c>
      <x:c r="I62" s="44" t="n">
        <x:f>'Resource Build-Up'!Y61</x:f>
        <x:v>85</x:v>
      </x:c>
      <x:c r="J62" s="44" t="n">
        <x:f>'Resource Build-Up'!Z61</x:f>
        <x:v>1327.5593360804926</x:v>
      </x:c>
      <x:c r="K62" s="26" t="str">
        <x:v>Current PL-EXC-1.7 wet $85/hr incl operator/fuel</x:v>
      </x:c>
      <x:c r="L62" s="26" t="str">
        <x:v>PASS</x:v>
      </x:c>
      <x:c r="M62" s="26" t="str">
        <x:v>ASAP/NZ Machine Hire cross-check embedded in library</x:v>
      </x:c>
      <x:c r="N62" s="26" t="str">
        <x:v>PASS</x:v>
      </x:c>
      <x:c r="O62" s="26" t="str">
        <x:v>234.3m/15m/hr=15.62h; Cirtex case study &gt;20lm/hr experienced 4-person crew</x:v>
      </x:c>
      <x:c r="P62" s="26" t="str">
        <x:v>PASS</x:v>
      </x:c>
      <x:c r="Q62" s="26" t="n">
        <x:f t="shared" si="1"/>
        <x:v>3</x:v>
      </x:c>
      <x:c r="R62" s="26" t="str">
        <x:f>'Resource Build-Up'!AC61</x:f>
        <x:v>09-Sep-2026</x:v>
      </x:c>
      <x:c r="S62" s="26" t="str">
        <x:f>'Resource Build-Up'!AF61</x:f>
        <x:v>AMBER - conservative productivity application</x:v>
      </x:c>
      <x:c r="T62" s="99" t="str">
        <x:v>AMBER - explicit allowance; second evidence required</x:v>
      </x:c>
      <x:c r="U62" s="26" t="str">
        <x:v>Tender productivity deliberately conservative; calibrate to actual.</x:v>
      </x:c>
      <x:c r="V62" s="26" t="str">
        <x:f>'Resource Build-Up'!AG61</x:f>
        <x:v>234.3m / 15m/hr = 15.62h. Tender control is 75% of &gt;20lm/hr experienced 4-person case-study.</x:v>
      </x:c>
    </x:row>
    <x:row r="63" ht="32.400001525878906" customHeight="1">
      <x:c r="A63" s="98" t="s">
        <x:v>574</x:v>
      </x:c>
      <x:c r="B63" s="98" t="str">
        <x:f>'Resource Build-Up'!A62</x:f>
        <x:v>ESC01-008</x:v>
      </x:c>
      <x:c r="C63" s="98" t="str">
        <x:f>'Resource Build-Up'!B62</x:f>
        <x:v>ESC01</x:v>
      </x:c>
      <x:c r="D63" s="26" t="str">
        <x:f>'Resource Build-Up'!C62</x:f>
        <x:v>Erosion &amp; Sediment Control</x:v>
      </x:c>
      <x:c r="E63" s="26" t="str">
        <x:f>'Resource Build-Up'!H62</x:f>
        <x:v>Silt-fence install crew - 3 civil labourers</x:v>
      </x:c>
      <x:c r="F63" s="26" t="str">
        <x:f>'Resource Build-Up'!P62</x:f>
        <x:v>LAB-LABOURER</x:v>
      </x:c>
      <x:c r="G63" s="26" t="str">
        <x:f>'Resource Build-Up'!Q62</x:f>
        <x:v>Civil labourer</x:v>
      </x:c>
      <x:c r="H63" s="26" t="str">
        <x:f>'Resource Build-Up'!T62</x:f>
        <x:v>hr</x:v>
      </x:c>
      <x:c r="I63" s="44" t="n">
        <x:f>'Resource Build-Up'!Y62</x:f>
        <x:v>38</x:v>
      </x:c>
      <x:c r="J63" s="44" t="n">
        <x:f>'Resource Build-Up'!Z62</x:f>
        <x:v>1780.491344860896</x:v>
      </x:c>
      <x:c r="K63" s="26" t="str">
        <x:v>Current civil labourer $38/hr</x:v>
      </x:c>
      <x:c r="L63" s="26" t="str">
        <x:v>AMBER</x:v>
      </x:c>
      <x:c r="M63" s="26" t="str">
        <x:v>Independent Board Auckland labour challenge supports magnitude</x:v>
      </x:c>
      <x:c r="N63" s="26" t="str">
        <x:v>PASS</x:v>
      </x:c>
      <x:c r="O63" s="26" t="str">
        <x:v>3 labourers x 15.62h + wet-hire operator =4-person workfront</x:v>
      </x:c>
      <x:c r="P63" s="26" t="str">
        <x:v>PASS</x:v>
      </x:c>
      <x:c r="Q63" s="26" t="n">
        <x:f t="shared" si="1"/>
        <x:v>2</x:v>
      </x:c>
      <x:c r="R63" s="26" t="str">
        <x:f>'Resource Build-Up'!AC62</x:f>
        <x:v>09-Sep-2026</x:v>
      </x:c>
      <x:c r="S63" s="26" t="str">
        <x:f>'Resource Build-Up'!AF62</x:f>
        <x:v>AMBER - labour cost/productivity application</x:v>
      </x:c>
      <x:c r="T63" s="100" t="str">
        <x:v>AMBER - company cost rate required</x:v>
      </x:c>
      <x:c r="U63" s="26" t="str">
        <x:v>Replace with Siteworks actual cost when provided.</x:v>
      </x:c>
      <x:c r="V63" s="26" t="str">
        <x:f>'Resource Build-Up'!AG62</x:f>
        <x:v>3 labourers + wet-hire excavator/operator = 4-person workfront for 15.62h.</x:v>
      </x:c>
    </x:row>
    <x:row r="64" ht="32.400001525878906" customHeight="1">
      <x:c r="A64" s="98" t="s">
        <x:v>575</x:v>
      </x:c>
      <x:c r="B64" s="98" t="str">
        <x:f>'Resource Build-Up'!A63</x:f>
        <x:v>ESC01-009</x:v>
      </x:c>
      <x:c r="C64" s="98" t="str">
        <x:f>'Resource Build-Up'!B63</x:f>
        <x:v>ESC01</x:v>
      </x:c>
      <x:c r="D64" s="26" t="str">
        <x:f>'Resource Build-Up'!C63</x:f>
        <x:v>Erosion &amp; Sediment Control</x:v>
      </x:c>
      <x:c r="E64" s="26" t="str">
        <x:f>'Resource Build-Up'!H63</x:f>
        <x:v>Stabilised-entrance geotextile - one AS280 1.9x50m roll</x:v>
      </x:c>
      <x:c r="F64" s="26" t="str">
        <x:f>'Resource Build-Up'!P63</x:f>
        <x:v>MAT-GEOTEX-AS280ROLL</x:v>
      </x:c>
      <x:c r="G64" s="26" t="str">
        <x:f>'Resource Build-Up'!Q63</x:f>
        <x:v>Duraforce AS280 geotextile 1.9 x 50m roll, code 76021</x:v>
      </x:c>
      <x:c r="H64" s="26" t="str">
        <x:f>'Resource Build-Up'!T63</x:f>
        <x:v>roll</x:v>
      </x:c>
      <x:c r="I64" s="44" t="n">
        <x:f>'Resource Build-Up'!Y63</x:f>
        <x:v>176.64</x:v>
      </x:c>
      <x:c r="J64" s="44" t="n">
        <x:f>'Resource Build-Up'!Z63</x:f>
        <x:v>176.64</x:v>
      </x:c>
      <x:c r="K64" s="26" t="str">
        <x:v>CARTERS AS280 1.9x50m $176.64/roll</x:v>
      </x:c>
      <x:c r="L64" s="26" t="str">
        <x:v>PASS</x:v>
      </x:c>
      <x:c r="M64" s="26" t="str">
        <x:v>Existing generic geotextile benchmark is independent high-side challenge only</x:v>
      </x:c>
      <x:c r="N64" s="26" t="str">
        <x:v>AMBER</x:v>
      </x:c>
      <x:c r="O64" s="26" t="str">
        <x:v>One 95m2 roll covers 49m2 entrance + overlaps/cuts</x:v>
      </x:c>
      <x:c r="P64" s="26" t="str">
        <x:v>PASS</x:v>
      </x:c>
      <x:c r="Q64" s="26" t="n">
        <x:f t="shared" si="1"/>
        <x:v>2</x:v>
      </x:c>
      <x:c r="R64" s="26" t="str">
        <x:f>'Resource Build-Up'!AC63</x:f>
        <x:v>09-Sep-2026</x:v>
      </x:c>
      <x:c r="S64" s="26" t="str">
        <x:f>'Resource Build-Up'!AF63</x:f>
        <x:v>AMBER - current primary / final grade confirmation</x:v>
      </x:c>
      <x:c r="T64" s="99" t="str">
        <x:v>AMBER - specification/delivery quote required</x:v>
      </x:c>
      <x:c r="U64" s="26" t="str">
        <x:v>Confirm approved geotextile grade before order.</x:v>
      </x:c>
      <x:c r="V64" s="26" t="str">
        <x:f>'Resource Build-Up'!AG63</x:f>
        <x:v>One 95m2 roll covers 49m2 entrance with overlap/cut reserve.</x:v>
      </x:c>
    </x:row>
    <x:row r="65" ht="32.400001525878906" customHeight="1">
      <x:c r="A65" s="98" t="s">
        <x:v>576</x:v>
      </x:c>
      <x:c r="B65" s="98" t="str">
        <x:f>'Resource Build-Up'!A64</x:f>
        <x:v>ESC01-010</x:v>
      </x:c>
      <x:c r="C65" s="98" t="str">
        <x:f>'Resource Build-Up'!B64</x:f>
        <x:v>ESC01</x:v>
      </x:c>
      <x:c r="D65" s="26" t="str">
        <x:f>'Resource Build-Up'!C64</x:f>
        <x:v>Erosion &amp; Sediment Control</x:v>
      </x:c>
      <x:c r="E65" s="26" t="str">
        <x:f>'Resource Build-Up'!H64</x:f>
        <x:v>Stabilised-entrance 50-150mm aggregate</x:v>
      </x:c>
      <x:c r="F65" s="26" t="str">
        <x:f>'Resource Build-Up'!P64</x:f>
        <x:v>MAT-ESC-AGG15050</x:v>
      </x:c>
      <x:c r="G65" s="26" t="str">
        <x:f>'Resource Build-Up'!Q64</x:f>
        <x:v>SGC 150/50 aggregate - stabilised entrance size control</x:v>
      </x:c>
      <x:c r="H65" s="26" t="str">
        <x:f>'Resource Build-Up'!T64</x:f>
        <x:v>t</x:v>
      </x:c>
      <x:c r="I65" s="44" t="n">
        <x:f>'Resource Build-Up'!Y64</x:f>
        <x:v>42</x:v>
      </x:c>
      <x:c r="J65" s="44" t="n">
        <x:f>'Resource Build-Up'!Z64</x:f>
        <x:v>324.135</x:v>
      </x:c>
      <x:c r="K65" s="26" t="str">
        <x:v>Landing Quarry SGC150/50 $42/t; density 1.05t/m3</x:v>
      </x:c>
      <x:c r="L65" s="26" t="str">
        <x:v>AMBER</x:v>
      </x:c>
      <x:c r="M65" s="26" t="str">
        <x:v>DWG241 requires 50-150mm washed aggregate; published page does not say washed</x:v>
      </x:c>
      <x:c r="N65" s="26" t="str">
        <x:v>AMBER</x:v>
      </x:c>
      <x:c r="O65" s="26" t="str">
        <x:v>49m2 x0.15m=7.35m3 x1.05=7.72t</x:v>
      </x:c>
      <x:c r="P65" s="26" t="str">
        <x:v>PASS</x:v>
      </x:c>
      <x:c r="Q65" s="26" t="n">
        <x:f t="shared" si="1"/>
        <x:v>1</x:v>
      </x:c>
      <x:c r="R65" s="26" t="str">
        <x:f>'Resource Build-Up'!AC64</x:f>
        <x:v>09-Sep-2026</x:v>
      </x:c>
      <x:c r="S65" s="26" t="str">
        <x:f>'Resource Build-Up'!AF64</x:f>
        <x:v>AMBER - exact size current / washed status and delivery open</x:v>
      </x:c>
      <x:c r="T65" s="101" t="str">
        <x:v>AMBER - specification/delivery quote required</x:v>
      </x:c>
      <x:c r="U65" s="26" t="str">
        <x:v>Obtain delivered washed-aggregate confirmation.</x:v>
      </x:c>
      <x:c r="V65" s="26" t="str">
        <x:f>'Resource Build-Up'!AG64</x:f>
        <x:v>49m2 x0.15m = 7.35m3 x1.05t/m3 = 7.72t.</x:v>
      </x:c>
    </x:row>
    <x:row r="66" ht="32.400001525878906" customHeight="1">
      <x:c r="A66" s="98" t="s">
        <x:v>577</x:v>
      </x:c>
      <x:c r="B66" s="98" t="str">
        <x:f>'Resource Build-Up'!A65</x:f>
        <x:v>ESC01-011</x:v>
      </x:c>
      <x:c r="C66" s="98" t="str">
        <x:f>'Resource Build-Up'!B65</x:f>
        <x:v>ESC01</x:v>
      </x:c>
      <x:c r="D66" s="26" t="str">
        <x:f>'Resource Build-Up'!C65</x:f>
        <x:v>Erosion &amp; Sediment Control</x:v>
      </x:c>
      <x:c r="E66" s="26" t="str">
        <x:f>'Resource Build-Up'!H65</x:f>
        <x:v>Stabilised-entrance aggregate delivery/cartage proxy</x:v>
      </x:c>
      <x:c r="F66" s="26" t="str">
        <x:f>'Resource Build-Up'!P65</x:f>
        <x:v>OTH-PLANT-TRANSPORT-PROXY</x:v>
      </x:c>
      <x:c r="G66" s="26" t="str">
        <x:f>'Resource Build-Up'!Q65</x:f>
        <x:v>Plant mobilisation / transporter wet-hire proxy</x:v>
      </x:c>
      <x:c r="H66" s="26" t="str">
        <x:f>'Resource Build-Up'!T65</x:f>
        <x:v>hr</x:v>
      </x:c>
      <x:c r="I66" s="44" t="n">
        <x:f>'Resource Build-Up'!Y65</x:f>
        <x:v>175</x:v>
      </x:c>
      <x:c r="J66" s="44" t="n">
        <x:f>'Resource Build-Up'!Z65</x:f>
        <x:v>437.5</x:v>
      </x:c>
      <x:c r="K66" s="26" t="str">
        <x:v>Current $175/hr transport proxy</x:v>
      </x:c>
      <x:c r="L66" s="26" t="str">
        <x:v>AMBER</x:v>
      </x:c>
      <x:c r="M66" s="26" t="str">
        <x:v>Actual delivered aggregate/cartage quote not held</x:v>
      </x:c>
      <x:c r="N66" s="26" t="str">
        <x:v>AMBER</x:v>
      </x:c>
      <x:c r="O66" s="26" t="str">
        <x:v>2.5h x $175/hr; one delivery path only</x:v>
      </x:c>
      <x:c r="P66" s="26" t="str">
        <x:v>AMBER</x:v>
      </x:c>
      <x:c r="Q66" s="26" t="n">
        <x:f t="shared" si="1"/>
        <x:v>1</x:v>
      </x:c>
      <x:c r="R66" s="26" t="str">
        <x:f>'Resource Build-Up'!AC65</x:f>
        <x:v>09-Sep-2026</x:v>
      </x:c>
      <x:c r="S66" s="26" t="str">
        <x:f>'Resource Build-Up'!AF65</x:f>
        <x:v>AMBER - transport proxy</x:v>
      </x:c>
      <x:c r="T66" s="101" t="str">
        <x:v>AMBER - explicit allowance; second evidence required</x:v>
      </x:c>
      <x:c r="U66" s="26" t="str">
        <x:v>Replace with supplier delivered freight and remove proxy if included.</x:v>
      </x:c>
      <x:c r="V66" s="26" t="str">
        <x:f>'Resource Build-Up'!AG65</x:f>
        <x:v>2.5h x current $175/hr transport proxy; remove if supplier delivered rate includes freight.</x:v>
      </x:c>
    </x:row>
    <x:row r="67" ht="32.400001525878906" customHeight="1">
      <x:c r="A67" s="98" t="s">
        <x:v>578</x:v>
      </x:c>
      <x:c r="B67" s="98" t="str">
        <x:f>'Resource Build-Up'!A66</x:f>
        <x:v>ESC01-012</x:v>
      </x:c>
      <x:c r="C67" s="98" t="str">
        <x:f>'Resource Build-Up'!B66</x:f>
        <x:v>ESC01</x:v>
      </x:c>
      <x:c r="D67" s="26" t="str">
        <x:f>'Resource Build-Up'!C66</x:f>
        <x:v>Erosion &amp; Sediment Control</x:v>
      </x:c>
      <x:c r="E67" s="26" t="str">
        <x:f>'Resource Build-Up'!H66</x:f>
        <x:v>Stabilised-entrance formation/geotextile/aggregate placement - 5.5t excavator</x:v>
      </x:c>
      <x:c r="F67" s="26" t="str">
        <x:f>'Resource Build-Up'!P66</x:f>
        <x:v>PL-EXC-5</x:v>
      </x:c>
      <x:c r="G67" s="26" t="str">
        <x:f>'Resource Build-Up'!Q66</x:f>
        <x:v>5.5 t excavator wet hire</x:v>
      </x:c>
      <x:c r="H67" s="26" t="str">
        <x:f>'Resource Build-Up'!T66</x:f>
        <x:v>hr</x:v>
      </x:c>
      <x:c r="I67" s="44" t="n">
        <x:f>'Resource Build-Up'!Y66</x:f>
        <x:v>110</x:v>
      </x:c>
      <x:c r="J67" s="44" t="n">
        <x:f>'Resource Build-Up'!Z66</x:f>
        <x:v>440</x:v>
      </x:c>
      <x:c r="K67" s="26" t="str">
        <x:v>Current PL-EXC-5 wet $110/hr incl operator/fuel</x:v>
      </x:c>
      <x:c r="L67" s="26" t="str">
        <x:v>PASS</x:v>
      </x:c>
      <x:c r="M67" s="26" t="str">
        <x:v>ASAP/NZ Machine Hire cross-check embedded</x:v>
      </x:c>
      <x:c r="N67" s="26" t="str">
        <x:v>PASS</x:v>
      </x:c>
      <x:c r="O67" s="26" t="str">
        <x:v>4h small-workfront install; no roller duplicated</x:v>
      </x:c>
      <x:c r="P67" s="26" t="str">
        <x:v>AMBER</x:v>
      </x:c>
      <x:c r="Q67" s="26" t="n">
        <x:f t="shared" si="1"/>
        <x:v>2</x:v>
      </x:c>
      <x:c r="R67" s="26" t="str">
        <x:f>'Resource Build-Up'!AC66</x:f>
        <x:v>09-Sep-2026</x:v>
      </x:c>
      <x:c r="S67" s="26" t="str">
        <x:f>'Resource Build-Up'!AF66</x:f>
        <x:v>AMBER - small-workfront duration allowance</x:v>
      </x:c>
      <x:c r="T67" s="99" t="str">
        <x:v>AMBER - explicit allowance; second evidence required</x:v>
      </x:c>
      <x:c r="U67" s="26" t="str">
        <x:v>Validate actual entrance productivity.</x:v>
      </x:c>
      <x:c r="V67" s="26" t="str">
        <x:f>'Resource Build-Up'!AG66</x:f>
        <x:v>4h for clear/grade, geotextile positioning, aggregate placement and shaping.</x:v>
      </x:c>
    </x:row>
    <x:row r="68" ht="32.400001525878906" customHeight="1">
      <x:c r="A68" s="98" t="s">
        <x:v>579</x:v>
      </x:c>
      <x:c r="B68" s="98" t="str">
        <x:f>'Resource Build-Up'!A67</x:f>
        <x:v>ESC01-013</x:v>
      </x:c>
      <x:c r="C68" s="98" t="str">
        <x:f>'Resource Build-Up'!B67</x:f>
        <x:v>ESC01</x:v>
      </x:c>
      <x:c r="D68" s="26" t="str">
        <x:f>'Resource Build-Up'!C67</x:f>
        <x:v>Erosion &amp; Sediment Control</x:v>
      </x:c>
      <x:c r="E68" s="26" t="str">
        <x:f>'Resource Build-Up'!H67</x:f>
        <x:v>Stabilised-entrance installation support - 2 civil labourers</x:v>
      </x:c>
      <x:c r="F68" s="26" t="str">
        <x:f>'Resource Build-Up'!P67</x:f>
        <x:v>LAB-LABOURER</x:v>
      </x:c>
      <x:c r="G68" s="26" t="str">
        <x:f>'Resource Build-Up'!Q67</x:f>
        <x:v>Civil labourer</x:v>
      </x:c>
      <x:c r="H68" s="26" t="str">
        <x:f>'Resource Build-Up'!T67</x:f>
        <x:v>hr</x:v>
      </x:c>
      <x:c r="I68" s="44" t="n">
        <x:f>'Resource Build-Up'!Y67</x:f>
        <x:v>38</x:v>
      </x:c>
      <x:c r="J68" s="44" t="n">
        <x:f>'Resource Build-Up'!Z67</x:f>
        <x:v>304</x:v>
      </x:c>
      <x:c r="K68" s="26" t="str">
        <x:v>Current civil labourer $38/hr</x:v>
      </x:c>
      <x:c r="L68" s="26" t="str">
        <x:v>AMBER</x:v>
      </x:c>
      <x:c r="M68" s="26" t="str">
        <x:v>Independent Board labour challenge supports magnitude</x:v>
      </x:c>
      <x:c r="N68" s="26" t="str">
        <x:v>PASS</x:v>
      </x:c>
      <x:c r="O68" s="26" t="str">
        <x:v>2 labourers x4h; operator is included in wet hire</x:v>
      </x:c>
      <x:c r="P68" s="26" t="str">
        <x:v>PASS</x:v>
      </x:c>
      <x:c r="Q68" s="26" t="n">
        <x:f t="shared" si="1"/>
        <x:v>2</x:v>
      </x:c>
      <x:c r="R68" s="26" t="str">
        <x:f>'Resource Build-Up'!AC67</x:f>
        <x:v>09-Sep-2026</x:v>
      </x:c>
      <x:c r="S68" s="26" t="str">
        <x:f>'Resource Build-Up'!AF67</x:f>
        <x:v>AMBER - labour rate / duration allowance</x:v>
      </x:c>
      <x:c r="T68" s="99" t="str">
        <x:v>AMBER - company cost rate required</x:v>
      </x:c>
      <x:c r="U68" s="26" t="str">
        <x:v>Replace with Siteworks actual cost when provided.</x:v>
      </x:c>
      <x:c r="V68" s="26" t="str">
        <x:f>'Resource Build-Up'!AG67</x:f>
        <x:v>Two labourers for geotextile handling, edge treatment and final clean. Wet-hire machine carries operator/fuel.</x:v>
      </x:c>
    </x:row>
    <x:row r="69" ht="32.400001525878906" customHeight="1">
      <x:c r="A69" s="98" t="s">
        <x:v>580</x:v>
      </x:c>
      <x:c r="B69" s="98" t="str">
        <x:f>'Resource Build-Up'!A68</x:f>
        <x:v>ESC01-014</x:v>
      </x:c>
      <x:c r="C69" s="98" t="str">
        <x:f>'Resource Build-Up'!B68</x:f>
        <x:v>ESC01</x:v>
      </x:c>
      <x:c r="D69" s="26" t="str">
        <x:f>'Resource Build-Up'!C68</x:f>
        <x:v>Erosion &amp; Sediment Control</x:v>
      </x:c>
      <x:c r="E69" s="26" t="str">
        <x:f>'Resource Build-Up'!H68</x:f>
        <x:v>Physical ESC maintenance / minor repair labour</x:v>
      </x:c>
      <x:c r="F69" s="26" t="str">
        <x:f>'Resource Build-Up'!P68</x:f>
        <x:v>LAB-LABOURER</x:v>
      </x:c>
      <x:c r="G69" s="26" t="str">
        <x:f>'Resource Build-Up'!Q68</x:f>
        <x:v>Civil labourer</x:v>
      </x:c>
      <x:c r="H69" s="26" t="str">
        <x:f>'Resource Build-Up'!T68</x:f>
        <x:v>hr</x:v>
      </x:c>
      <x:c r="I69" s="44" t="n">
        <x:f>'Resource Build-Up'!Y68</x:f>
        <x:v>38</x:v>
      </x:c>
      <x:c r="J69" s="44" t="n">
        <x:f>'Resource Build-Up'!Z68</x:f>
        <x:v>456</x:v>
      </x:c>
      <x:c r="K69" s="26" t="str">
        <x:v>Current civil labourer $38/hr</x:v>
      </x:c>
      <x:c r="L69" s="26" t="str">
        <x:v>AMBER</x:v>
      </x:c>
      <x:c r="M69" s="26" t="str">
        <x:v>Stamped plan requires weekly/post-rain monitoring; PG01 covers inspection supervision</x:v>
      </x:c>
      <x:c r="N69" s="26" t="str">
        <x:v>PASS</x:v>
      </x:c>
      <x:c r="O69" s="26" t="str">
        <x:v>12h physical-maintenance allowance distinct from PG01 inspection; spare materials already bought</x:v>
      </x:c>
      <x:c r="P69" s="26" t="str">
        <x:v>AMBER</x:v>
      </x:c>
      <x:c r="Q69" s="26" t="n">
        <x:f t="shared" si="1"/>
        <x:v>2</x:v>
      </x:c>
      <x:c r="R69" s="26" t="str">
        <x:f>'Resource Build-Up'!AC68</x:f>
        <x:v>09-Sep-2026</x:v>
      </x:c>
      <x:c r="S69" s="26" t="str">
        <x:f>'Resource Build-Up'!AF68</x:f>
        <x:v>AMBER - normal physical-maintenance allowance</x:v>
      </x:c>
      <x:c r="T69" s="100" t="str">
        <x:v>AMBER - explicit allowance; second evidence required</x:v>
      </x:c>
      <x:c r="U69" s="26" t="str">
        <x:v>Capture actual maintenance hours for knowledge loop.</x:v>
      </x:c>
      <x:c r="V69" s="26" t="str">
        <x:f>'Resource Build-Up'!AG68</x:f>
        <x:v>12 labour-hours for physical maintenance/minor repair. Routine inspection/supervision remains within PG01.</x:v>
      </x:c>
    </x:row>
    <x:row r="70" ht="32.400001525878906" customHeight="1">
      <x:c r="A70" s="98" t="s">
        <x:v>581</x:v>
      </x:c>
      <x:c r="B70" s="98" t="str">
        <x:f>'Resource Build-Up'!A69</x:f>
        <x:v>ESC01-015</x:v>
      </x:c>
      <x:c r="C70" s="98" t="str">
        <x:f>'Resource Build-Up'!B69</x:f>
        <x:v>ESC01</x:v>
      </x:c>
      <x:c r="D70" s="26" t="str">
        <x:f>'Resource Build-Up'!C69</x:f>
        <x:v>Erosion &amp; Sediment Control</x:v>
      </x:c>
      <x:c r="E70" s="26" t="str">
        <x:f>'Resource Build-Up'!H69</x:f>
        <x:v>Silt-fence removal / trench reinstatement - 1.7t excavator</x:v>
      </x:c>
      <x:c r="F70" s="26" t="str">
        <x:f>'Resource Build-Up'!P69</x:f>
        <x:v>PL-EXC-1.7</x:v>
      </x:c>
      <x:c r="G70" s="26" t="str">
        <x:f>'Resource Build-Up'!Q69</x:f>
        <x:v>1.7 t excavator wet hire</x:v>
      </x:c>
      <x:c r="H70" s="26" t="str">
        <x:f>'Resource Build-Up'!T69</x:f>
        <x:v>hr</x:v>
      </x:c>
      <x:c r="I70" s="44" t="n">
        <x:f>'Resource Build-Up'!Y69</x:f>
        <x:v>85</x:v>
      </x:c>
      <x:c r="J70" s="44" t="n">
        <x:f>'Resource Build-Up'!Z69</x:f>
        <x:v>497.83475103018475</x:v>
      </x:c>
      <x:c r="K70" s="26" t="str">
        <x:v>Current PL-EXC-1.7 wet $85/hr</x:v>
      </x:c>
      <x:c r="L70" s="26" t="str">
        <x:v>PASS</x:v>
      </x:c>
      <x:c r="M70" s="26" t="str">
        <x:v>Published wet-hire cross-check embedded</x:v>
      </x:c>
      <x:c r="N70" s="26" t="str">
        <x:v>PASS</x:v>
      </x:c>
      <x:c r="O70" s="26" t="str">
        <x:v>234.3m/40m/hr=5.86h</x:v>
      </x:c>
      <x:c r="P70" s="26" t="str">
        <x:v>AMBER</x:v>
      </x:c>
      <x:c r="Q70" s="26" t="n">
        <x:f t="shared" si="1"/>
        <x:v>2</x:v>
      </x:c>
      <x:c r="R70" s="26" t="str">
        <x:f>'Resource Build-Up'!AC69</x:f>
        <x:v>09-Sep-2026</x:v>
      </x:c>
      <x:c r="S70" s="26" t="str">
        <x:f>'Resource Build-Up'!AF69</x:f>
        <x:v>AMBER - first-principles removal productivity</x:v>
      </x:c>
      <x:c r="T70" s="99" t="str">
        <x:v>AMBER - explicit allowance; second evidence required</x:v>
      </x:c>
      <x:c r="U70" s="26" t="str">
        <x:v>Validate actual removal production.</x:v>
      </x:c>
      <x:c r="V70" s="26" t="str">
        <x:f>'Resource Build-Up'!AG69</x:f>
        <x:v>234.3m / 40m/hr = 5.86h.</x:v>
      </x:c>
    </x:row>
    <x:row r="71" ht="32.400001525878906" customHeight="1">
      <x:c r="A71" s="98" t="s">
        <x:v>582</x:v>
      </x:c>
      <x:c r="B71" s="98" t="str">
        <x:f>'Resource Build-Up'!A70</x:f>
        <x:v>ESC01-016</x:v>
      </x:c>
      <x:c r="C71" s="98" t="str">
        <x:f>'Resource Build-Up'!B70</x:f>
        <x:v>ESC01</x:v>
      </x:c>
      <x:c r="D71" s="26" t="str">
        <x:f>'Resource Build-Up'!C70</x:f>
        <x:v>Erosion &amp; Sediment Control</x:v>
      </x:c>
      <x:c r="E71" s="26" t="str">
        <x:f>'Resource Build-Up'!H70</x:f>
        <x:v>Silt-fence removal / cleanup - 2 civil labourers</x:v>
      </x:c>
      <x:c r="F71" s="26" t="str">
        <x:f>'Resource Build-Up'!P70</x:f>
        <x:v>LAB-LABOURER</x:v>
      </x:c>
      <x:c r="G71" s="26" t="str">
        <x:f>'Resource Build-Up'!Q70</x:f>
        <x:v>Civil labourer</x:v>
      </x:c>
      <x:c r="H71" s="26" t="str">
        <x:f>'Resource Build-Up'!T70</x:f>
        <x:v>hr</x:v>
      </x:c>
      <x:c r="I71" s="44" t="n">
        <x:f>'Resource Build-Up'!Y70</x:f>
        <x:v>38</x:v>
      </x:c>
      <x:c r="J71" s="44" t="n">
        <x:f>'Resource Build-Up'!Z70</x:f>
        <x:v>445.122836215224</x:v>
      </x:c>
      <x:c r="K71" s="26" t="str">
        <x:v>Current civil labourer $38/hr</x:v>
      </x:c>
      <x:c r="L71" s="26" t="str">
        <x:v>AMBER</x:v>
      </x:c>
      <x:c r="M71" s="26" t="str">
        <x:v>Independent Board labour challenge supports magnitude</x:v>
      </x:c>
      <x:c r="N71" s="26" t="str">
        <x:v>PASS</x:v>
      </x:c>
      <x:c r="O71" s="26" t="str">
        <x:v>2 labourers x 5.86h with wet-hire operator</x:v>
      </x:c>
      <x:c r="P71" s="26" t="str">
        <x:v>PASS</x:v>
      </x:c>
      <x:c r="Q71" s="26" t="n">
        <x:f t="shared" si="1"/>
        <x:v>2</x:v>
      </x:c>
      <x:c r="R71" s="26" t="str">
        <x:f>'Resource Build-Up'!AC70</x:f>
        <x:v>09-Sep-2026</x:v>
      </x:c>
      <x:c r="S71" s="26" t="str">
        <x:f>'Resource Build-Up'!AF70</x:f>
        <x:v>AMBER - first-principles removal productivity</x:v>
      </x:c>
      <x:c r="T71" s="101" t="str">
        <x:v>AMBER - company cost rate required</x:v>
      </x:c>
      <x:c r="U71" s="26" t="str">
        <x:v>Replace with Siteworks actual cost when provided.</x:v>
      </x:c>
      <x:c r="V71" s="26" t="str">
        <x:f>'Resource Build-Up'!AG70</x:f>
        <x:v>Two labourers for 5.86h alongside wet-hire excavator/operator.</x:v>
      </x:c>
    </x:row>
    <x:row r="72" ht="32.400001525878906" customHeight="1">
      <x:c r="A72" s="98" t="s">
        <x:v>583</x:v>
      </x:c>
      <x:c r="B72" s="98" t="n">
        <x:f>'Resource Build-Up'!A71</x:f>
        <x:v>0</x:v>
      </x:c>
      <x:c r="C72" s="98" t="n">
        <x:f>'Resource Build-Up'!B71</x:f>
        <x:v>0</x:v>
      </x:c>
      <x:c r="D72" s="26" t="str">
        <x:f>'Resource Build-Up'!C71</x:f>
      </x:c>
      <x:c r="E72" s="26" t="n">
        <x:f>'Resource Build-Up'!H71</x:f>
        <x:v>0</x:v>
      </x:c>
      <x:c r="F72" s="26" t="n">
        <x:f>'Resource Build-Up'!P71</x:f>
        <x:v>0</x:v>
      </x:c>
      <x:c r="G72" s="26" t="n">
        <x:f>'Resource Build-Up'!Q71</x:f>
        <x:v>0</x:v>
      </x:c>
      <x:c r="H72" s="26" t="n">
        <x:f>'Resource Build-Up'!T71</x:f>
        <x:v>0</x:v>
      </x:c>
      <x:c r="I72" s="44" t="n">
        <x:f>'Resource Build-Up'!Y71</x:f>
        <x:v>0</x:v>
      </x:c>
      <x:c r="J72" s="44" t="str">
        <x:f>'Resource Build-Up'!Z71</x:f>
      </x:c>
      <x:c r="K72" s="26"/>
      <x:c r="L72" s="26"/>
      <x:c r="M72" s="26"/>
      <x:c r="N72" s="26"/>
      <x:c r="O72" s="26"/>
      <x:c r="P72" s="26"/>
      <x:c r="Q72" s="26" t="n">
        <x:f t="shared" ref="Q72:Q103" si="2">COUNTIF(L72,"PASS")+COUNTIF(N72,"PASS")+COUNTIF(P72,"PASS")</x:f>
        <x:v>0</x:v>
      </x:c>
      <x:c r="R72" s="26" t="n">
        <x:f>'Resource Build-Up'!AC71</x:f>
        <x:v>0</x:v>
      </x:c>
      <x:c r="S72" s="26" t="n">
        <x:f>'Resource Build-Up'!AF71</x:f>
        <x:v>0</x:v>
      </x:c>
      <x:c r="T72" s="99"/>
      <x:c r="U72" s="26"/>
      <x:c r="V72" s="26" t="n">
        <x:f>'Resource Build-Up'!AG71</x:f>
        <x:v>0</x:v>
      </x:c>
    </x:row>
    <x:row r="73" ht="32.400001525878906" customHeight="1">
      <x:c r="A73" s="98" t="s">
        <x:v>584</x:v>
      </x:c>
      <x:c r="B73" s="98" t="n">
        <x:f>'Resource Build-Up'!A72</x:f>
        <x:v>0</x:v>
      </x:c>
      <x:c r="C73" s="98" t="n">
        <x:f>'Resource Build-Up'!B72</x:f>
        <x:v>0</x:v>
      </x:c>
      <x:c r="D73" s="26" t="str">
        <x:f>'Resource Build-Up'!C72</x:f>
      </x:c>
      <x:c r="E73" s="26" t="n">
        <x:f>'Resource Build-Up'!H72</x:f>
        <x:v>0</x:v>
      </x:c>
      <x:c r="F73" s="26" t="n">
        <x:f>'Resource Build-Up'!P72</x:f>
        <x:v>0</x:v>
      </x:c>
      <x:c r="G73" s="26" t="n">
        <x:f>'Resource Build-Up'!Q72</x:f>
        <x:v>0</x:v>
      </x:c>
      <x:c r="H73" s="26" t="n">
        <x:f>'Resource Build-Up'!T72</x:f>
        <x:v>0</x:v>
      </x:c>
      <x:c r="I73" s="44" t="n">
        <x:f>'Resource Build-Up'!Y72</x:f>
        <x:v>0</x:v>
      </x:c>
      <x:c r="J73" s="44" t="str">
        <x:f>'Resource Build-Up'!Z72</x:f>
      </x:c>
      <x:c r="K73" s="26"/>
      <x:c r="L73" s="26"/>
      <x:c r="M73" s="26"/>
      <x:c r="N73" s="26"/>
      <x:c r="O73" s="26"/>
      <x:c r="P73" s="26"/>
      <x:c r="Q73" s="26">
        <x:f t="shared" si="2"/>
        <x:v>2</x:v>
      </x:c>
      <x:c r="R73" s="26" t="n">
        <x:f>'Resource Build-Up'!AC72</x:f>
        <x:v>0</x:v>
      </x:c>
      <x:c r="S73" s="26" t="n">
        <x:f>'Resource Build-Up'!AF72</x:f>
        <x:v>0</x:v>
      </x:c>
      <x:c r="T73" s="99"/>
      <x:c r="U73" s="26"/>
      <x:c r="V73" s="26" t="n">
        <x:f>'Resource Build-Up'!AG72</x:f>
        <x:v>0</x:v>
      </x:c>
    </x:row>
    <x:row r="74" ht="32.400001525878906" customHeight="1">
      <x:c r="A74" s="98" t="s">
        <x:v>585</x:v>
      </x:c>
      <x:c r="B74" s="98" t="n">
        <x:f>'Resource Build-Up'!A73</x:f>
        <x:v>0</x:v>
      </x:c>
      <x:c r="C74" s="98" t="n">
        <x:f>'Resource Build-Up'!B73</x:f>
        <x:v>0</x:v>
      </x:c>
      <x:c r="D74" s="26" t="str">
        <x:f>'Resource Build-Up'!C73</x:f>
      </x:c>
      <x:c r="E74" s="26" t="n">
        <x:f>'Resource Build-Up'!H73</x:f>
        <x:v>0</x:v>
      </x:c>
      <x:c r="F74" s="26" t="n">
        <x:f>'Resource Build-Up'!P73</x:f>
        <x:v>0</x:v>
      </x:c>
      <x:c r="G74" s="26" t="n">
        <x:f>'Resource Build-Up'!Q73</x:f>
        <x:v>0</x:v>
      </x:c>
      <x:c r="H74" s="26" t="n">
        <x:f>'Resource Build-Up'!T73</x:f>
        <x:v>0</x:v>
      </x:c>
      <x:c r="I74" s="44" t="n">
        <x:f>'Resource Build-Up'!Y73</x:f>
        <x:v>0</x:v>
      </x:c>
      <x:c r="J74" s="44" t="str">
        <x:f>'Resource Build-Up'!Z73</x:f>
      </x:c>
      <x:c r="K74" s="26"/>
      <x:c r="L74" s="26"/>
      <x:c r="M74" s="26"/>
      <x:c r="N74" s="26"/>
      <x:c r="O74" s="26"/>
      <x:c r="P74" s="26"/>
      <x:c r="Q74" s="26">
        <x:f t="shared" si="2"/>
        <x:v>1</x:v>
      </x:c>
      <x:c r="R74" s="26" t="n">
        <x:f>'Resource Build-Up'!AC73</x:f>
        <x:v>0</x:v>
      </x:c>
      <x:c r="S74" s="26" t="n">
        <x:f>'Resource Build-Up'!AF73</x:f>
        <x:v>0</x:v>
      </x:c>
      <x:c r="T74" s="100"/>
      <x:c r="U74" s="26"/>
      <x:c r="V74" s="26" t="n">
        <x:f>'Resource Build-Up'!AG73</x:f>
        <x:v>0</x:v>
      </x:c>
    </x:row>
    <x:row r="75" ht="32.400001525878906" customHeight="1">
      <x:c r="A75" s="98" t="s">
        <x:v>586</x:v>
      </x:c>
      <x:c r="B75" s="98" t="n">
        <x:f>'Resource Build-Up'!A74</x:f>
        <x:v>0</x:v>
      </x:c>
      <x:c r="C75" s="98" t="n">
        <x:f>'Resource Build-Up'!B74</x:f>
        <x:v>0</x:v>
      </x:c>
      <x:c r="D75" s="26" t="str">
        <x:f>'Resource Build-Up'!C74</x:f>
      </x:c>
      <x:c r="E75" s="26" t="n">
        <x:f>'Resource Build-Up'!H74</x:f>
        <x:v>0</x:v>
      </x:c>
      <x:c r="F75" s="26" t="n">
        <x:f>'Resource Build-Up'!P74</x:f>
        <x:v>0</x:v>
      </x:c>
      <x:c r="G75" s="26" t="n">
        <x:f>'Resource Build-Up'!Q74</x:f>
        <x:v>0</x:v>
      </x:c>
      <x:c r="H75" s="26" t="n">
        <x:f>'Resource Build-Up'!T74</x:f>
        <x:v>0</x:v>
      </x:c>
      <x:c r="I75" s="44" t="n">
        <x:f>'Resource Build-Up'!Y74</x:f>
        <x:v>0</x:v>
      </x:c>
      <x:c r="J75" s="44" t="str">
        <x:f>'Resource Build-Up'!Z74</x:f>
      </x:c>
      <x:c r="K75" s="26"/>
      <x:c r="L75" s="26"/>
      <x:c r="M75" s="26"/>
      <x:c r="N75" s="26"/>
      <x:c r="O75" s="26"/>
      <x:c r="P75" s="26"/>
      <x:c r="Q75" s="26">
        <x:f t="shared" si="2"/>
        <x:v>1</x:v>
      </x:c>
      <x:c r="R75" s="26" t="n">
        <x:f>'Resource Build-Up'!AC74</x:f>
        <x:v>0</x:v>
      </x:c>
      <x:c r="S75" s="26" t="n">
        <x:f>'Resource Build-Up'!AF74</x:f>
        <x:v>0</x:v>
      </x:c>
      <x:c r="T75" s="99"/>
      <x:c r="U75" s="26"/>
      <x:c r="V75" s="26" t="n">
        <x:f>'Resource Build-Up'!AG74</x:f>
        <x:v>0</x:v>
      </x:c>
    </x:row>
    <x:row r="76" ht="32.400001525878906" customHeight="1">
      <x:c r="A76" s="98" t="s">
        <x:v>587</x:v>
      </x:c>
      <x:c r="B76" s="98" t="n">
        <x:f>'Resource Build-Up'!A75</x:f>
        <x:v>0</x:v>
      </x:c>
      <x:c r="C76" s="98" t="n">
        <x:f>'Resource Build-Up'!B75</x:f>
        <x:v>0</x:v>
      </x:c>
      <x:c r="D76" s="26" t="str">
        <x:f>'Resource Build-Up'!C75</x:f>
      </x:c>
      <x:c r="E76" s="26" t="n">
        <x:f>'Resource Build-Up'!H75</x:f>
        <x:v>0</x:v>
      </x:c>
      <x:c r="F76" s="26" t="n">
        <x:f>'Resource Build-Up'!P75</x:f>
        <x:v>0</x:v>
      </x:c>
      <x:c r="G76" s="26" t="n">
        <x:f>'Resource Build-Up'!Q75</x:f>
        <x:v>0</x:v>
      </x:c>
      <x:c r="H76" s="26" t="n">
        <x:f>'Resource Build-Up'!T75</x:f>
        <x:v>0</x:v>
      </x:c>
      <x:c r="I76" s="44" t="n">
        <x:f>'Resource Build-Up'!Y75</x:f>
        <x:v>0</x:v>
      </x:c>
      <x:c r="J76" s="44" t="str">
        <x:f>'Resource Build-Up'!Z75</x:f>
      </x:c>
      <x:c r="K76" s="26"/>
      <x:c r="L76" s="26"/>
      <x:c r="M76" s="26"/>
      <x:c r="N76" s="26"/>
      <x:c r="O76" s="26"/>
      <x:c r="P76" s="26"/>
      <x:c r="Q76" s="26">
        <x:f t="shared" si="2"/>
        <x:v>1</x:v>
      </x:c>
      <x:c r="R76" s="26" t="n">
        <x:f>'Resource Build-Up'!AC75</x:f>
        <x:v>0</x:v>
      </x:c>
      <x:c r="S76" s="26" t="n">
        <x:f>'Resource Build-Up'!AF75</x:f>
        <x:v>0</x:v>
      </x:c>
      <x:c r="T76" s="100"/>
      <x:c r="U76" s="26"/>
      <x:c r="V76" s="26" t="n">
        <x:f>'Resource Build-Up'!AG75</x:f>
        <x:v>0</x:v>
      </x:c>
    </x:row>
    <x:row r="77" ht="32.400001525878906" customHeight="1">
      <x:c r="A77" s="98" t="s">
        <x:v>588</x:v>
      </x:c>
      <x:c r="B77" s="98" t="n">
        <x:f>'Resource Build-Up'!A76</x:f>
        <x:v>0</x:v>
      </x:c>
      <x:c r="C77" s="98" t="n">
        <x:f>'Resource Build-Up'!B76</x:f>
        <x:v>0</x:v>
      </x:c>
      <x:c r="D77" s="26" t="str">
        <x:f>'Resource Build-Up'!C76</x:f>
      </x:c>
      <x:c r="E77" s="26" t="n">
        <x:f>'Resource Build-Up'!H76</x:f>
        <x:v>0</x:v>
      </x:c>
      <x:c r="F77" s="26" t="n">
        <x:f>'Resource Build-Up'!P76</x:f>
        <x:v>0</x:v>
      </x:c>
      <x:c r="G77" s="26" t="n">
        <x:f>'Resource Build-Up'!Q76</x:f>
        <x:v>0</x:v>
      </x:c>
      <x:c r="H77" s="26" t="n">
        <x:f>'Resource Build-Up'!T76</x:f>
        <x:v>0</x:v>
      </x:c>
      <x:c r="I77" s="44" t="n">
        <x:f>'Resource Build-Up'!Y76</x:f>
        <x:v>0</x:v>
      </x:c>
      <x:c r="J77" s="44" t="str">
        <x:f>'Resource Build-Up'!Z76</x:f>
      </x:c>
      <x:c r="K77" s="26"/>
      <x:c r="L77" s="26"/>
      <x:c r="M77" s="26"/>
      <x:c r="N77" s="26"/>
      <x:c r="O77" s="26"/>
      <x:c r="P77" s="26"/>
      <x:c r="Q77" s="26">
        <x:f t="shared" si="2"/>
        <x:v>1</x:v>
      </x:c>
      <x:c r="R77" s="26" t="n">
        <x:f>'Resource Build-Up'!AC76</x:f>
        <x:v>0</x:v>
      </x:c>
      <x:c r="S77" s="26" t="n">
        <x:f>'Resource Build-Up'!AF76</x:f>
        <x:v>0</x:v>
      </x:c>
      <x:c r="T77" s="99"/>
      <x:c r="U77" s="26"/>
      <x:c r="V77" s="26" t="n">
        <x:f>'Resource Build-Up'!AG76</x:f>
        <x:v>0</x:v>
      </x:c>
    </x:row>
    <x:row r="78" ht="32.400001525878906" customHeight="1">
      <x:c r="A78" s="98" t="s">
        <x:v>589</x:v>
      </x:c>
      <x:c r="B78" s="98" t="n">
        <x:f>'Resource Build-Up'!A77</x:f>
        <x:v>0</x:v>
      </x:c>
      <x:c r="C78" s="98" t="n">
        <x:f>'Resource Build-Up'!B77</x:f>
        <x:v>0</x:v>
      </x:c>
      <x:c r="D78" s="26" t="str">
        <x:f>'Resource Build-Up'!C77</x:f>
      </x:c>
      <x:c r="E78" s="26" t="n">
        <x:f>'Resource Build-Up'!H77</x:f>
        <x:v>0</x:v>
      </x:c>
      <x:c r="F78" s="26" t="n">
        <x:f>'Resource Build-Up'!P77</x:f>
        <x:v>0</x:v>
      </x:c>
      <x:c r="G78" s="26" t="n">
        <x:f>'Resource Build-Up'!Q77</x:f>
        <x:v>0</x:v>
      </x:c>
      <x:c r="H78" s="26" t="n">
        <x:f>'Resource Build-Up'!T77</x:f>
        <x:v>0</x:v>
      </x:c>
      <x:c r="I78" s="44" t="n">
        <x:f>'Resource Build-Up'!Y77</x:f>
        <x:v>0</x:v>
      </x:c>
      <x:c r="J78" s="44" t="str">
        <x:f>'Resource Build-Up'!Z77</x:f>
      </x:c>
      <x:c r="K78" s="26"/>
      <x:c r="L78" s="26"/>
      <x:c r="M78" s="26"/>
      <x:c r="N78" s="26"/>
      <x:c r="O78" s="26"/>
      <x:c r="P78" s="26"/>
      <x:c r="Q78" s="26">
        <x:f t="shared" si="2"/>
        <x:v>1</x:v>
      </x:c>
      <x:c r="R78" s="26" t="n">
        <x:f>'Resource Build-Up'!AC77</x:f>
        <x:v>0</x:v>
      </x:c>
      <x:c r="S78" s="26" t="n">
        <x:f>'Resource Build-Up'!AF77</x:f>
        <x:v>0</x:v>
      </x:c>
      <x:c r="T78" s="100"/>
      <x:c r="U78" s="26"/>
      <x:c r="V78" s="26" t="n">
        <x:f>'Resource Build-Up'!AG77</x:f>
        <x:v>0</x:v>
      </x:c>
    </x:row>
    <x:row r="79" ht="32.400001525878906" customHeight="1">
      <x:c r="A79" s="98" t="s">
        <x:v>590</x:v>
      </x:c>
      <x:c r="B79" s="98" t="n">
        <x:f>'Resource Build-Up'!A78</x:f>
        <x:v>0</x:v>
      </x:c>
      <x:c r="C79" s="98" t="n">
        <x:f>'Resource Build-Up'!B78</x:f>
        <x:v>0</x:v>
      </x:c>
      <x:c r="D79" s="26" t="str">
        <x:f>'Resource Build-Up'!C78</x:f>
      </x:c>
      <x:c r="E79" s="26" t="n">
        <x:f>'Resource Build-Up'!H78</x:f>
        <x:v>0</x:v>
      </x:c>
      <x:c r="F79" s="26" t="n">
        <x:f>'Resource Build-Up'!P78</x:f>
        <x:v>0</x:v>
      </x:c>
      <x:c r="G79" s="26" t="n">
        <x:f>'Resource Build-Up'!Q78</x:f>
        <x:v>0</x:v>
      </x:c>
      <x:c r="H79" s="26" t="n">
        <x:f>'Resource Build-Up'!T78</x:f>
        <x:v>0</x:v>
      </x:c>
      <x:c r="I79" s="44" t="n">
        <x:f>'Resource Build-Up'!Y78</x:f>
        <x:v>0</x:v>
      </x:c>
      <x:c r="J79" s="44" t="str">
        <x:f>'Resource Build-Up'!Z78</x:f>
      </x:c>
      <x:c r="K79" s="26"/>
      <x:c r="L79" s="26"/>
      <x:c r="M79" s="26"/>
      <x:c r="N79" s="26"/>
      <x:c r="O79" s="26"/>
      <x:c r="P79" s="26"/>
      <x:c r="Q79" s="26">
        <x:f t="shared" si="2"/>
        <x:v>1</x:v>
      </x:c>
      <x:c r="R79" s="26" t="n">
        <x:f>'Resource Build-Up'!AC78</x:f>
        <x:v>0</x:v>
      </x:c>
      <x:c r="S79" s="26" t="n">
        <x:f>'Resource Build-Up'!AF78</x:f>
        <x:v>0</x:v>
      </x:c>
      <x:c r="T79" s="99"/>
      <x:c r="U79" s="26"/>
      <x:c r="V79" s="26" t="n">
        <x:f>'Resource Build-Up'!AG78</x:f>
        <x:v>0</x:v>
      </x:c>
    </x:row>
    <x:row r="80" ht="32.400001525878906" customHeight="1">
      <x:c r="A80" s="98" t="s">
        <x:v>591</x:v>
      </x:c>
      <x:c r="B80" s="98" t="n">
        <x:f>'Resource Build-Up'!A79</x:f>
        <x:v>0</x:v>
      </x:c>
      <x:c r="C80" s="98" t="n">
        <x:f>'Resource Build-Up'!B79</x:f>
        <x:v>0</x:v>
      </x:c>
      <x:c r="D80" s="26" t="str">
        <x:f>'Resource Build-Up'!C79</x:f>
      </x:c>
      <x:c r="E80" s="26" t="n">
        <x:f>'Resource Build-Up'!H79</x:f>
        <x:v>0</x:v>
      </x:c>
      <x:c r="F80" s="26" t="n">
        <x:f>'Resource Build-Up'!P79</x:f>
        <x:v>0</x:v>
      </x:c>
      <x:c r="G80" s="26" t="n">
        <x:f>'Resource Build-Up'!Q79</x:f>
        <x:v>0</x:v>
      </x:c>
      <x:c r="H80" s="26" t="n">
        <x:f>'Resource Build-Up'!T79</x:f>
        <x:v>0</x:v>
      </x:c>
      <x:c r="I80" s="44" t="n">
        <x:f>'Resource Build-Up'!Y79</x:f>
        <x:v>0</x:v>
      </x:c>
      <x:c r="J80" s="44" t="str">
        <x:f>'Resource Build-Up'!Z79</x:f>
      </x:c>
      <x:c r="K80" s="26"/>
      <x:c r="L80" s="26"/>
      <x:c r="M80" s="26"/>
      <x:c r="N80" s="26"/>
      <x:c r="O80" s="26"/>
      <x:c r="P80" s="26"/>
      <x:c r="Q80" s="26">
        <x:f t="shared" si="2"/>
        <x:v>1</x:v>
      </x:c>
      <x:c r="R80" s="26" t="n">
        <x:f>'Resource Build-Up'!AC79</x:f>
        <x:v>0</x:v>
      </x:c>
      <x:c r="S80" s="26" t="n">
        <x:f>'Resource Build-Up'!AF79</x:f>
        <x:v>0</x:v>
      </x:c>
      <x:c r="T80" s="100"/>
      <x:c r="U80" s="26"/>
      <x:c r="V80" s="26" t="n">
        <x:f>'Resource Build-Up'!AG79</x:f>
        <x:v>0</x:v>
      </x:c>
    </x:row>
    <x:row r="81" ht="32.400001525878906" customHeight="1">
      <x:c r="A81" s="98" t="s">
        <x:v>592</x:v>
      </x:c>
      <x:c r="B81" s="98" t="n">
        <x:f>'Resource Build-Up'!A80</x:f>
        <x:v>0</x:v>
      </x:c>
      <x:c r="C81" s="98" t="n">
        <x:f>'Resource Build-Up'!B80</x:f>
        <x:v>0</x:v>
      </x:c>
      <x:c r="D81" s="26" t="str">
        <x:f>'Resource Build-Up'!C80</x:f>
      </x:c>
      <x:c r="E81" s="26" t="n">
        <x:f>'Resource Build-Up'!H80</x:f>
        <x:v>0</x:v>
      </x:c>
      <x:c r="F81" s="26" t="n">
        <x:f>'Resource Build-Up'!P80</x:f>
        <x:v>0</x:v>
      </x:c>
      <x:c r="G81" s="26" t="n">
        <x:f>'Resource Build-Up'!Q80</x:f>
        <x:v>0</x:v>
      </x:c>
      <x:c r="H81" s="26" t="n">
        <x:f>'Resource Build-Up'!T80</x:f>
        <x:v>0</x:v>
      </x:c>
      <x:c r="I81" s="44" t="n">
        <x:f>'Resource Build-Up'!Y80</x:f>
        <x:v>0</x:v>
      </x:c>
      <x:c r="J81" s="44" t="str">
        <x:f>'Resource Build-Up'!Z80</x:f>
      </x:c>
      <x:c r="K81" s="26"/>
      <x:c r="L81" s="26"/>
      <x:c r="M81" s="26"/>
      <x:c r="N81" s="26"/>
      <x:c r="O81" s="26"/>
      <x:c r="P81" s="26"/>
      <x:c r="Q81" s="26">
        <x:f t="shared" si="2"/>
        <x:v>1</x:v>
      </x:c>
      <x:c r="R81" s="26" t="n">
        <x:f>'Resource Build-Up'!AC80</x:f>
        <x:v>0</x:v>
      </x:c>
      <x:c r="S81" s="26" t="n">
        <x:f>'Resource Build-Up'!AF80</x:f>
        <x:v>0</x:v>
      </x:c>
      <x:c r="T81" s="99"/>
      <x:c r="U81" s="26"/>
      <x:c r="V81" s="26" t="n">
        <x:f>'Resource Build-Up'!AG80</x:f>
        <x:v>0</x:v>
      </x:c>
    </x:row>
    <x:row r="82" ht="32.400001525878906" customHeight="1">
      <x:c r="A82" s="98" t="s">
        <x:v>593</x:v>
      </x:c>
      <x:c r="B82" s="98" t="n">
        <x:f>'Resource Build-Up'!A81</x:f>
        <x:v>0</x:v>
      </x:c>
      <x:c r="C82" s="98" t="n">
        <x:f>'Resource Build-Up'!B81</x:f>
        <x:v>0</x:v>
      </x:c>
      <x:c r="D82" s="26" t="str">
        <x:f>'Resource Build-Up'!C81</x:f>
      </x:c>
      <x:c r="E82" s="26" t="n">
        <x:f>'Resource Build-Up'!H81</x:f>
        <x:v>0</x:v>
      </x:c>
      <x:c r="F82" s="26" t="n">
        <x:f>'Resource Build-Up'!P81</x:f>
        <x:v>0</x:v>
      </x:c>
      <x:c r="G82" s="26" t="n">
        <x:f>'Resource Build-Up'!Q81</x:f>
        <x:v>0</x:v>
      </x:c>
      <x:c r="H82" s="26" t="n">
        <x:f>'Resource Build-Up'!T81</x:f>
        <x:v>0</x:v>
      </x:c>
      <x:c r="I82" s="44" t="n">
        <x:f>'Resource Build-Up'!Y81</x:f>
        <x:v>0</x:v>
      </x:c>
      <x:c r="J82" s="44" t="str">
        <x:f>'Resource Build-Up'!Z81</x:f>
      </x:c>
      <x:c r="K82" s="26"/>
      <x:c r="L82" s="26"/>
      <x:c r="M82" s="26"/>
      <x:c r="N82" s="26"/>
      <x:c r="O82" s="26"/>
      <x:c r="P82" s="26"/>
      <x:c r="Q82" s="26">
        <x:f t="shared" si="2"/>
        <x:v>3</x:v>
      </x:c>
      <x:c r="R82" s="26" t="n">
        <x:f>'Resource Build-Up'!AC81</x:f>
        <x:v>0</x:v>
      </x:c>
      <x:c r="S82" s="26" t="n">
        <x:f>'Resource Build-Up'!AF81</x:f>
        <x:v>0</x:v>
      </x:c>
      <x:c r="T82" s="99"/>
      <x:c r="U82" s="26"/>
      <x:c r="V82" s="26" t="n">
        <x:f>'Resource Build-Up'!AG81</x:f>
        <x:v>0</x:v>
      </x:c>
    </x:row>
    <x:row r="83" ht="32.400001525878906" customHeight="1">
      <x:c r="A83" s="98" t="s">
        <x:v>594</x:v>
      </x:c>
      <x:c r="B83" s="98" t="n">
        <x:f>'Resource Build-Up'!A82</x:f>
        <x:v>0</x:v>
      </x:c>
      <x:c r="C83" s="98" t="n">
        <x:f>'Resource Build-Up'!B82</x:f>
        <x:v>0</x:v>
      </x:c>
      <x:c r="D83" s="26" t="str">
        <x:f>'Resource Build-Up'!C82</x:f>
      </x:c>
      <x:c r="E83" s="26" t="n">
        <x:f>'Resource Build-Up'!H82</x:f>
        <x:v>0</x:v>
      </x:c>
      <x:c r="F83" s="26" t="n">
        <x:f>'Resource Build-Up'!P82</x:f>
        <x:v>0</x:v>
      </x:c>
      <x:c r="G83" s="26" t="n">
        <x:f>'Resource Build-Up'!Q82</x:f>
        <x:v>0</x:v>
      </x:c>
      <x:c r="H83" s="26" t="n">
        <x:f>'Resource Build-Up'!T82</x:f>
        <x:v>0</x:v>
      </x:c>
      <x:c r="I83" s="44" t="n">
        <x:f>'Resource Build-Up'!Y82</x:f>
        <x:v>0</x:v>
      </x:c>
      <x:c r="J83" s="44" t="str">
        <x:f>'Resource Build-Up'!Z82</x:f>
      </x:c>
      <x:c r="K83" s="26"/>
      <x:c r="L83" s="26"/>
      <x:c r="M83" s="26"/>
      <x:c r="N83" s="26"/>
      <x:c r="O83" s="26"/>
      <x:c r="P83" s="26"/>
      <x:c r="Q83" s="26">
        <x:f t="shared" si="2"/>
        <x:v>0</x:v>
      </x:c>
      <x:c r="R83" s="26" t="n">
        <x:f>'Resource Build-Up'!AC82</x:f>
        <x:v>0</x:v>
      </x:c>
      <x:c r="S83" s="26" t="n">
        <x:f>'Resource Build-Up'!AF82</x:f>
        <x:v>0</x:v>
      </x:c>
      <x:c r="T83" s="100"/>
      <x:c r="U83" s="26"/>
      <x:c r="V83" s="26" t="n">
        <x:f>'Resource Build-Up'!AG82</x:f>
        <x:v>0</x:v>
      </x:c>
    </x:row>
    <x:row r="84" ht="32.400001525878906" customHeight="1">
      <x:c r="A84" s="98" t="s">
        <x:v>595</x:v>
      </x:c>
      <x:c r="B84" s="98" t="n">
        <x:f>'Resource Build-Up'!A83</x:f>
        <x:v>0</x:v>
      </x:c>
      <x:c r="C84" s="98" t="n">
        <x:f>'Resource Build-Up'!B83</x:f>
        <x:v>0</x:v>
      </x:c>
      <x:c r="D84" s="26" t="str">
        <x:f>'Resource Build-Up'!C83</x:f>
      </x:c>
      <x:c r="E84" s="26" t="n">
        <x:f>'Resource Build-Up'!H83</x:f>
        <x:v>0</x:v>
      </x:c>
      <x:c r="F84" s="26" t="n">
        <x:f>'Resource Build-Up'!P83</x:f>
        <x:v>0</x:v>
      </x:c>
      <x:c r="G84" s="26" t="n">
        <x:f>'Resource Build-Up'!Q83</x:f>
        <x:v>0</x:v>
      </x:c>
      <x:c r="H84" s="26" t="n">
        <x:f>'Resource Build-Up'!T83</x:f>
        <x:v>0</x:v>
      </x:c>
      <x:c r="I84" s="44" t="n">
        <x:f>'Resource Build-Up'!Y83</x:f>
        <x:v>0</x:v>
      </x:c>
      <x:c r="J84" s="44" t="str">
        <x:f>'Resource Build-Up'!Z83</x:f>
      </x:c>
      <x:c r="K84" s="26"/>
      <x:c r="L84" s="26"/>
      <x:c r="M84" s="26"/>
      <x:c r="N84" s="26"/>
      <x:c r="O84" s="26"/>
      <x:c r="P84" s="26"/>
      <x:c r="Q84" s="26">
        <x:f t="shared" si="2"/>
        <x:v>1</x:v>
      </x:c>
      <x:c r="R84" s="26" t="n">
        <x:f>'Resource Build-Up'!AC83</x:f>
        <x:v>0</x:v>
      </x:c>
      <x:c r="S84" s="26" t="n">
        <x:f>'Resource Build-Up'!AF83</x:f>
        <x:v>0</x:v>
      </x:c>
      <x:c r="T84" s="100"/>
      <x:c r="U84" s="26"/>
      <x:c r="V84" s="26" t="n">
        <x:f>'Resource Build-Up'!AG83</x:f>
        <x:v>0</x:v>
      </x:c>
    </x:row>
    <x:row r="85" ht="32.400001525878906" customHeight="1">
      <x:c r="A85" s="98" t="s">
        <x:v>596</x:v>
      </x:c>
      <x:c r="B85" s="98" t="n">
        <x:f>'Resource Build-Up'!A84</x:f>
        <x:v>0</x:v>
      </x:c>
      <x:c r="C85" s="98" t="n">
        <x:f>'Resource Build-Up'!B84</x:f>
        <x:v>0</x:v>
      </x:c>
      <x:c r="D85" s="26" t="str">
        <x:f>'Resource Build-Up'!C84</x:f>
      </x:c>
      <x:c r="E85" s="26" t="n">
        <x:f>'Resource Build-Up'!H84</x:f>
        <x:v>0</x:v>
      </x:c>
      <x:c r="F85" s="26" t="n">
        <x:f>'Resource Build-Up'!P84</x:f>
        <x:v>0</x:v>
      </x:c>
      <x:c r="G85" s="26" t="n">
        <x:f>'Resource Build-Up'!Q84</x:f>
        <x:v>0</x:v>
      </x:c>
      <x:c r="H85" s="26" t="n">
        <x:f>'Resource Build-Up'!T84</x:f>
        <x:v>0</x:v>
      </x:c>
      <x:c r="I85" s="44" t="n">
        <x:f>'Resource Build-Up'!Y84</x:f>
        <x:v>0</x:v>
      </x:c>
      <x:c r="J85" s="44" t="str">
        <x:f>'Resource Build-Up'!Z84</x:f>
      </x:c>
      <x:c r="K85" s="26"/>
      <x:c r="L85" s="26"/>
      <x:c r="M85" s="26"/>
      <x:c r="N85" s="26"/>
      <x:c r="O85" s="26"/>
      <x:c r="P85" s="26"/>
      <x:c r="Q85" s="26">
        <x:f t="shared" si="2"/>
        <x:v>1</x:v>
      </x:c>
      <x:c r="R85" s="26" t="n">
        <x:f>'Resource Build-Up'!AC84</x:f>
        <x:v>0</x:v>
      </x:c>
      <x:c r="S85" s="26" t="n">
        <x:f>'Resource Build-Up'!AF84</x:f>
        <x:v>0</x:v>
      </x:c>
      <x:c r="T85" s="99"/>
      <x:c r="U85" s="26"/>
      <x:c r="V85" s="26" t="n">
        <x:f>'Resource Build-Up'!AG84</x:f>
        <x:v>0</x:v>
      </x:c>
    </x:row>
    <x:row r="86" ht="32.400001525878906" customHeight="1">
      <x:c r="A86" s="98" t="s">
        <x:v>597</x:v>
      </x:c>
      <x:c r="B86" s="98" t="n">
        <x:f>'Resource Build-Up'!A85</x:f>
        <x:v>0</x:v>
      </x:c>
      <x:c r="C86" s="98" t="n">
        <x:f>'Resource Build-Up'!B85</x:f>
        <x:v>0</x:v>
      </x:c>
      <x:c r="D86" s="26" t="str">
        <x:f>'Resource Build-Up'!C85</x:f>
      </x:c>
      <x:c r="E86" s="26" t="n">
        <x:f>'Resource Build-Up'!H85</x:f>
        <x:v>0</x:v>
      </x:c>
      <x:c r="F86" s="26" t="n">
        <x:f>'Resource Build-Up'!P85</x:f>
        <x:v>0</x:v>
      </x:c>
      <x:c r="G86" s="26" t="n">
        <x:f>'Resource Build-Up'!Q85</x:f>
        <x:v>0</x:v>
      </x:c>
      <x:c r="H86" s="26" t="n">
        <x:f>'Resource Build-Up'!T85</x:f>
        <x:v>0</x:v>
      </x:c>
      <x:c r="I86" s="44" t="n">
        <x:f>'Resource Build-Up'!Y85</x:f>
        <x:v>0</x:v>
      </x:c>
      <x:c r="J86" s="44" t="str">
        <x:f>'Resource Build-Up'!Z85</x:f>
      </x:c>
      <x:c r="K86" s="26"/>
      <x:c r="L86" s="26"/>
      <x:c r="M86" s="26"/>
      <x:c r="N86" s="26"/>
      <x:c r="O86" s="26"/>
      <x:c r="P86" s="26"/>
      <x:c r="Q86" s="26">
        <x:f t="shared" si="2"/>
        <x:v>0</x:v>
      </x:c>
      <x:c r="R86" s="26" t="n">
        <x:f>'Resource Build-Up'!AC85</x:f>
        <x:v>0</x:v>
      </x:c>
      <x:c r="S86" s="26" t="n">
        <x:f>'Resource Build-Up'!AF85</x:f>
        <x:v>0</x:v>
      </x:c>
      <x:c r="T86" s="100"/>
      <x:c r="U86" s="26"/>
      <x:c r="V86" s="26" t="n">
        <x:f>'Resource Build-Up'!AG85</x:f>
        <x:v>0</x:v>
      </x:c>
    </x:row>
    <x:row r="87" ht="32.400001525878906" customHeight="1">
      <x:c r="A87" s="98" t="s">
        <x:v>598</x:v>
      </x:c>
      <x:c r="B87" s="98" t="n">
        <x:f>'Resource Build-Up'!A86</x:f>
        <x:v>0</x:v>
      </x:c>
      <x:c r="C87" s="98" t="n">
        <x:f>'Resource Build-Up'!B86</x:f>
        <x:v>0</x:v>
      </x:c>
      <x:c r="D87" s="26" t="str">
        <x:f>'Resource Build-Up'!C86</x:f>
      </x:c>
      <x:c r="E87" s="26" t="n">
        <x:f>'Resource Build-Up'!H86</x:f>
        <x:v>0</x:v>
      </x:c>
      <x:c r="F87" s="26" t="n">
        <x:f>'Resource Build-Up'!P86</x:f>
        <x:v>0</x:v>
      </x:c>
      <x:c r="G87" s="26" t="n">
        <x:f>'Resource Build-Up'!Q86</x:f>
        <x:v>0</x:v>
      </x:c>
      <x:c r="H87" s="26" t="n">
        <x:f>'Resource Build-Up'!T86</x:f>
        <x:v>0</x:v>
      </x:c>
      <x:c r="I87" s="44" t="n">
        <x:f>'Resource Build-Up'!Y86</x:f>
        <x:v>0</x:v>
      </x:c>
      <x:c r="J87" s="44" t="str">
        <x:f>'Resource Build-Up'!Z86</x:f>
      </x:c>
      <x:c r="K87" s="26"/>
      <x:c r="L87" s="26"/>
      <x:c r="M87" s="26"/>
      <x:c r="N87" s="26"/>
      <x:c r="O87" s="26"/>
      <x:c r="P87" s="26"/>
      <x:c r="Q87" s="26">
        <x:f t="shared" si="2"/>
        <x:v>0</x:v>
      </x:c>
      <x:c r="R87" s="26" t="n">
        <x:f>'Resource Build-Up'!AC86</x:f>
        <x:v>0</x:v>
      </x:c>
      <x:c r="S87" s="26" t="n">
        <x:f>'Resource Build-Up'!AF86</x:f>
        <x:v>0</x:v>
      </x:c>
      <x:c r="T87" s="100"/>
      <x:c r="U87" s="26"/>
      <x:c r="V87" s="26" t="n">
        <x:f>'Resource Build-Up'!AG86</x:f>
        <x:v>0</x:v>
      </x:c>
    </x:row>
    <x:row r="88" ht="32.400001525878906" customHeight="1">
      <x:c r="A88" s="98" t="s">
        <x:v>599</x:v>
      </x:c>
      <x:c r="B88" s="98" t="n">
        <x:f>'Resource Build-Up'!A87</x:f>
        <x:v>0</x:v>
      </x:c>
      <x:c r="C88" s="98" t="n">
        <x:f>'Resource Build-Up'!B87</x:f>
        <x:v>0</x:v>
      </x:c>
      <x:c r="D88" s="26" t="str">
        <x:f>'Resource Build-Up'!C87</x:f>
      </x:c>
      <x:c r="E88" s="26" t="n">
        <x:f>'Resource Build-Up'!H87</x:f>
        <x:v>0</x:v>
      </x:c>
      <x:c r="F88" s="26" t="n">
        <x:f>'Resource Build-Up'!P87</x:f>
        <x:v>0</x:v>
      </x:c>
      <x:c r="G88" s="26" t="n">
        <x:f>'Resource Build-Up'!Q87</x:f>
        <x:v>0</x:v>
      </x:c>
      <x:c r="H88" s="26" t="n">
        <x:f>'Resource Build-Up'!T87</x:f>
        <x:v>0</x:v>
      </x:c>
      <x:c r="I88" s="44" t="n">
        <x:f>'Resource Build-Up'!Y87</x:f>
        <x:v>0</x:v>
      </x:c>
      <x:c r="J88" s="44" t="str">
        <x:f>'Resource Build-Up'!Z87</x:f>
      </x:c>
      <x:c r="K88" s="26"/>
      <x:c r="L88" s="26"/>
      <x:c r="M88" s="26"/>
      <x:c r="N88" s="26"/>
      <x:c r="O88" s="26"/>
      <x:c r="P88" s="26"/>
      <x:c r="Q88" s="26">
        <x:f t="shared" si="2"/>
        <x:v>1</x:v>
      </x:c>
      <x:c r="R88" s="26" t="n">
        <x:f>'Resource Build-Up'!AC87</x:f>
        <x:v>0</x:v>
      </x:c>
      <x:c r="S88" s="26" t="n">
        <x:f>'Resource Build-Up'!AF87</x:f>
        <x:v>0</x:v>
      </x:c>
      <x:c r="T88" s="100"/>
      <x:c r="U88" s="26"/>
      <x:c r="V88" s="26" t="n">
        <x:f>'Resource Build-Up'!AG87</x:f>
        <x:v>0</x:v>
      </x:c>
    </x:row>
    <x:row r="89" ht="32.400001525878906" customHeight="1">
      <x:c r="A89" s="98" t="s">
        <x:v>600</x:v>
      </x:c>
      <x:c r="B89" s="98" t="n">
        <x:f>'Resource Build-Up'!A88</x:f>
        <x:v>0</x:v>
      </x:c>
      <x:c r="C89" s="98" t="n">
        <x:f>'Resource Build-Up'!B88</x:f>
        <x:v>0</x:v>
      </x:c>
      <x:c r="D89" s="26" t="str">
        <x:f>'Resource Build-Up'!C88</x:f>
      </x:c>
      <x:c r="E89" s="26" t="n">
        <x:f>'Resource Build-Up'!H88</x:f>
        <x:v>0</x:v>
      </x:c>
      <x:c r="F89" s="26" t="n">
        <x:f>'Resource Build-Up'!P88</x:f>
        <x:v>0</x:v>
      </x:c>
      <x:c r="G89" s="26" t="n">
        <x:f>'Resource Build-Up'!Q88</x:f>
        <x:v>0</x:v>
      </x:c>
      <x:c r="H89" s="26" t="n">
        <x:f>'Resource Build-Up'!T88</x:f>
        <x:v>0</x:v>
      </x:c>
      <x:c r="I89" s="44" t="n">
        <x:f>'Resource Build-Up'!Y88</x:f>
        <x:v>0</x:v>
      </x:c>
      <x:c r="J89" s="44" t="str">
        <x:f>'Resource Build-Up'!Z88</x:f>
      </x:c>
      <x:c r="K89" s="26"/>
      <x:c r="L89" s="26"/>
      <x:c r="M89" s="26"/>
      <x:c r="N89" s="26"/>
      <x:c r="O89" s="26"/>
      <x:c r="P89" s="26"/>
      <x:c r="Q89" s="26">
        <x:f t="shared" si="2"/>
        <x:v>1</x:v>
      </x:c>
      <x:c r="R89" s="26" t="n">
        <x:f>'Resource Build-Up'!AC88</x:f>
        <x:v>0</x:v>
      </x:c>
      <x:c r="S89" s="26" t="n">
        <x:f>'Resource Build-Up'!AF88</x:f>
        <x:v>0</x:v>
      </x:c>
      <x:c r="T89" s="99"/>
      <x:c r="U89" s="26"/>
      <x:c r="V89" s="26" t="n">
        <x:f>'Resource Build-Up'!AG88</x:f>
        <x:v>0</x:v>
      </x:c>
    </x:row>
    <x:row r="90" ht="32.400001525878906" customHeight="1">
      <x:c r="A90" s="98" t="s">
        <x:v>601</x:v>
      </x:c>
      <x:c r="B90" s="98" t="n">
        <x:f>'Resource Build-Up'!A89</x:f>
        <x:v>0</x:v>
      </x:c>
      <x:c r="C90" s="98" t="n">
        <x:f>'Resource Build-Up'!B89</x:f>
        <x:v>0</x:v>
      </x:c>
      <x:c r="D90" s="26" t="str">
        <x:f>'Resource Build-Up'!C89</x:f>
      </x:c>
      <x:c r="E90" s="26" t="n">
        <x:f>'Resource Build-Up'!H89</x:f>
        <x:v>0</x:v>
      </x:c>
      <x:c r="F90" s="26" t="n">
        <x:f>'Resource Build-Up'!P89</x:f>
        <x:v>0</x:v>
      </x:c>
      <x:c r="G90" s="26" t="n">
        <x:f>'Resource Build-Up'!Q89</x:f>
        <x:v>0</x:v>
      </x:c>
      <x:c r="H90" s="26" t="n">
        <x:f>'Resource Build-Up'!T89</x:f>
        <x:v>0</x:v>
      </x:c>
      <x:c r="I90" s="44" t="n">
        <x:f>'Resource Build-Up'!Y89</x:f>
        <x:v>0</x:v>
      </x:c>
      <x:c r="J90" s="44" t="str">
        <x:f>'Resource Build-Up'!Z89</x:f>
      </x:c>
      <x:c r="K90" s="26"/>
      <x:c r="L90" s="26"/>
      <x:c r="M90" s="26"/>
      <x:c r="N90" s="26"/>
      <x:c r="O90" s="26"/>
      <x:c r="P90" s="26"/>
      <x:c r="Q90" s="26">
        <x:f t="shared" si="2"/>
        <x:v>0</x:v>
      </x:c>
      <x:c r="R90" s="26" t="n">
        <x:f>'Resource Build-Up'!AC89</x:f>
        <x:v>0</x:v>
      </x:c>
      <x:c r="S90" s="26" t="n">
        <x:f>'Resource Build-Up'!AF89</x:f>
        <x:v>0</x:v>
      </x:c>
      <x:c r="T90" s="100"/>
      <x:c r="U90" s="26"/>
      <x:c r="V90" s="26" t="n">
        <x:f>'Resource Build-Up'!AG89</x:f>
        <x:v>0</x:v>
      </x:c>
    </x:row>
    <x:row r="91" ht="32.400001525878906" customHeight="1">
      <x:c r="A91" s="98" t="s">
        <x:v>602</x:v>
      </x:c>
      <x:c r="B91" s="98" t="n">
        <x:f>'Resource Build-Up'!A90</x:f>
        <x:v>0</x:v>
      </x:c>
      <x:c r="C91" s="98" t="n">
        <x:f>'Resource Build-Up'!B90</x:f>
        <x:v>0</x:v>
      </x:c>
      <x:c r="D91" s="26" t="str">
        <x:f>'Resource Build-Up'!C90</x:f>
      </x:c>
      <x:c r="E91" s="26" t="n">
        <x:f>'Resource Build-Up'!H90</x:f>
        <x:v>0</x:v>
      </x:c>
      <x:c r="F91" s="26" t="n">
        <x:f>'Resource Build-Up'!P90</x:f>
        <x:v>0</x:v>
      </x:c>
      <x:c r="G91" s="26" t="n">
        <x:f>'Resource Build-Up'!Q90</x:f>
        <x:v>0</x:v>
      </x:c>
      <x:c r="H91" s="26" t="n">
        <x:f>'Resource Build-Up'!T90</x:f>
        <x:v>0</x:v>
      </x:c>
      <x:c r="I91" s="44" t="n">
        <x:f>'Resource Build-Up'!Y90</x:f>
        <x:v>0</x:v>
      </x:c>
      <x:c r="J91" s="44" t="str">
        <x:f>'Resource Build-Up'!Z90</x:f>
      </x:c>
      <x:c r="K91" s="26"/>
      <x:c r="L91" s="26"/>
      <x:c r="M91" s="26"/>
      <x:c r="N91" s="26"/>
      <x:c r="O91" s="26"/>
      <x:c r="P91" s="26"/>
      <x:c r="Q91" s="26">
        <x:f t="shared" si="2"/>
        <x:v>0</x:v>
      </x:c>
      <x:c r="R91" s="26" t="n">
        <x:f>'Resource Build-Up'!AC90</x:f>
        <x:v>0</x:v>
      </x:c>
      <x:c r="S91" s="26" t="n">
        <x:f>'Resource Build-Up'!AF90</x:f>
        <x:v>0</x:v>
      </x:c>
      <x:c r="T91" s="100"/>
      <x:c r="U91" s="26"/>
      <x:c r="V91" s="26" t="n">
        <x:f>'Resource Build-Up'!AG90</x:f>
        <x:v>0</x:v>
      </x:c>
    </x:row>
    <x:row r="92" ht="32.400001525878906" customHeight="1">
      <x:c r="A92" s="98" t="s">
        <x:v>603</x:v>
      </x:c>
      <x:c r="B92" s="98" t="n">
        <x:f>'Resource Build-Up'!A91</x:f>
        <x:v>0</x:v>
      </x:c>
      <x:c r="C92" s="98" t="n">
        <x:f>'Resource Build-Up'!B91</x:f>
        <x:v>0</x:v>
      </x:c>
      <x:c r="D92" s="26" t="str">
        <x:f>'Resource Build-Up'!C91</x:f>
      </x:c>
      <x:c r="E92" s="26" t="n">
        <x:f>'Resource Build-Up'!H91</x:f>
        <x:v>0</x:v>
      </x:c>
      <x:c r="F92" s="26" t="n">
        <x:f>'Resource Build-Up'!P91</x:f>
        <x:v>0</x:v>
      </x:c>
      <x:c r="G92" s="26" t="n">
        <x:f>'Resource Build-Up'!Q91</x:f>
        <x:v>0</x:v>
      </x:c>
      <x:c r="H92" s="26" t="n">
        <x:f>'Resource Build-Up'!T91</x:f>
        <x:v>0</x:v>
      </x:c>
      <x:c r="I92" s="44" t="n">
        <x:f>'Resource Build-Up'!Y91</x:f>
        <x:v>0</x:v>
      </x:c>
      <x:c r="J92" s="44" t="str">
        <x:f>'Resource Build-Up'!Z91</x:f>
      </x:c>
      <x:c r="K92" s="26"/>
      <x:c r="L92" s="26"/>
      <x:c r="M92" s="26"/>
      <x:c r="N92" s="26"/>
      <x:c r="O92" s="26"/>
      <x:c r="P92" s="26"/>
      <x:c r="Q92" s="26">
        <x:f t="shared" si="2"/>
        <x:v>2</x:v>
      </x:c>
      <x:c r="R92" s="26" t="n">
        <x:f>'Resource Build-Up'!AC91</x:f>
        <x:v>0</x:v>
      </x:c>
      <x:c r="S92" s="26" t="n">
        <x:f>'Resource Build-Up'!AF91</x:f>
        <x:v>0</x:v>
      </x:c>
      <x:c r="T92" s="99"/>
      <x:c r="U92" s="26"/>
      <x:c r="V92" s="26" t="n">
        <x:f>'Resource Build-Up'!AG91</x:f>
        <x:v>0</x:v>
      </x:c>
    </x:row>
    <x:row r="93" ht="32.400001525878906" customHeight="1">
      <x:c r="A93" s="98" t="s">
        <x:v>604</x:v>
      </x:c>
      <x:c r="B93" s="98" t="n">
        <x:f>'Resource Build-Up'!A92</x:f>
        <x:v>0</x:v>
      </x:c>
      <x:c r="C93" s="98" t="n">
        <x:f>'Resource Build-Up'!B92</x:f>
        <x:v>0</x:v>
      </x:c>
      <x:c r="D93" s="26" t="str">
        <x:f>'Resource Build-Up'!C92</x:f>
      </x:c>
      <x:c r="E93" s="26" t="n">
        <x:f>'Resource Build-Up'!H92</x:f>
        <x:v>0</x:v>
      </x:c>
      <x:c r="F93" s="26" t="n">
        <x:f>'Resource Build-Up'!P92</x:f>
        <x:v>0</x:v>
      </x:c>
      <x:c r="G93" s="26" t="n">
        <x:f>'Resource Build-Up'!Q92</x:f>
        <x:v>0</x:v>
      </x:c>
      <x:c r="H93" s="26" t="n">
        <x:f>'Resource Build-Up'!T92</x:f>
        <x:v>0</x:v>
      </x:c>
      <x:c r="I93" s="44" t="n">
        <x:f>'Resource Build-Up'!Y92</x:f>
        <x:v>0</x:v>
      </x:c>
      <x:c r="J93" s="44" t="str">
        <x:f>'Resource Build-Up'!Z92</x:f>
      </x:c>
      <x:c r="K93" s="26"/>
      <x:c r="L93" s="26"/>
      <x:c r="M93" s="26"/>
      <x:c r="N93" s="26"/>
      <x:c r="O93" s="26"/>
      <x:c r="P93" s="26"/>
      <x:c r="Q93" s="26">
        <x:f t="shared" si="2"/>
        <x:v>2</x:v>
      </x:c>
      <x:c r="R93" s="26" t="n">
        <x:f>'Resource Build-Up'!AC92</x:f>
        <x:v>0</x:v>
      </x:c>
      <x:c r="S93" s="26" t="n">
        <x:f>'Resource Build-Up'!AF92</x:f>
        <x:v>0</x:v>
      </x:c>
      <x:c r="T93" s="99"/>
      <x:c r="U93" s="26"/>
      <x:c r="V93" s="26" t="n">
        <x:f>'Resource Build-Up'!AG92</x:f>
        <x:v>0</x:v>
      </x:c>
    </x:row>
    <x:row r="94" ht="32.400001525878906" customHeight="1">
      <x:c r="A94" s="98" t="s">
        <x:v>605</x:v>
      </x:c>
      <x:c r="B94" s="98" t="n">
        <x:f>'Resource Build-Up'!A93</x:f>
        <x:v>0</x:v>
      </x:c>
      <x:c r="C94" s="98" t="n">
        <x:f>'Resource Build-Up'!B93</x:f>
        <x:v>0</x:v>
      </x:c>
      <x:c r="D94" s="26" t="str">
        <x:f>'Resource Build-Up'!C93</x:f>
      </x:c>
      <x:c r="E94" s="26" t="n">
        <x:f>'Resource Build-Up'!H93</x:f>
        <x:v>0</x:v>
      </x:c>
      <x:c r="F94" s="26" t="n">
        <x:f>'Resource Build-Up'!P93</x:f>
        <x:v>0</x:v>
      </x:c>
      <x:c r="G94" s="26" t="n">
        <x:f>'Resource Build-Up'!Q93</x:f>
        <x:v>0</x:v>
      </x:c>
      <x:c r="H94" s="26" t="n">
        <x:f>'Resource Build-Up'!T93</x:f>
        <x:v>0</x:v>
      </x:c>
      <x:c r="I94" s="44" t="n">
        <x:f>'Resource Build-Up'!Y93</x:f>
        <x:v>0</x:v>
      </x:c>
      <x:c r="J94" s="44" t="str">
        <x:f>'Resource Build-Up'!Z93</x:f>
      </x:c>
      <x:c r="K94" s="26"/>
      <x:c r="L94" s="26"/>
      <x:c r="M94" s="26"/>
      <x:c r="N94" s="26"/>
      <x:c r="O94" s="26"/>
      <x:c r="P94" s="26"/>
      <x:c r="Q94" s="26">
        <x:f t="shared" si="2"/>
        <x:v>1</x:v>
      </x:c>
      <x:c r="R94" s="26" t="n">
        <x:f>'Resource Build-Up'!AC93</x:f>
        <x:v>0</x:v>
      </x:c>
      <x:c r="S94" s="26" t="n">
        <x:f>'Resource Build-Up'!AF93</x:f>
        <x:v>0</x:v>
      </x:c>
      <x:c r="T94" s="100"/>
      <x:c r="U94" s="26"/>
      <x:c r="V94" s="26" t="n">
        <x:f>'Resource Build-Up'!AG93</x:f>
        <x:v>0</x:v>
      </x:c>
    </x:row>
    <x:row r="95" ht="32.400001525878906" customHeight="1">
      <x:c r="A95" s="98" t="s">
        <x:v>606</x:v>
      </x:c>
      <x:c r="B95" s="98" t="n">
        <x:f>'Resource Build-Up'!A94</x:f>
        <x:v>0</x:v>
      </x:c>
      <x:c r="C95" s="98" t="n">
        <x:f>'Resource Build-Up'!B94</x:f>
        <x:v>0</x:v>
      </x:c>
      <x:c r="D95" s="26" t="str">
        <x:f>'Resource Build-Up'!C94</x:f>
      </x:c>
      <x:c r="E95" s="26" t="n">
        <x:f>'Resource Build-Up'!H94</x:f>
        <x:v>0</x:v>
      </x:c>
      <x:c r="F95" s="26" t="n">
        <x:f>'Resource Build-Up'!P94</x:f>
        <x:v>0</x:v>
      </x:c>
      <x:c r="G95" s="26" t="n">
        <x:f>'Resource Build-Up'!Q94</x:f>
        <x:v>0</x:v>
      </x:c>
      <x:c r="H95" s="26" t="n">
        <x:f>'Resource Build-Up'!T94</x:f>
        <x:v>0</x:v>
      </x:c>
      <x:c r="I95" s="44" t="n">
        <x:f>'Resource Build-Up'!Y94</x:f>
        <x:v>0</x:v>
      </x:c>
      <x:c r="J95" s="44" t="str">
        <x:f>'Resource Build-Up'!Z94</x:f>
      </x:c>
      <x:c r="K95" s="26"/>
      <x:c r="L95" s="26"/>
      <x:c r="M95" s="26"/>
      <x:c r="N95" s="26"/>
      <x:c r="O95" s="26"/>
      <x:c r="P95" s="26"/>
      <x:c r="Q95" s="26">
        <x:f t="shared" si="2"/>
        <x:v>1</x:v>
      </x:c>
      <x:c r="R95" s="26" t="n">
        <x:f>'Resource Build-Up'!AC94</x:f>
        <x:v>0</x:v>
      </x:c>
      <x:c r="S95" s="26" t="n">
        <x:f>'Resource Build-Up'!AF94</x:f>
        <x:v>0</x:v>
      </x:c>
      <x:c r="T95" s="99"/>
      <x:c r="U95" s="26"/>
      <x:c r="V95" s="26" t="n">
        <x:f>'Resource Build-Up'!AG94</x:f>
        <x:v>0</x:v>
      </x:c>
    </x:row>
    <x:row r="96" ht="32.400001525878906" customHeight="1">
      <x:c r="A96" s="98" t="s">
        <x:v>607</x:v>
      </x:c>
      <x:c r="B96" s="98" t="n">
        <x:f>'Resource Build-Up'!A95</x:f>
        <x:v>0</x:v>
      </x:c>
      <x:c r="C96" s="98" t="n">
        <x:f>'Resource Build-Up'!B95</x:f>
        <x:v>0</x:v>
      </x:c>
      <x:c r="D96" s="26" t="str">
        <x:f>'Resource Build-Up'!C95</x:f>
      </x:c>
      <x:c r="E96" s="26" t="n">
        <x:f>'Resource Build-Up'!H95</x:f>
        <x:v>0</x:v>
      </x:c>
      <x:c r="F96" s="26" t="n">
        <x:f>'Resource Build-Up'!P95</x:f>
        <x:v>0</x:v>
      </x:c>
      <x:c r="G96" s="26" t="n">
        <x:f>'Resource Build-Up'!Q95</x:f>
        <x:v>0</x:v>
      </x:c>
      <x:c r="H96" s="26" t="n">
        <x:f>'Resource Build-Up'!T95</x:f>
        <x:v>0</x:v>
      </x:c>
      <x:c r="I96" s="44" t="n">
        <x:f>'Resource Build-Up'!Y95</x:f>
        <x:v>0</x:v>
      </x:c>
      <x:c r="J96" s="44" t="str">
        <x:f>'Resource Build-Up'!Z95</x:f>
      </x:c>
      <x:c r="K96" s="26"/>
      <x:c r="L96" s="26"/>
      <x:c r="M96" s="26"/>
      <x:c r="N96" s="26"/>
      <x:c r="O96" s="26"/>
      <x:c r="P96" s="26"/>
      <x:c r="Q96" s="26">
        <x:f t="shared" si="2"/>
        <x:v>2</x:v>
      </x:c>
      <x:c r="R96" s="26" t="n">
        <x:f>'Resource Build-Up'!AC95</x:f>
        <x:v>0</x:v>
      </x:c>
      <x:c r="S96" s="26" t="n">
        <x:f>'Resource Build-Up'!AF95</x:f>
        <x:v>0</x:v>
      </x:c>
      <x:c r="T96" s="99"/>
      <x:c r="U96" s="26"/>
      <x:c r="V96" s="26" t="n">
        <x:f>'Resource Build-Up'!AG95</x:f>
        <x:v>0</x:v>
      </x:c>
    </x:row>
    <x:row r="97" ht="32.400001525878906" customHeight="1">
      <x:c r="A97" s="98" t="s">
        <x:v>608</x:v>
      </x:c>
      <x:c r="B97" s="98" t="n">
        <x:f>'Resource Build-Up'!A96</x:f>
        <x:v>0</x:v>
      </x:c>
      <x:c r="C97" s="98" t="n">
        <x:f>'Resource Build-Up'!B96</x:f>
        <x:v>0</x:v>
      </x:c>
      <x:c r="D97" s="26" t="str">
        <x:f>'Resource Build-Up'!C96</x:f>
      </x:c>
      <x:c r="E97" s="26" t="n">
        <x:f>'Resource Build-Up'!H96</x:f>
        <x:v>0</x:v>
      </x:c>
      <x:c r="F97" s="26" t="n">
        <x:f>'Resource Build-Up'!P96</x:f>
        <x:v>0</x:v>
      </x:c>
      <x:c r="G97" s="26" t="n">
        <x:f>'Resource Build-Up'!Q96</x:f>
        <x:v>0</x:v>
      </x:c>
      <x:c r="H97" s="26" t="n">
        <x:f>'Resource Build-Up'!T96</x:f>
        <x:v>0</x:v>
      </x:c>
      <x:c r="I97" s="44" t="n">
        <x:f>'Resource Build-Up'!Y96</x:f>
        <x:v>0</x:v>
      </x:c>
      <x:c r="J97" s="44" t="str">
        <x:f>'Resource Build-Up'!Z96</x:f>
      </x:c>
      <x:c r="K97" s="26"/>
      <x:c r="L97" s="26"/>
      <x:c r="M97" s="26"/>
      <x:c r="N97" s="26"/>
      <x:c r="O97" s="26"/>
      <x:c r="P97" s="26"/>
      <x:c r="Q97" s="26">
        <x:f t="shared" si="2"/>
        <x:v>1</x:v>
      </x:c>
      <x:c r="R97" s="26" t="n">
        <x:f>'Resource Build-Up'!AC96</x:f>
        <x:v>0</x:v>
      </x:c>
      <x:c r="S97" s="26" t="n">
        <x:f>'Resource Build-Up'!AF96</x:f>
        <x:v>0</x:v>
      </x:c>
      <x:c r="T97" s="99"/>
      <x:c r="U97" s="26"/>
      <x:c r="V97" s="26" t="n">
        <x:f>'Resource Build-Up'!AG96</x:f>
        <x:v>0</x:v>
      </x:c>
    </x:row>
    <x:row r="98" ht="32.400001525878906" customHeight="1">
      <x:c r="A98" s="98" t="s">
        <x:v>609</x:v>
      </x:c>
      <x:c r="B98" s="98" t="n">
        <x:f>'Resource Build-Up'!A97</x:f>
        <x:v>0</x:v>
      </x:c>
      <x:c r="C98" s="98" t="n">
        <x:f>'Resource Build-Up'!B97</x:f>
        <x:v>0</x:v>
      </x:c>
      <x:c r="D98" s="26" t="str">
        <x:f>'Resource Build-Up'!C97</x:f>
      </x:c>
      <x:c r="E98" s="26" t="n">
        <x:f>'Resource Build-Up'!H97</x:f>
        <x:v>0</x:v>
      </x:c>
      <x:c r="F98" s="26" t="n">
        <x:f>'Resource Build-Up'!P97</x:f>
        <x:v>0</x:v>
      </x:c>
      <x:c r="G98" s="26" t="n">
        <x:f>'Resource Build-Up'!Q97</x:f>
        <x:v>0</x:v>
      </x:c>
      <x:c r="H98" s="26" t="n">
        <x:f>'Resource Build-Up'!T97</x:f>
        <x:v>0</x:v>
      </x:c>
      <x:c r="I98" s="44" t="n">
        <x:f>'Resource Build-Up'!Y97</x:f>
        <x:v>0</x:v>
      </x:c>
      <x:c r="J98" s="44" t="str">
        <x:f>'Resource Build-Up'!Z97</x:f>
      </x:c>
      <x:c r="K98" s="26"/>
      <x:c r="L98" s="26"/>
      <x:c r="M98" s="26"/>
      <x:c r="N98" s="26"/>
      <x:c r="O98" s="26"/>
      <x:c r="P98" s="26"/>
      <x:c r="Q98" s="26">
        <x:f t="shared" si="2"/>
        <x:v>1</x:v>
      </x:c>
      <x:c r="R98" s="26" t="n">
        <x:f>'Resource Build-Up'!AC97</x:f>
        <x:v>0</x:v>
      </x:c>
      <x:c r="S98" s="26" t="n">
        <x:f>'Resource Build-Up'!AF97</x:f>
        <x:v>0</x:v>
      </x:c>
      <x:c r="T98" s="99"/>
      <x:c r="U98" s="26"/>
      <x:c r="V98" s="26" t="n">
        <x:f>'Resource Build-Up'!AG97</x:f>
        <x:v>0</x:v>
      </x:c>
    </x:row>
    <x:row r="99" ht="32.400001525878906" customHeight="1">
      <x:c r="A99" s="98" t="s">
        <x:v>610</x:v>
      </x:c>
      <x:c r="B99" s="98" t="n">
        <x:f>'Resource Build-Up'!A98</x:f>
        <x:v>0</x:v>
      </x:c>
      <x:c r="C99" s="98" t="n">
        <x:f>'Resource Build-Up'!B98</x:f>
        <x:v>0</x:v>
      </x:c>
      <x:c r="D99" s="26" t="str">
        <x:f>'Resource Build-Up'!C98</x:f>
      </x:c>
      <x:c r="E99" s="26" t="n">
        <x:f>'Resource Build-Up'!H98</x:f>
        <x:v>0</x:v>
      </x:c>
      <x:c r="F99" s="26" t="n">
        <x:f>'Resource Build-Up'!P98</x:f>
        <x:v>0</x:v>
      </x:c>
      <x:c r="G99" s="26" t="n">
        <x:f>'Resource Build-Up'!Q98</x:f>
        <x:v>0</x:v>
      </x:c>
      <x:c r="H99" s="26" t="n">
        <x:f>'Resource Build-Up'!T98</x:f>
        <x:v>0</x:v>
      </x:c>
      <x:c r="I99" s="44" t="n">
        <x:f>'Resource Build-Up'!Y98</x:f>
        <x:v>0</x:v>
      </x:c>
      <x:c r="J99" s="44" t="str">
        <x:f>'Resource Build-Up'!Z98</x:f>
      </x:c>
      <x:c r="K99" s="26"/>
      <x:c r="L99" s="26"/>
      <x:c r="M99" s="26"/>
      <x:c r="N99" s="26"/>
      <x:c r="O99" s="26"/>
      <x:c r="P99" s="26"/>
      <x:c r="Q99" s="26">
        <x:f t="shared" si="2"/>
        <x:v>2</x:v>
      </x:c>
      <x:c r="R99" s="26" t="n">
        <x:f>'Resource Build-Up'!AC98</x:f>
        <x:v>0</x:v>
      </x:c>
      <x:c r="S99" s="26" t="n">
        <x:f>'Resource Build-Up'!AF98</x:f>
        <x:v>0</x:v>
      </x:c>
      <x:c r="T99" s="99"/>
      <x:c r="U99" s="26"/>
      <x:c r="V99" s="26" t="n">
        <x:f>'Resource Build-Up'!AG98</x:f>
        <x:v>0</x:v>
      </x:c>
    </x:row>
    <x:row r="100" ht="32.400001525878906" customHeight="1">
      <x:c r="A100" s="98" t="s">
        <x:v>611</x:v>
      </x:c>
      <x:c r="B100" s="98" t="n">
        <x:f>'Resource Build-Up'!A99</x:f>
        <x:v>0</x:v>
      </x:c>
      <x:c r="C100" s="98" t="n">
        <x:f>'Resource Build-Up'!B99</x:f>
        <x:v>0</x:v>
      </x:c>
      <x:c r="D100" s="26" t="str">
        <x:f>'Resource Build-Up'!C99</x:f>
      </x:c>
      <x:c r="E100" s="26" t="n">
        <x:f>'Resource Build-Up'!H99</x:f>
        <x:v>0</x:v>
      </x:c>
      <x:c r="F100" s="26" t="n">
        <x:f>'Resource Build-Up'!P99</x:f>
        <x:v>0</x:v>
      </x:c>
      <x:c r="G100" s="26" t="n">
        <x:f>'Resource Build-Up'!Q99</x:f>
        <x:v>0</x:v>
      </x:c>
      <x:c r="H100" s="26" t="n">
        <x:f>'Resource Build-Up'!T99</x:f>
        <x:v>0</x:v>
      </x:c>
      <x:c r="I100" s="44" t="n">
        <x:f>'Resource Build-Up'!Y99</x:f>
        <x:v>0</x:v>
      </x:c>
      <x:c r="J100" s="44" t="str">
        <x:f>'Resource Build-Up'!Z99</x:f>
      </x:c>
      <x:c r="K100" s="26"/>
      <x:c r="L100" s="26"/>
      <x:c r="M100" s="26"/>
      <x:c r="N100" s="26"/>
      <x:c r="O100" s="26"/>
      <x:c r="P100" s="26"/>
      <x:c r="Q100" s="26">
        <x:f t="shared" si="2"/>
        <x:v>1</x:v>
      </x:c>
      <x:c r="R100" s="26" t="n">
        <x:f>'Resource Build-Up'!AC99</x:f>
        <x:v>0</x:v>
      </x:c>
      <x:c r="S100" s="26" t="n">
        <x:f>'Resource Build-Up'!AF99</x:f>
        <x:v>0</x:v>
      </x:c>
      <x:c r="T100" s="99"/>
      <x:c r="U100" s="26"/>
      <x:c r="V100" s="26" t="n">
        <x:f>'Resource Build-Up'!AG99</x:f>
        <x:v>0</x:v>
      </x:c>
    </x:row>
    <x:row r="101" ht="32.400001525878906" customHeight="1">
      <x:c r="A101" s="98" t="s">
        <x:v>612</x:v>
      </x:c>
      <x:c r="B101" s="98" t="n">
        <x:f>'Resource Build-Up'!A100</x:f>
        <x:v>0</x:v>
      </x:c>
      <x:c r="C101" s="98" t="n">
        <x:f>'Resource Build-Up'!B100</x:f>
        <x:v>0</x:v>
      </x:c>
      <x:c r="D101" s="26" t="str">
        <x:f>'Resource Build-Up'!C100</x:f>
      </x:c>
      <x:c r="E101" s="26" t="n">
        <x:f>'Resource Build-Up'!H100</x:f>
        <x:v>0</x:v>
      </x:c>
      <x:c r="F101" s="26" t="n">
        <x:f>'Resource Build-Up'!P100</x:f>
        <x:v>0</x:v>
      </x:c>
      <x:c r="G101" s="26" t="n">
        <x:f>'Resource Build-Up'!Q100</x:f>
        <x:v>0</x:v>
      </x:c>
      <x:c r="H101" s="26" t="n">
        <x:f>'Resource Build-Up'!T100</x:f>
        <x:v>0</x:v>
      </x:c>
      <x:c r="I101" s="44" t="n">
        <x:f>'Resource Build-Up'!Y100</x:f>
        <x:v>0</x:v>
      </x:c>
      <x:c r="J101" s="44" t="str">
        <x:f>'Resource Build-Up'!Z100</x:f>
      </x:c>
      <x:c r="K101" s="26"/>
      <x:c r="L101" s="26"/>
      <x:c r="M101" s="26"/>
      <x:c r="N101" s="26"/>
      <x:c r="O101" s="26"/>
      <x:c r="P101" s="26"/>
      <x:c r="Q101" s="26">
        <x:f t="shared" si="2"/>
        <x:v>2</x:v>
      </x:c>
      <x:c r="R101" s="26" t="n">
        <x:f>'Resource Build-Up'!AC100</x:f>
        <x:v>0</x:v>
      </x:c>
      <x:c r="S101" s="26" t="n">
        <x:f>'Resource Build-Up'!AF100</x:f>
        <x:v>0</x:v>
      </x:c>
      <x:c r="T101" s="99"/>
      <x:c r="U101" s="26"/>
      <x:c r="V101" s="26" t="n">
        <x:f>'Resource Build-Up'!AG100</x:f>
        <x:v>0</x:v>
      </x:c>
    </x:row>
    <x:row r="102" ht="32.400001525878906" customHeight="1">
      <x:c r="A102" s="98" t="s">
        <x:v>613</x:v>
      </x:c>
      <x:c r="B102" s="98" t="n">
        <x:f>'Resource Build-Up'!A101</x:f>
        <x:v>0</x:v>
      </x:c>
      <x:c r="C102" s="98" t="n">
        <x:f>'Resource Build-Up'!B101</x:f>
        <x:v>0</x:v>
      </x:c>
      <x:c r="D102" s="26" t="str">
        <x:f>'Resource Build-Up'!C101</x:f>
      </x:c>
      <x:c r="E102" s="26" t="n">
        <x:f>'Resource Build-Up'!H101</x:f>
        <x:v>0</x:v>
      </x:c>
      <x:c r="F102" s="26" t="n">
        <x:f>'Resource Build-Up'!P101</x:f>
        <x:v>0</x:v>
      </x:c>
      <x:c r="G102" s="26" t="n">
        <x:f>'Resource Build-Up'!Q101</x:f>
        <x:v>0</x:v>
      </x:c>
      <x:c r="H102" s="26" t="n">
        <x:f>'Resource Build-Up'!T101</x:f>
        <x:v>0</x:v>
      </x:c>
      <x:c r="I102" s="44" t="n">
        <x:f>'Resource Build-Up'!Y101</x:f>
        <x:v>0</x:v>
      </x:c>
      <x:c r="J102" s="44" t="str">
        <x:f>'Resource Build-Up'!Z101</x:f>
      </x:c>
      <x:c r="K102" s="26"/>
      <x:c r="L102" s="26"/>
      <x:c r="M102" s="26"/>
      <x:c r="N102" s="26"/>
      <x:c r="O102" s="26"/>
      <x:c r="P102" s="26"/>
      <x:c r="Q102" s="26">
        <x:f t="shared" si="2"/>
        <x:v>1</x:v>
      </x:c>
      <x:c r="R102" s="26" t="n">
        <x:f>'Resource Build-Up'!AC101</x:f>
        <x:v>0</x:v>
      </x:c>
      <x:c r="S102" s="26" t="n">
        <x:f>'Resource Build-Up'!AF101</x:f>
        <x:v>0</x:v>
      </x:c>
      <x:c r="T102" s="99"/>
      <x:c r="U102" s="26"/>
      <x:c r="V102" s="26" t="n">
        <x:f>'Resource Build-Up'!AG101</x:f>
        <x:v>0</x:v>
      </x:c>
    </x:row>
    <x:row r="103" ht="32.400001525878906" customHeight="1">
      <x:c r="A103" s="98" t="s">
        <x:v>614</x:v>
      </x:c>
      <x:c r="B103" s="98" t="n">
        <x:f>'Resource Build-Up'!A102</x:f>
        <x:v>0</x:v>
      </x:c>
      <x:c r="C103" s="98" t="n">
        <x:f>'Resource Build-Up'!B102</x:f>
        <x:v>0</x:v>
      </x:c>
      <x:c r="D103" s="26" t="str">
        <x:f>'Resource Build-Up'!C102</x:f>
      </x:c>
      <x:c r="E103" s="26" t="n">
        <x:f>'Resource Build-Up'!H102</x:f>
        <x:v>0</x:v>
      </x:c>
      <x:c r="F103" s="26" t="n">
        <x:f>'Resource Build-Up'!P102</x:f>
        <x:v>0</x:v>
      </x:c>
      <x:c r="G103" s="26" t="n">
        <x:f>'Resource Build-Up'!Q102</x:f>
        <x:v>0</x:v>
      </x:c>
      <x:c r="H103" s="26" t="n">
        <x:f>'Resource Build-Up'!T102</x:f>
        <x:v>0</x:v>
      </x:c>
      <x:c r="I103" s="44" t="n">
        <x:f>'Resource Build-Up'!Y102</x:f>
        <x:v>0</x:v>
      </x:c>
      <x:c r="J103" s="44" t="str">
        <x:f>'Resource Build-Up'!Z102</x:f>
      </x:c>
      <x:c r="K103" s="26"/>
      <x:c r="L103" s="26"/>
      <x:c r="M103" s="26"/>
      <x:c r="N103" s="26"/>
      <x:c r="O103" s="26"/>
      <x:c r="P103" s="26"/>
      <x:c r="Q103" s="26">
        <x:f t="shared" si="2"/>
        <x:v>1</x:v>
      </x:c>
      <x:c r="R103" s="26" t="n">
        <x:f>'Resource Build-Up'!AC102</x:f>
        <x:v>0</x:v>
      </x:c>
      <x:c r="S103" s="26" t="n">
        <x:f>'Resource Build-Up'!AF102</x:f>
        <x:v>0</x:v>
      </x:c>
      <x:c r="T103" s="99"/>
      <x:c r="U103" s="26"/>
      <x:c r="V103" s="26" t="n">
        <x:f>'Resource Build-Up'!AG102</x:f>
        <x:v>0</x:v>
      </x:c>
    </x:row>
    <x:row r="104" ht="32.400001525878906" customHeight="1">
      <x:c r="A104" s="98" t="s">
        <x:v>615</x:v>
      </x:c>
      <x:c r="B104" s="98" t="n">
        <x:f>'Resource Build-Up'!A103</x:f>
        <x:v>0</x:v>
      </x:c>
      <x:c r="C104" s="98" t="n">
        <x:f>'Resource Build-Up'!B103</x:f>
        <x:v>0</x:v>
      </x:c>
      <x:c r="D104" s="26" t="str">
        <x:f>'Resource Build-Up'!C103</x:f>
      </x:c>
      <x:c r="E104" s="26" t="n">
        <x:f>'Resource Build-Up'!H103</x:f>
        <x:v>0</x:v>
      </x:c>
      <x:c r="F104" s="26" t="n">
        <x:f>'Resource Build-Up'!P103</x:f>
        <x:v>0</x:v>
      </x:c>
      <x:c r="G104" s="26" t="n">
        <x:f>'Resource Build-Up'!Q103</x:f>
        <x:v>0</x:v>
      </x:c>
      <x:c r="H104" s="26" t="n">
        <x:f>'Resource Build-Up'!T103</x:f>
        <x:v>0</x:v>
      </x:c>
      <x:c r="I104" s="44" t="n">
        <x:f>'Resource Build-Up'!Y103</x:f>
        <x:v>0</x:v>
      </x:c>
      <x:c r="J104" s="44" t="str">
        <x:f>'Resource Build-Up'!Z103</x:f>
      </x:c>
      <x:c r="K104" s="26"/>
      <x:c r="L104" s="26"/>
      <x:c r="M104" s="26"/>
      <x:c r="N104" s="26"/>
      <x:c r="O104" s="26"/>
      <x:c r="P104" s="26"/>
      <x:c r="Q104" s="26" t="n">
        <x:f t="shared" ref="Q104:Q135" si="3">COUNTIF(L104,"PASS")+COUNTIF(N104,"PASS")+COUNTIF(P104,"PASS")</x:f>
        <x:v>0</x:v>
      </x:c>
      <x:c r="R104" s="26" t="n">
        <x:f>'Resource Build-Up'!AC103</x:f>
        <x:v>0</x:v>
      </x:c>
      <x:c r="S104" s="26" t="n">
        <x:f>'Resource Build-Up'!AF103</x:f>
        <x:v>0</x:v>
      </x:c>
      <x:c r="T104" s="99"/>
      <x:c r="U104" s="26"/>
      <x:c r="V104" s="26" t="n">
        <x:f>'Resource Build-Up'!AG103</x:f>
        <x:v>0</x:v>
      </x:c>
    </x:row>
    <x:row r="105" ht="32.400001525878906" customHeight="1">
      <x:c r="A105" s="98" t="s">
        <x:v>616</x:v>
      </x:c>
      <x:c r="B105" s="98" t="n">
        <x:f>'Resource Build-Up'!A104</x:f>
        <x:v>0</x:v>
      </x:c>
      <x:c r="C105" s="98" t="n">
        <x:f>'Resource Build-Up'!B104</x:f>
        <x:v>0</x:v>
      </x:c>
      <x:c r="D105" s="26" t="str">
        <x:f>'Resource Build-Up'!C104</x:f>
      </x:c>
      <x:c r="E105" s="26" t="n">
        <x:f>'Resource Build-Up'!H104</x:f>
        <x:v>0</x:v>
      </x:c>
      <x:c r="F105" s="26" t="n">
        <x:f>'Resource Build-Up'!P104</x:f>
        <x:v>0</x:v>
      </x:c>
      <x:c r="G105" s="26" t="n">
        <x:f>'Resource Build-Up'!Q104</x:f>
        <x:v>0</x:v>
      </x:c>
      <x:c r="H105" s="26" t="n">
        <x:f>'Resource Build-Up'!T104</x:f>
        <x:v>0</x:v>
      </x:c>
      <x:c r="I105" s="44" t="n">
        <x:f>'Resource Build-Up'!Y104</x:f>
        <x:v>0</x:v>
      </x:c>
      <x:c r="J105" s="44" t="str">
        <x:f>'Resource Build-Up'!Z104</x:f>
      </x:c>
      <x:c r="K105" s="26"/>
      <x:c r="L105" s="26"/>
      <x:c r="M105" s="26"/>
      <x:c r="N105" s="26"/>
      <x:c r="O105" s="26"/>
      <x:c r="P105" s="26"/>
      <x:c r="Q105" s="26">
        <x:f t="shared" si="3"/>
        <x:v>1</x:v>
      </x:c>
      <x:c r="R105" s="26" t="n">
        <x:f>'Resource Build-Up'!AC104</x:f>
        <x:v>0</x:v>
      </x:c>
      <x:c r="S105" s="26" t="n">
        <x:f>'Resource Build-Up'!AF104</x:f>
        <x:v>0</x:v>
      </x:c>
      <x:c r="T105" s="99"/>
      <x:c r="U105" s="26"/>
      <x:c r="V105" s="26" t="n">
        <x:f>'Resource Build-Up'!AG104</x:f>
        <x:v>0</x:v>
      </x:c>
    </x:row>
    <x:row r="106" ht="32.400001525878906" customHeight="1">
      <x:c r="A106" s="98" t="s">
        <x:v>617</x:v>
      </x:c>
      <x:c r="B106" s="98" t="n">
        <x:f>'Resource Build-Up'!A105</x:f>
        <x:v>0</x:v>
      </x:c>
      <x:c r="C106" s="98" t="n">
        <x:f>'Resource Build-Up'!B105</x:f>
        <x:v>0</x:v>
      </x:c>
      <x:c r="D106" s="26" t="str">
        <x:f>'Resource Build-Up'!C105</x:f>
      </x:c>
      <x:c r="E106" s="26" t="n">
        <x:f>'Resource Build-Up'!H105</x:f>
        <x:v>0</x:v>
      </x:c>
      <x:c r="F106" s="26" t="n">
        <x:f>'Resource Build-Up'!P105</x:f>
        <x:v>0</x:v>
      </x:c>
      <x:c r="G106" s="26" t="n">
        <x:f>'Resource Build-Up'!Q105</x:f>
        <x:v>0</x:v>
      </x:c>
      <x:c r="H106" s="26" t="n">
        <x:f>'Resource Build-Up'!T105</x:f>
        <x:v>0</x:v>
      </x:c>
      <x:c r="I106" s="44" t="n">
        <x:f>'Resource Build-Up'!Y105</x:f>
        <x:v>0</x:v>
      </x:c>
      <x:c r="J106" s="44" t="str">
        <x:f>'Resource Build-Up'!Z105</x:f>
      </x:c>
      <x:c r="K106" s="26"/>
      <x:c r="L106" s="26"/>
      <x:c r="M106" s="26"/>
      <x:c r="N106" s="26"/>
      <x:c r="O106" s="26"/>
      <x:c r="P106" s="26"/>
      <x:c r="Q106" s="26">
        <x:f t="shared" si="3"/>
        <x:v>1</x:v>
      </x:c>
      <x:c r="R106" s="26" t="n">
        <x:f>'Resource Build-Up'!AC105</x:f>
        <x:v>0</x:v>
      </x:c>
      <x:c r="S106" s="26" t="n">
        <x:f>'Resource Build-Up'!AF105</x:f>
        <x:v>0</x:v>
      </x:c>
      <x:c r="T106" s="99"/>
      <x:c r="U106" s="26"/>
      <x:c r="V106" s="26" t="n">
        <x:f>'Resource Build-Up'!AG105</x:f>
        <x:v>0</x:v>
      </x:c>
    </x:row>
    <x:row r="107" ht="32.400001525878906" customHeight="1">
      <x:c r="A107" s="98" t="s">
        <x:v>618</x:v>
      </x:c>
      <x:c r="B107" s="98" t="n">
        <x:f>'Resource Build-Up'!A106</x:f>
        <x:v>0</x:v>
      </x:c>
      <x:c r="C107" s="98" t="n">
        <x:f>'Resource Build-Up'!B106</x:f>
        <x:v>0</x:v>
      </x:c>
      <x:c r="D107" s="26" t="str">
        <x:f>'Resource Build-Up'!C106</x:f>
      </x:c>
      <x:c r="E107" s="26" t="n">
        <x:f>'Resource Build-Up'!H106</x:f>
        <x:v>0</x:v>
      </x:c>
      <x:c r="F107" s="26" t="n">
        <x:f>'Resource Build-Up'!P106</x:f>
        <x:v>0</x:v>
      </x:c>
      <x:c r="G107" s="26" t="n">
        <x:f>'Resource Build-Up'!Q106</x:f>
        <x:v>0</x:v>
      </x:c>
      <x:c r="H107" s="26" t="n">
        <x:f>'Resource Build-Up'!T106</x:f>
        <x:v>0</x:v>
      </x:c>
      <x:c r="I107" s="44" t="n">
        <x:f>'Resource Build-Up'!Y106</x:f>
        <x:v>0</x:v>
      </x:c>
      <x:c r="J107" s="44" t="str">
        <x:f>'Resource Build-Up'!Z106</x:f>
      </x:c>
      <x:c r="K107" s="26"/>
      <x:c r="L107" s="26"/>
      <x:c r="M107" s="26"/>
      <x:c r="N107" s="26"/>
      <x:c r="O107" s="26"/>
      <x:c r="P107" s="26"/>
      <x:c r="Q107" s="26">
        <x:f t="shared" si="3"/>
        <x:v>2</x:v>
      </x:c>
      <x:c r="R107" s="26" t="n">
        <x:f>'Resource Build-Up'!AC106</x:f>
        <x:v>0</x:v>
      </x:c>
      <x:c r="S107" s="26" t="n">
        <x:f>'Resource Build-Up'!AF106</x:f>
        <x:v>0</x:v>
      </x:c>
      <x:c r="T107" s="99"/>
      <x:c r="U107" s="26"/>
      <x:c r="V107" s="26" t="n">
        <x:f>'Resource Build-Up'!AG106</x:f>
        <x:v>0</x:v>
      </x:c>
    </x:row>
    <x:row r="108" ht="32.400001525878906" customHeight="1">
      <x:c r="A108" s="98" t="s">
        <x:v>619</x:v>
      </x:c>
      <x:c r="B108" s="98" t="n">
        <x:f>'Resource Build-Up'!A107</x:f>
        <x:v>0</x:v>
      </x:c>
      <x:c r="C108" s="98" t="n">
        <x:f>'Resource Build-Up'!B107</x:f>
        <x:v>0</x:v>
      </x:c>
      <x:c r="D108" s="26" t="str">
        <x:f>'Resource Build-Up'!C107</x:f>
      </x:c>
      <x:c r="E108" s="26" t="n">
        <x:f>'Resource Build-Up'!H107</x:f>
        <x:v>0</x:v>
      </x:c>
      <x:c r="F108" s="26" t="n">
        <x:f>'Resource Build-Up'!P107</x:f>
        <x:v>0</x:v>
      </x:c>
      <x:c r="G108" s="26" t="n">
        <x:f>'Resource Build-Up'!Q107</x:f>
        <x:v>0</x:v>
      </x:c>
      <x:c r="H108" s="26" t="n">
        <x:f>'Resource Build-Up'!T107</x:f>
        <x:v>0</x:v>
      </x:c>
      <x:c r="I108" s="44" t="n">
        <x:f>'Resource Build-Up'!Y107</x:f>
        <x:v>0</x:v>
      </x:c>
      <x:c r="J108" s="44" t="str">
        <x:f>'Resource Build-Up'!Z107</x:f>
      </x:c>
      <x:c r="K108" s="26"/>
      <x:c r="L108" s="26"/>
      <x:c r="M108" s="26"/>
      <x:c r="N108" s="26"/>
      <x:c r="O108" s="26"/>
      <x:c r="P108" s="26"/>
      <x:c r="Q108" s="26">
        <x:f t="shared" si="3"/>
        <x:v>0</x:v>
      </x:c>
      <x:c r="R108" s="26" t="n">
        <x:f>'Resource Build-Up'!AC107</x:f>
        <x:v>0</x:v>
      </x:c>
      <x:c r="S108" s="26" t="n">
        <x:f>'Resource Build-Up'!AF107</x:f>
        <x:v>0</x:v>
      </x:c>
      <x:c r="T108" s="100"/>
      <x:c r="U108" s="26"/>
      <x:c r="V108" s="26" t="n">
        <x:f>'Resource Build-Up'!AG107</x:f>
        <x:v>0</x:v>
      </x:c>
    </x:row>
    <x:row r="109" ht="32.400001525878906" customHeight="1">
      <x:c r="A109" s="98" t="s">
        <x:v>620</x:v>
      </x:c>
      <x:c r="B109" s="98" t="n">
        <x:f>'Resource Build-Up'!A108</x:f>
        <x:v>0</x:v>
      </x:c>
      <x:c r="C109" s="98" t="n">
        <x:f>'Resource Build-Up'!B108</x:f>
        <x:v>0</x:v>
      </x:c>
      <x:c r="D109" s="26" t="str">
        <x:f>'Resource Build-Up'!C108</x:f>
      </x:c>
      <x:c r="E109" s="26" t="n">
        <x:f>'Resource Build-Up'!H108</x:f>
        <x:v>0</x:v>
      </x:c>
      <x:c r="F109" s="26" t="n">
        <x:f>'Resource Build-Up'!P108</x:f>
        <x:v>0</x:v>
      </x:c>
      <x:c r="G109" s="26" t="n">
        <x:f>'Resource Build-Up'!Q108</x:f>
        <x:v>0</x:v>
      </x:c>
      <x:c r="H109" s="26" t="n">
        <x:f>'Resource Build-Up'!T108</x:f>
        <x:v>0</x:v>
      </x:c>
      <x:c r="I109" s="44" t="n">
        <x:f>'Resource Build-Up'!Y108</x:f>
        <x:v>0</x:v>
      </x:c>
      <x:c r="J109" s="44" t="str">
        <x:f>'Resource Build-Up'!Z108</x:f>
      </x:c>
      <x:c r="K109" s="26"/>
      <x:c r="L109" s="26"/>
      <x:c r="M109" s="26"/>
      <x:c r="N109" s="26"/>
      <x:c r="O109" s="26"/>
      <x:c r="P109" s="26"/>
      <x:c r="Q109" s="26">
        <x:f t="shared" si="3"/>
        <x:v>0</x:v>
      </x:c>
      <x:c r="R109" s="26" t="n">
        <x:f>'Resource Build-Up'!AC108</x:f>
        <x:v>0</x:v>
      </x:c>
      <x:c r="S109" s="26" t="n">
        <x:f>'Resource Build-Up'!AF108</x:f>
        <x:v>0</x:v>
      </x:c>
      <x:c r="T109" s="100"/>
      <x:c r="U109" s="26"/>
      <x:c r="V109" s="26" t="n">
        <x:f>'Resource Build-Up'!AG108</x:f>
        <x:v>0</x:v>
      </x:c>
    </x:row>
    <x:row r="110" ht="32.400001525878906" customHeight="1">
      <x:c r="A110" s="98" t="s">
        <x:v>621</x:v>
      </x:c>
      <x:c r="B110" s="98" t="n">
        <x:f>'Resource Build-Up'!A109</x:f>
        <x:v>0</x:v>
      </x:c>
      <x:c r="C110" s="98" t="n">
        <x:f>'Resource Build-Up'!B109</x:f>
        <x:v>0</x:v>
      </x:c>
      <x:c r="D110" s="26" t="str">
        <x:f>'Resource Build-Up'!C109</x:f>
      </x:c>
      <x:c r="E110" s="26" t="n">
        <x:f>'Resource Build-Up'!H109</x:f>
        <x:v>0</x:v>
      </x:c>
      <x:c r="F110" s="26" t="n">
        <x:f>'Resource Build-Up'!P109</x:f>
        <x:v>0</x:v>
      </x:c>
      <x:c r="G110" s="26" t="n">
        <x:f>'Resource Build-Up'!Q109</x:f>
        <x:v>0</x:v>
      </x:c>
      <x:c r="H110" s="26" t="n">
        <x:f>'Resource Build-Up'!T109</x:f>
        <x:v>0</x:v>
      </x:c>
      <x:c r="I110" s="44" t="n">
        <x:f>'Resource Build-Up'!Y109</x:f>
        <x:v>0</x:v>
      </x:c>
      <x:c r="J110" s="44" t="str">
        <x:f>'Resource Build-Up'!Z109</x:f>
      </x:c>
      <x:c r="K110" s="26"/>
      <x:c r="L110" s="26"/>
      <x:c r="M110" s="26"/>
      <x:c r="N110" s="26"/>
      <x:c r="O110" s="26"/>
      <x:c r="P110" s="26"/>
      <x:c r="Q110" s="26">
        <x:f t="shared" si="3"/>
        <x:v>0</x:v>
      </x:c>
      <x:c r="R110" s="26" t="n">
        <x:f>'Resource Build-Up'!AC109</x:f>
        <x:v>0</x:v>
      </x:c>
      <x:c r="S110" s="26" t="n">
        <x:f>'Resource Build-Up'!AF109</x:f>
        <x:v>0</x:v>
      </x:c>
      <x:c r="T110" s="100"/>
      <x:c r="U110" s="26"/>
      <x:c r="V110" s="26" t="n">
        <x:f>'Resource Build-Up'!AG109</x:f>
        <x:v>0</x:v>
      </x:c>
    </x:row>
    <x:row r="111" ht="32.400001525878906" customHeight="1">
      <x:c r="A111" s="98" t="s">
        <x:v>622</x:v>
      </x:c>
      <x:c r="B111" s="98" t="n">
        <x:f>'Resource Build-Up'!A110</x:f>
        <x:v>0</x:v>
      </x:c>
      <x:c r="C111" s="98" t="n">
        <x:f>'Resource Build-Up'!B110</x:f>
        <x:v>0</x:v>
      </x:c>
      <x:c r="D111" s="26" t="str">
        <x:f>'Resource Build-Up'!C110</x:f>
      </x:c>
      <x:c r="E111" s="26" t="n">
        <x:f>'Resource Build-Up'!H110</x:f>
        <x:v>0</x:v>
      </x:c>
      <x:c r="F111" s="26" t="n">
        <x:f>'Resource Build-Up'!P110</x:f>
        <x:v>0</x:v>
      </x:c>
      <x:c r="G111" s="26" t="n">
        <x:f>'Resource Build-Up'!Q110</x:f>
        <x:v>0</x:v>
      </x:c>
      <x:c r="H111" s="26" t="n">
        <x:f>'Resource Build-Up'!T110</x:f>
        <x:v>0</x:v>
      </x:c>
      <x:c r="I111" s="44" t="n">
        <x:f>'Resource Build-Up'!Y110</x:f>
        <x:v>0</x:v>
      </x:c>
      <x:c r="J111" s="44" t="str">
        <x:f>'Resource Build-Up'!Z110</x:f>
      </x:c>
      <x:c r="K111" s="26"/>
      <x:c r="L111" s="26"/>
      <x:c r="M111" s="26"/>
      <x:c r="N111" s="26"/>
      <x:c r="O111" s="26"/>
      <x:c r="P111" s="26"/>
      <x:c r="Q111" s="26">
        <x:f t="shared" si="3"/>
        <x:v>0</x:v>
      </x:c>
      <x:c r="R111" s="26" t="n">
        <x:f>'Resource Build-Up'!AC110</x:f>
        <x:v>0</x:v>
      </x:c>
      <x:c r="S111" s="26" t="n">
        <x:f>'Resource Build-Up'!AF110</x:f>
        <x:v>0</x:v>
      </x:c>
      <x:c r="T111" s="100"/>
      <x:c r="U111" s="26"/>
      <x:c r="V111" s="26" t="n">
        <x:f>'Resource Build-Up'!AG110</x:f>
        <x:v>0</x:v>
      </x:c>
    </x:row>
    <x:row r="112" ht="32.400001525878906" customHeight="1">
      <x:c r="A112" s="98" t="s">
        <x:v>623</x:v>
      </x:c>
      <x:c r="B112" s="98" t="n">
        <x:f>'Resource Build-Up'!A111</x:f>
        <x:v>0</x:v>
      </x:c>
      <x:c r="C112" s="98" t="n">
        <x:f>'Resource Build-Up'!B111</x:f>
        <x:v>0</x:v>
      </x:c>
      <x:c r="D112" s="26" t="str">
        <x:f>'Resource Build-Up'!C111</x:f>
      </x:c>
      <x:c r="E112" s="26" t="n">
        <x:f>'Resource Build-Up'!H111</x:f>
        <x:v>0</x:v>
      </x:c>
      <x:c r="F112" s="26" t="n">
        <x:f>'Resource Build-Up'!P111</x:f>
        <x:v>0</x:v>
      </x:c>
      <x:c r="G112" s="26" t="n">
        <x:f>'Resource Build-Up'!Q111</x:f>
        <x:v>0</x:v>
      </x:c>
      <x:c r="H112" s="26" t="n">
        <x:f>'Resource Build-Up'!T111</x:f>
        <x:v>0</x:v>
      </x:c>
      <x:c r="I112" s="44" t="n">
        <x:f>'Resource Build-Up'!Y111</x:f>
        <x:v>0</x:v>
      </x:c>
      <x:c r="J112" s="44" t="str">
        <x:f>'Resource Build-Up'!Z111</x:f>
      </x:c>
      <x:c r="K112" s="26"/>
      <x:c r="L112" s="26"/>
      <x:c r="M112" s="26"/>
      <x:c r="N112" s="26"/>
      <x:c r="O112" s="26"/>
      <x:c r="P112" s="26"/>
      <x:c r="Q112" s="26">
        <x:f t="shared" si="3"/>
        <x:v>0</x:v>
      </x:c>
      <x:c r="R112" s="26" t="n">
        <x:f>'Resource Build-Up'!AC111</x:f>
        <x:v>0</x:v>
      </x:c>
      <x:c r="S112" s="26" t="n">
        <x:f>'Resource Build-Up'!AF111</x:f>
        <x:v>0</x:v>
      </x:c>
      <x:c r="T112" s="100"/>
      <x:c r="U112" s="26"/>
      <x:c r="V112" s="26" t="n">
        <x:f>'Resource Build-Up'!AG111</x:f>
        <x:v>0</x:v>
      </x:c>
    </x:row>
    <x:row r="113" ht="32.400001525878906" customHeight="1">
      <x:c r="A113" s="98" t="s">
        <x:v>624</x:v>
      </x:c>
      <x:c r="B113" s="98" t="n">
        <x:f>'Resource Build-Up'!A112</x:f>
        <x:v>0</x:v>
      </x:c>
      <x:c r="C113" s="98" t="n">
        <x:f>'Resource Build-Up'!B112</x:f>
        <x:v>0</x:v>
      </x:c>
      <x:c r="D113" s="26" t="str">
        <x:f>'Resource Build-Up'!C112</x:f>
      </x:c>
      <x:c r="E113" s="26" t="n">
        <x:f>'Resource Build-Up'!H112</x:f>
        <x:v>0</x:v>
      </x:c>
      <x:c r="F113" s="26" t="n">
        <x:f>'Resource Build-Up'!P112</x:f>
        <x:v>0</x:v>
      </x:c>
      <x:c r="G113" s="26" t="n">
        <x:f>'Resource Build-Up'!Q112</x:f>
        <x:v>0</x:v>
      </x:c>
      <x:c r="H113" s="26" t="n">
        <x:f>'Resource Build-Up'!T112</x:f>
        <x:v>0</x:v>
      </x:c>
      <x:c r="I113" s="44" t="n">
        <x:f>'Resource Build-Up'!Y112</x:f>
        <x:v>0</x:v>
      </x:c>
      <x:c r="J113" s="44" t="str">
        <x:f>'Resource Build-Up'!Z112</x:f>
      </x:c>
      <x:c r="K113" s="26"/>
      <x:c r="L113" s="26"/>
      <x:c r="M113" s="26"/>
      <x:c r="N113" s="26"/>
      <x:c r="O113" s="26"/>
      <x:c r="P113" s="26"/>
      <x:c r="Q113" s="26">
        <x:f t="shared" si="3"/>
        <x:v>1</x:v>
      </x:c>
      <x:c r="R113" s="26" t="n">
        <x:f>'Resource Build-Up'!AC112</x:f>
        <x:v>0</x:v>
      </x:c>
      <x:c r="S113" s="26" t="n">
        <x:f>'Resource Build-Up'!AF112</x:f>
        <x:v>0</x:v>
      </x:c>
      <x:c r="T113" s="99"/>
      <x:c r="U113" s="26"/>
      <x:c r="V113" s="26" t="n">
        <x:f>'Resource Build-Up'!AG112</x:f>
        <x:v>0</x:v>
      </x:c>
    </x:row>
    <x:row r="114" ht="32.400001525878906" customHeight="1">
      <x:c r="A114" s="98" t="s">
        <x:v>625</x:v>
      </x:c>
      <x:c r="B114" s="98" t="n">
        <x:f>'Resource Build-Up'!A113</x:f>
        <x:v>0</x:v>
      </x:c>
      <x:c r="C114" s="98" t="n">
        <x:f>'Resource Build-Up'!B113</x:f>
        <x:v>0</x:v>
      </x:c>
      <x:c r="D114" s="26" t="str">
        <x:f>'Resource Build-Up'!C113</x:f>
      </x:c>
      <x:c r="E114" s="26" t="n">
        <x:f>'Resource Build-Up'!H113</x:f>
        <x:v>0</x:v>
      </x:c>
      <x:c r="F114" s="26" t="n">
        <x:f>'Resource Build-Up'!P113</x:f>
        <x:v>0</x:v>
      </x:c>
      <x:c r="G114" s="26" t="n">
        <x:f>'Resource Build-Up'!Q113</x:f>
        <x:v>0</x:v>
      </x:c>
      <x:c r="H114" s="26" t="n">
        <x:f>'Resource Build-Up'!T113</x:f>
        <x:v>0</x:v>
      </x:c>
      <x:c r="I114" s="44" t="n">
        <x:f>'Resource Build-Up'!Y113</x:f>
        <x:v>0</x:v>
      </x:c>
      <x:c r="J114" s="44" t="str">
        <x:f>'Resource Build-Up'!Z113</x:f>
      </x:c>
      <x:c r="K114" s="26"/>
      <x:c r="L114" s="26"/>
      <x:c r="M114" s="26"/>
      <x:c r="N114" s="26"/>
      <x:c r="O114" s="26"/>
      <x:c r="P114" s="26"/>
      <x:c r="Q114" s="26">
        <x:f t="shared" si="3"/>
        <x:v>0</x:v>
      </x:c>
      <x:c r="R114" s="26" t="n">
        <x:f>'Resource Build-Up'!AC113</x:f>
        <x:v>0</x:v>
      </x:c>
      <x:c r="S114" s="26" t="n">
        <x:f>'Resource Build-Up'!AF113</x:f>
        <x:v>0</x:v>
      </x:c>
      <x:c r="T114" s="100"/>
      <x:c r="U114" s="26"/>
      <x:c r="V114" s="26" t="n">
        <x:f>'Resource Build-Up'!AG113</x:f>
        <x:v>0</x:v>
      </x:c>
    </x:row>
    <x:row r="115" ht="32.400001525878906" customHeight="1">
      <x:c r="A115" s="98" t="s">
        <x:v>626</x:v>
      </x:c>
      <x:c r="B115" s="98" t="n">
        <x:f>'Resource Build-Up'!A114</x:f>
        <x:v>0</x:v>
      </x:c>
      <x:c r="C115" s="98" t="n">
        <x:f>'Resource Build-Up'!B114</x:f>
        <x:v>0</x:v>
      </x:c>
      <x:c r="D115" s="26" t="str">
        <x:f>'Resource Build-Up'!C114</x:f>
      </x:c>
      <x:c r="E115" s="26" t="n">
        <x:f>'Resource Build-Up'!H114</x:f>
        <x:v>0</x:v>
      </x:c>
      <x:c r="F115" s="26" t="n">
        <x:f>'Resource Build-Up'!P114</x:f>
        <x:v>0</x:v>
      </x:c>
      <x:c r="G115" s="26" t="n">
        <x:f>'Resource Build-Up'!Q114</x:f>
        <x:v>0</x:v>
      </x:c>
      <x:c r="H115" s="26" t="n">
        <x:f>'Resource Build-Up'!T114</x:f>
        <x:v>0</x:v>
      </x:c>
      <x:c r="I115" s="44" t="n">
        <x:f>'Resource Build-Up'!Y114</x:f>
        <x:v>0</x:v>
      </x:c>
      <x:c r="J115" s="44" t="str">
        <x:f>'Resource Build-Up'!Z114</x:f>
      </x:c>
      <x:c r="K115" s="26"/>
      <x:c r="L115" s="26"/>
      <x:c r="M115" s="26"/>
      <x:c r="N115" s="26"/>
      <x:c r="O115" s="26"/>
      <x:c r="P115" s="26"/>
      <x:c r="Q115" s="26">
        <x:f t="shared" si="3"/>
        <x:v>0</x:v>
      </x:c>
      <x:c r="R115" s="26" t="n">
        <x:f>'Resource Build-Up'!AC114</x:f>
        <x:v>0</x:v>
      </x:c>
      <x:c r="S115" s="26" t="n">
        <x:f>'Resource Build-Up'!AF114</x:f>
        <x:v>0</x:v>
      </x:c>
      <x:c r="T115" s="100"/>
      <x:c r="U115" s="26"/>
      <x:c r="V115" s="26" t="n">
        <x:f>'Resource Build-Up'!AG114</x:f>
        <x:v>0</x:v>
      </x:c>
    </x:row>
    <x:row r="116" ht="32.400001525878906" customHeight="1">
      <x:c r="A116" s="98" t="s">
        <x:v>627</x:v>
      </x:c>
      <x:c r="B116" s="98" t="n">
        <x:f>'Resource Build-Up'!A115</x:f>
        <x:v>0</x:v>
      </x:c>
      <x:c r="C116" s="98" t="n">
        <x:f>'Resource Build-Up'!B115</x:f>
        <x:v>0</x:v>
      </x:c>
      <x:c r="D116" s="26" t="str">
        <x:f>'Resource Build-Up'!C115</x:f>
      </x:c>
      <x:c r="E116" s="26" t="n">
        <x:f>'Resource Build-Up'!H115</x:f>
        <x:v>0</x:v>
      </x:c>
      <x:c r="F116" s="26" t="n">
        <x:f>'Resource Build-Up'!P115</x:f>
        <x:v>0</x:v>
      </x:c>
      <x:c r="G116" s="26" t="n">
        <x:f>'Resource Build-Up'!Q115</x:f>
        <x:v>0</x:v>
      </x:c>
      <x:c r="H116" s="26" t="n">
        <x:f>'Resource Build-Up'!T115</x:f>
        <x:v>0</x:v>
      </x:c>
      <x:c r="I116" s="44" t="n">
        <x:f>'Resource Build-Up'!Y115</x:f>
        <x:v>0</x:v>
      </x:c>
      <x:c r="J116" s="44" t="str">
        <x:f>'Resource Build-Up'!Z115</x:f>
      </x:c>
      <x:c r="K116" s="26"/>
      <x:c r="L116" s="26"/>
      <x:c r="M116" s="26"/>
      <x:c r="N116" s="26"/>
      <x:c r="O116" s="26"/>
      <x:c r="P116" s="26"/>
      <x:c r="Q116" s="26">
        <x:f t="shared" si="3"/>
        <x:v>1</x:v>
      </x:c>
      <x:c r="R116" s="26" t="n">
        <x:f>'Resource Build-Up'!AC115</x:f>
        <x:v>0</x:v>
      </x:c>
      <x:c r="S116" s="26" t="n">
        <x:f>'Resource Build-Up'!AF115</x:f>
        <x:v>0</x:v>
      </x:c>
      <x:c r="T116" s="99"/>
      <x:c r="U116" s="26"/>
      <x:c r="V116" s="26" t="n">
        <x:f>'Resource Build-Up'!AG115</x:f>
        <x:v>0</x:v>
      </x:c>
    </x:row>
    <x:row r="117" ht="32.400001525878906" customHeight="1">
      <x:c r="A117" s="98" t="s">
        <x:v>628</x:v>
      </x:c>
      <x:c r="B117" s="98" t="n">
        <x:f>'Resource Build-Up'!A116</x:f>
        <x:v>0</x:v>
      </x:c>
      <x:c r="C117" s="98" t="n">
        <x:f>'Resource Build-Up'!B116</x:f>
        <x:v>0</x:v>
      </x:c>
      <x:c r="D117" s="26" t="str">
        <x:f>'Resource Build-Up'!C116</x:f>
      </x:c>
      <x:c r="E117" s="26" t="n">
        <x:f>'Resource Build-Up'!H116</x:f>
        <x:v>0</x:v>
      </x:c>
      <x:c r="F117" s="26" t="n">
        <x:f>'Resource Build-Up'!P116</x:f>
        <x:v>0</x:v>
      </x:c>
      <x:c r="G117" s="26" t="n">
        <x:f>'Resource Build-Up'!Q116</x:f>
        <x:v>0</x:v>
      </x:c>
      <x:c r="H117" s="26" t="n">
        <x:f>'Resource Build-Up'!T116</x:f>
        <x:v>0</x:v>
      </x:c>
      <x:c r="I117" s="44" t="n">
        <x:f>'Resource Build-Up'!Y116</x:f>
        <x:v>0</x:v>
      </x:c>
      <x:c r="J117" s="44" t="str">
        <x:f>'Resource Build-Up'!Z116</x:f>
      </x:c>
      <x:c r="K117" s="26"/>
      <x:c r="L117" s="26"/>
      <x:c r="M117" s="26"/>
      <x:c r="N117" s="26"/>
      <x:c r="O117" s="26"/>
      <x:c r="P117" s="26"/>
      <x:c r="Q117" s="26">
        <x:f t="shared" si="3"/>
        <x:v>1</x:v>
      </x:c>
      <x:c r="R117" s="26" t="n">
        <x:f>'Resource Build-Up'!AC116</x:f>
        <x:v>0</x:v>
      </x:c>
      <x:c r="S117" s="26" t="n">
        <x:f>'Resource Build-Up'!AF116</x:f>
        <x:v>0</x:v>
      </x:c>
      <x:c r="T117" s="99"/>
      <x:c r="U117" s="26"/>
      <x:c r="V117" s="26" t="n">
        <x:f>'Resource Build-Up'!AG116</x:f>
        <x:v>0</x:v>
      </x:c>
    </x:row>
    <x:row r="118" ht="32.400001525878906" customHeight="1">
      <x:c r="A118" s="98" t="s">
        <x:v>629</x:v>
      </x:c>
      <x:c r="B118" s="98" t="n">
        <x:f>'Resource Build-Up'!A117</x:f>
        <x:v>0</x:v>
      </x:c>
      <x:c r="C118" s="98" t="n">
        <x:f>'Resource Build-Up'!B117</x:f>
        <x:v>0</x:v>
      </x:c>
      <x:c r="D118" s="26" t="str">
        <x:f>'Resource Build-Up'!C117</x:f>
      </x:c>
      <x:c r="E118" s="26" t="n">
        <x:f>'Resource Build-Up'!H117</x:f>
        <x:v>0</x:v>
      </x:c>
      <x:c r="F118" s="26" t="n">
        <x:f>'Resource Build-Up'!P117</x:f>
        <x:v>0</x:v>
      </x:c>
      <x:c r="G118" s="26" t="n">
        <x:f>'Resource Build-Up'!Q117</x:f>
        <x:v>0</x:v>
      </x:c>
      <x:c r="H118" s="26" t="n">
        <x:f>'Resource Build-Up'!T117</x:f>
        <x:v>0</x:v>
      </x:c>
      <x:c r="I118" s="44" t="n">
        <x:f>'Resource Build-Up'!Y117</x:f>
        <x:v>0</x:v>
      </x:c>
      <x:c r="J118" s="44" t="str">
        <x:f>'Resource Build-Up'!Z117</x:f>
      </x:c>
      <x:c r="K118" s="26"/>
      <x:c r="L118" s="26"/>
      <x:c r="M118" s="26"/>
      <x:c r="N118" s="26"/>
      <x:c r="O118" s="26"/>
      <x:c r="P118" s="26"/>
      <x:c r="Q118" s="26">
        <x:f t="shared" si="3"/>
        <x:v>1</x:v>
      </x:c>
      <x:c r="R118" s="26" t="n">
        <x:f>'Resource Build-Up'!AC117</x:f>
        <x:v>0</x:v>
      </x:c>
      <x:c r="S118" s="26" t="n">
        <x:f>'Resource Build-Up'!AF117</x:f>
        <x:v>0</x:v>
      </x:c>
      <x:c r="T118" s="99"/>
      <x:c r="U118" s="26"/>
      <x:c r="V118" s="26" t="n">
        <x:f>'Resource Build-Up'!AG117</x:f>
        <x:v>0</x:v>
      </x:c>
    </x:row>
    <x:row r="119" ht="32.400001525878906" customHeight="1">
      <x:c r="A119" s="98" t="s">
        <x:v>630</x:v>
      </x:c>
      <x:c r="B119" s="98" t="n">
        <x:f>'Resource Build-Up'!A118</x:f>
        <x:v>0</x:v>
      </x:c>
      <x:c r="C119" s="98" t="n">
        <x:f>'Resource Build-Up'!B118</x:f>
        <x:v>0</x:v>
      </x:c>
      <x:c r="D119" s="26" t="str">
        <x:f>'Resource Build-Up'!C118</x:f>
      </x:c>
      <x:c r="E119" s="26" t="n">
        <x:f>'Resource Build-Up'!H118</x:f>
        <x:v>0</x:v>
      </x:c>
      <x:c r="F119" s="26" t="n">
        <x:f>'Resource Build-Up'!P118</x:f>
        <x:v>0</x:v>
      </x:c>
      <x:c r="G119" s="26" t="n">
        <x:f>'Resource Build-Up'!Q118</x:f>
        <x:v>0</x:v>
      </x:c>
      <x:c r="H119" s="26" t="n">
        <x:f>'Resource Build-Up'!T118</x:f>
        <x:v>0</x:v>
      </x:c>
      <x:c r="I119" s="44" t="n">
        <x:f>'Resource Build-Up'!Y118</x:f>
        <x:v>0</x:v>
      </x:c>
      <x:c r="J119" s="44" t="str">
        <x:f>'Resource Build-Up'!Z118</x:f>
      </x:c>
      <x:c r="K119" s="26"/>
      <x:c r="L119" s="26"/>
      <x:c r="M119" s="26"/>
      <x:c r="N119" s="26"/>
      <x:c r="O119" s="26"/>
      <x:c r="P119" s="26"/>
      <x:c r="Q119" s="26">
        <x:f t="shared" si="3"/>
        <x:v>0</x:v>
      </x:c>
      <x:c r="R119" s="26" t="n">
        <x:f>'Resource Build-Up'!AC118</x:f>
        <x:v>0</x:v>
      </x:c>
      <x:c r="S119" s="26" t="n">
        <x:f>'Resource Build-Up'!AF118</x:f>
        <x:v>0</x:v>
      </x:c>
      <x:c r="T119" s="100"/>
      <x:c r="U119" s="26"/>
      <x:c r="V119" s="26" t="n">
        <x:f>'Resource Build-Up'!AG118</x:f>
        <x:v>0</x:v>
      </x:c>
    </x:row>
    <x:row r="120" ht="32.400001525878906" customHeight="1">
      <x:c r="A120" s="98" t="s">
        <x:v>631</x:v>
      </x:c>
      <x:c r="B120" s="98" t="n">
        <x:f>'Resource Build-Up'!A119</x:f>
        <x:v>0</x:v>
      </x:c>
      <x:c r="C120" s="98" t="n">
        <x:f>'Resource Build-Up'!B119</x:f>
        <x:v>0</x:v>
      </x:c>
      <x:c r="D120" s="26" t="str">
        <x:f>'Resource Build-Up'!C119</x:f>
      </x:c>
      <x:c r="E120" s="26" t="n">
        <x:f>'Resource Build-Up'!H119</x:f>
        <x:v>0</x:v>
      </x:c>
      <x:c r="F120" s="26" t="n">
        <x:f>'Resource Build-Up'!P119</x:f>
        <x:v>0</x:v>
      </x:c>
      <x:c r="G120" s="26" t="n">
        <x:f>'Resource Build-Up'!Q119</x:f>
        <x:v>0</x:v>
      </x:c>
      <x:c r="H120" s="26" t="n">
        <x:f>'Resource Build-Up'!T119</x:f>
        <x:v>0</x:v>
      </x:c>
      <x:c r="I120" s="44" t="n">
        <x:f>'Resource Build-Up'!Y119</x:f>
        <x:v>0</x:v>
      </x:c>
      <x:c r="J120" s="44" t="str">
        <x:f>'Resource Build-Up'!Z119</x:f>
      </x:c>
      <x:c r="K120" s="26"/>
      <x:c r="L120" s="26"/>
      <x:c r="M120" s="26"/>
      <x:c r="N120" s="26"/>
      <x:c r="O120" s="26"/>
      <x:c r="P120" s="26"/>
      <x:c r="Q120" s="26">
        <x:f t="shared" si="3"/>
        <x:v>3</x:v>
      </x:c>
      <x:c r="R120" s="26" t="n">
        <x:f>'Resource Build-Up'!AC119</x:f>
        <x:v>0</x:v>
      </x:c>
      <x:c r="S120" s="26" t="n">
        <x:f>'Resource Build-Up'!AF119</x:f>
        <x:v>0</x:v>
      </x:c>
      <x:c r="T120" s="101"/>
      <x:c r="U120" s="26"/>
      <x:c r="V120" s="26" t="n">
        <x:f>'Resource Build-Up'!AG119</x:f>
        <x:v>0</x:v>
      </x:c>
    </x:row>
    <x:row r="121" ht="32.400001525878906" customHeight="1">
      <x:c r="A121" s="98" t="s">
        <x:v>632</x:v>
      </x:c>
      <x:c r="B121" s="98" t="n">
        <x:f>'Resource Build-Up'!A120</x:f>
        <x:v>0</x:v>
      </x:c>
      <x:c r="C121" s="98" t="n">
        <x:f>'Resource Build-Up'!B120</x:f>
        <x:v>0</x:v>
      </x:c>
      <x:c r="D121" s="26" t="str">
        <x:f>'Resource Build-Up'!C120</x:f>
      </x:c>
      <x:c r="E121" s="26" t="n">
        <x:f>'Resource Build-Up'!H120</x:f>
        <x:v>0</x:v>
      </x:c>
      <x:c r="F121" s="26" t="n">
        <x:f>'Resource Build-Up'!P120</x:f>
        <x:v>0</x:v>
      </x:c>
      <x:c r="G121" s="26" t="n">
        <x:f>'Resource Build-Up'!Q120</x:f>
        <x:v>0</x:v>
      </x:c>
      <x:c r="H121" s="26" t="n">
        <x:f>'Resource Build-Up'!T120</x:f>
        <x:v>0</x:v>
      </x:c>
      <x:c r="I121" s="44" t="n">
        <x:f>'Resource Build-Up'!Y120</x:f>
        <x:v>0</x:v>
      </x:c>
      <x:c r="J121" s="44" t="str">
        <x:f>'Resource Build-Up'!Z120</x:f>
      </x:c>
      <x:c r="K121" s="26"/>
      <x:c r="L121" s="26"/>
      <x:c r="M121" s="26"/>
      <x:c r="N121" s="26"/>
      <x:c r="O121" s="26"/>
      <x:c r="P121" s="26"/>
      <x:c r="Q121" s="26">
        <x:f t="shared" si="3"/>
        <x:v>3</x:v>
      </x:c>
      <x:c r="R121" s="26" t="n">
        <x:f>'Resource Build-Up'!AC120</x:f>
        <x:v>0</x:v>
      </x:c>
      <x:c r="S121" s="26" t="n">
        <x:f>'Resource Build-Up'!AF120</x:f>
        <x:v>0</x:v>
      </x:c>
      <x:c r="T121" s="101"/>
      <x:c r="U121" s="26"/>
      <x:c r="V121" s="26" t="n">
        <x:f>'Resource Build-Up'!AG120</x:f>
        <x:v>0</x:v>
      </x:c>
    </x:row>
    <x:row r="122" ht="32.400001525878906" customHeight="1">
      <x:c r="A122" s="98" t="s">
        <x:v>633</x:v>
      </x:c>
      <x:c r="B122" s="98" t="n">
        <x:f>'Resource Build-Up'!A121</x:f>
        <x:v>0</x:v>
      </x:c>
      <x:c r="C122" s="98" t="n">
        <x:f>'Resource Build-Up'!B121</x:f>
        <x:v>0</x:v>
      </x:c>
      <x:c r="D122" s="26" t="str">
        <x:f>'Resource Build-Up'!C121</x:f>
      </x:c>
      <x:c r="E122" s="26" t="n">
        <x:f>'Resource Build-Up'!H121</x:f>
        <x:v>0</x:v>
      </x:c>
      <x:c r="F122" s="26" t="n">
        <x:f>'Resource Build-Up'!P121</x:f>
        <x:v>0</x:v>
      </x:c>
      <x:c r="G122" s="26" t="n">
        <x:f>'Resource Build-Up'!Q121</x:f>
        <x:v>0</x:v>
      </x:c>
      <x:c r="H122" s="26" t="n">
        <x:f>'Resource Build-Up'!T121</x:f>
        <x:v>0</x:v>
      </x:c>
      <x:c r="I122" s="44" t="n">
        <x:f>'Resource Build-Up'!Y121</x:f>
        <x:v>0</x:v>
      </x:c>
      <x:c r="J122" s="44" t="str">
        <x:f>'Resource Build-Up'!Z121</x:f>
      </x:c>
      <x:c r="K122" s="26"/>
      <x:c r="L122" s="26"/>
      <x:c r="M122" s="26"/>
      <x:c r="N122" s="26"/>
      <x:c r="O122" s="26"/>
      <x:c r="P122" s="26"/>
      <x:c r="Q122" s="26">
        <x:f t="shared" si="3"/>
        <x:v>1</x:v>
      </x:c>
      <x:c r="R122" s="26" t="n">
        <x:f>'Resource Build-Up'!AC121</x:f>
        <x:v>0</x:v>
      </x:c>
      <x:c r="S122" s="26" t="n">
        <x:f>'Resource Build-Up'!AF121</x:f>
        <x:v>0</x:v>
      </x:c>
      <x:c r="T122" s="99"/>
      <x:c r="U122" s="26"/>
      <x:c r="V122" s="26" t="n">
        <x:f>'Resource Build-Up'!AG121</x:f>
        <x:v>0</x:v>
      </x:c>
    </x:row>
    <x:row r="123" ht="32.400001525878906" customHeight="1">
      <x:c r="A123" s="98" t="s">
        <x:v>634</x:v>
      </x:c>
      <x:c r="B123" s="98" t="n">
        <x:f>'Resource Build-Up'!A122</x:f>
        <x:v>0</x:v>
      </x:c>
      <x:c r="C123" s="98" t="n">
        <x:f>'Resource Build-Up'!B122</x:f>
        <x:v>0</x:v>
      </x:c>
      <x:c r="D123" s="26" t="str">
        <x:f>'Resource Build-Up'!C122</x:f>
      </x:c>
      <x:c r="E123" s="26" t="n">
        <x:f>'Resource Build-Up'!H122</x:f>
        <x:v>0</x:v>
      </x:c>
      <x:c r="F123" s="26" t="n">
        <x:f>'Resource Build-Up'!P122</x:f>
        <x:v>0</x:v>
      </x:c>
      <x:c r="G123" s="26" t="n">
        <x:f>'Resource Build-Up'!Q122</x:f>
        <x:v>0</x:v>
      </x:c>
      <x:c r="H123" s="26" t="n">
        <x:f>'Resource Build-Up'!T122</x:f>
        <x:v>0</x:v>
      </x:c>
      <x:c r="I123" s="44" t="n">
        <x:f>'Resource Build-Up'!Y122</x:f>
        <x:v>0</x:v>
      </x:c>
      <x:c r="J123" s="44" t="str">
        <x:f>'Resource Build-Up'!Z122</x:f>
      </x:c>
      <x:c r="K123" s="26"/>
      <x:c r="L123" s="26"/>
      <x:c r="M123" s="26"/>
      <x:c r="N123" s="26"/>
      <x:c r="O123" s="26"/>
      <x:c r="P123" s="26"/>
      <x:c r="Q123" s="26">
        <x:f t="shared" si="3"/>
        <x:v>2</x:v>
      </x:c>
      <x:c r="R123" s="26" t="n">
        <x:f>'Resource Build-Up'!AC122</x:f>
        <x:v>0</x:v>
      </x:c>
      <x:c r="S123" s="26" t="n">
        <x:f>'Resource Build-Up'!AF122</x:f>
        <x:v>0</x:v>
      </x:c>
      <x:c r="T123" s="99"/>
      <x:c r="U123" s="26"/>
      <x:c r="V123" s="26" t="n">
        <x:f>'Resource Build-Up'!AG122</x:f>
        <x:v>0</x:v>
      </x:c>
    </x:row>
    <x:row r="124" ht="32.400001525878906" customHeight="1">
      <x:c r="A124" s="98" t="s">
        <x:v>635</x:v>
      </x:c>
      <x:c r="B124" s="98" t="n">
        <x:f>'Resource Build-Up'!A123</x:f>
        <x:v>0</x:v>
      </x:c>
      <x:c r="C124" s="98" t="n">
        <x:f>'Resource Build-Up'!B123</x:f>
        <x:v>0</x:v>
      </x:c>
      <x:c r="D124" s="26" t="str">
        <x:f>'Resource Build-Up'!C123</x:f>
      </x:c>
      <x:c r="E124" s="26" t="n">
        <x:f>'Resource Build-Up'!H123</x:f>
        <x:v>0</x:v>
      </x:c>
      <x:c r="F124" s="26" t="n">
        <x:f>'Resource Build-Up'!P123</x:f>
        <x:v>0</x:v>
      </x:c>
      <x:c r="G124" s="26" t="n">
        <x:f>'Resource Build-Up'!Q123</x:f>
        <x:v>0</x:v>
      </x:c>
      <x:c r="H124" s="26" t="n">
        <x:f>'Resource Build-Up'!T123</x:f>
        <x:v>0</x:v>
      </x:c>
      <x:c r="I124" s="44" t="n">
        <x:f>'Resource Build-Up'!Y123</x:f>
        <x:v>0</x:v>
      </x:c>
      <x:c r="J124" s="44" t="str">
        <x:f>'Resource Build-Up'!Z123</x:f>
      </x:c>
      <x:c r="K124" s="26"/>
      <x:c r="L124" s="26"/>
      <x:c r="M124" s="26"/>
      <x:c r="N124" s="26"/>
      <x:c r="O124" s="26"/>
      <x:c r="P124" s="26"/>
      <x:c r="Q124" s="26">
        <x:f t="shared" si="3"/>
        <x:v>1</x:v>
      </x:c>
      <x:c r="R124" s="26" t="n">
        <x:f>'Resource Build-Up'!AC123</x:f>
        <x:v>0</x:v>
      </x:c>
      <x:c r="S124" s="26" t="n">
        <x:f>'Resource Build-Up'!AF123</x:f>
        <x:v>0</x:v>
      </x:c>
      <x:c r="T124" s="100"/>
      <x:c r="U124" s="26"/>
      <x:c r="V124" s="26" t="n">
        <x:f>'Resource Build-Up'!AG123</x:f>
        <x:v>0</x:v>
      </x:c>
    </x:row>
    <x:row r="125" ht="32.400001525878906" customHeight="1">
      <x:c r="A125" s="98" t="s">
        <x:v>636</x:v>
      </x:c>
      <x:c r="B125" s="98" t="n">
        <x:f>'Resource Build-Up'!A124</x:f>
        <x:v>0</x:v>
      </x:c>
      <x:c r="C125" s="98" t="n">
        <x:f>'Resource Build-Up'!B124</x:f>
        <x:v>0</x:v>
      </x:c>
      <x:c r="D125" s="26" t="str">
        <x:f>'Resource Build-Up'!C124</x:f>
      </x:c>
      <x:c r="E125" s="26" t="n">
        <x:f>'Resource Build-Up'!H124</x:f>
        <x:v>0</x:v>
      </x:c>
      <x:c r="F125" s="26" t="n">
        <x:f>'Resource Build-Up'!P124</x:f>
        <x:v>0</x:v>
      </x:c>
      <x:c r="G125" s="26" t="n">
        <x:f>'Resource Build-Up'!Q124</x:f>
        <x:v>0</x:v>
      </x:c>
      <x:c r="H125" s="26" t="n">
        <x:f>'Resource Build-Up'!T124</x:f>
        <x:v>0</x:v>
      </x:c>
      <x:c r="I125" s="44" t="n">
        <x:f>'Resource Build-Up'!Y124</x:f>
        <x:v>0</x:v>
      </x:c>
      <x:c r="J125" s="44" t="str">
        <x:f>'Resource Build-Up'!Z124</x:f>
      </x:c>
      <x:c r="K125" s="26"/>
      <x:c r="L125" s="26"/>
      <x:c r="M125" s="26"/>
      <x:c r="N125" s="26"/>
      <x:c r="O125" s="26"/>
      <x:c r="P125" s="26"/>
      <x:c r="Q125" s="26">
        <x:f t="shared" si="3"/>
        <x:v>1</x:v>
      </x:c>
      <x:c r="R125" s="26" t="n">
        <x:f>'Resource Build-Up'!AC124</x:f>
        <x:v>0</x:v>
      </x:c>
      <x:c r="S125" s="26" t="n">
        <x:f>'Resource Build-Up'!AF124</x:f>
        <x:v>0</x:v>
      </x:c>
      <x:c r="T125" s="99"/>
      <x:c r="U125" s="26"/>
      <x:c r="V125" s="26" t="n">
        <x:f>'Resource Build-Up'!AG124</x:f>
        <x:v>0</x:v>
      </x:c>
    </x:row>
    <x:row r="126" ht="32.400001525878906" customHeight="1">
      <x:c r="A126" s="98" t="s">
        <x:v>637</x:v>
      </x:c>
      <x:c r="B126" s="98" t="n">
        <x:f>'Resource Build-Up'!A125</x:f>
        <x:v>0</x:v>
      </x:c>
      <x:c r="C126" s="98" t="n">
        <x:f>'Resource Build-Up'!B125</x:f>
        <x:v>0</x:v>
      </x:c>
      <x:c r="D126" s="26" t="str">
        <x:f>'Resource Build-Up'!C125</x:f>
      </x:c>
      <x:c r="E126" s="26" t="n">
        <x:f>'Resource Build-Up'!H125</x:f>
        <x:v>0</x:v>
      </x:c>
      <x:c r="F126" s="26" t="n">
        <x:f>'Resource Build-Up'!P125</x:f>
        <x:v>0</x:v>
      </x:c>
      <x:c r="G126" s="26" t="n">
        <x:f>'Resource Build-Up'!Q125</x:f>
        <x:v>0</x:v>
      </x:c>
      <x:c r="H126" s="26" t="n">
        <x:f>'Resource Build-Up'!T125</x:f>
        <x:v>0</x:v>
      </x:c>
      <x:c r="I126" s="44" t="n">
        <x:f>'Resource Build-Up'!Y125</x:f>
        <x:v>0</x:v>
      </x:c>
      <x:c r="J126" s="44" t="str">
        <x:f>'Resource Build-Up'!Z125</x:f>
      </x:c>
      <x:c r="K126" s="26"/>
      <x:c r="L126" s="26"/>
      <x:c r="M126" s="26"/>
      <x:c r="N126" s="26"/>
      <x:c r="O126" s="26"/>
      <x:c r="P126" s="26"/>
      <x:c r="Q126" s="26">
        <x:f t="shared" si="3"/>
        <x:v>1</x:v>
      </x:c>
      <x:c r="R126" s="26" t="n">
        <x:f>'Resource Build-Up'!AC125</x:f>
        <x:v>0</x:v>
      </x:c>
      <x:c r="S126" s="26" t="n">
        <x:f>'Resource Build-Up'!AF125</x:f>
        <x:v>0</x:v>
      </x:c>
      <x:c r="T126" s="99"/>
      <x:c r="U126" s="26"/>
      <x:c r="V126" s="26" t="n">
        <x:f>'Resource Build-Up'!AG125</x:f>
        <x:v>0</x:v>
      </x:c>
    </x:row>
    <x:row r="127" ht="32.400001525878906" customHeight="1">
      <x:c r="A127" s="98" t="s">
        <x:v>638</x:v>
      </x:c>
      <x:c r="B127" s="98" t="n">
        <x:f>'Resource Build-Up'!A126</x:f>
        <x:v>0</x:v>
      </x:c>
      <x:c r="C127" s="98" t="n">
        <x:f>'Resource Build-Up'!B126</x:f>
        <x:v>0</x:v>
      </x:c>
      <x:c r="D127" s="26" t="str">
        <x:f>'Resource Build-Up'!C126</x:f>
      </x:c>
      <x:c r="E127" s="26" t="n">
        <x:f>'Resource Build-Up'!H126</x:f>
        <x:v>0</x:v>
      </x:c>
      <x:c r="F127" s="26" t="n">
        <x:f>'Resource Build-Up'!P126</x:f>
        <x:v>0</x:v>
      </x:c>
      <x:c r="G127" s="26" t="n">
        <x:f>'Resource Build-Up'!Q126</x:f>
        <x:v>0</x:v>
      </x:c>
      <x:c r="H127" s="26" t="n">
        <x:f>'Resource Build-Up'!T126</x:f>
        <x:v>0</x:v>
      </x:c>
      <x:c r="I127" s="44" t="n">
        <x:f>'Resource Build-Up'!Y126</x:f>
        <x:v>0</x:v>
      </x:c>
      <x:c r="J127" s="44" t="str">
        <x:f>'Resource Build-Up'!Z126</x:f>
      </x:c>
      <x:c r="K127" s="26"/>
      <x:c r="L127" s="26"/>
      <x:c r="M127" s="26"/>
      <x:c r="N127" s="26"/>
      <x:c r="O127" s="26"/>
      <x:c r="P127" s="26"/>
      <x:c r="Q127" s="26">
        <x:f t="shared" si="3"/>
        <x:v>0</x:v>
      </x:c>
      <x:c r="R127" s="26" t="n">
        <x:f>'Resource Build-Up'!AC126</x:f>
        <x:v>0</x:v>
      </x:c>
      <x:c r="S127" s="26" t="n">
        <x:f>'Resource Build-Up'!AF126</x:f>
        <x:v>0</x:v>
      </x:c>
      <x:c r="T127" s="100"/>
      <x:c r="U127" s="26"/>
      <x:c r="V127" s="26" t="n">
        <x:f>'Resource Build-Up'!AG126</x:f>
        <x:v>0</x:v>
      </x:c>
    </x:row>
    <x:row r="128" ht="32.400001525878906" customHeight="1">
      <x:c r="A128" s="98" t="s">
        <x:v>639</x:v>
      </x:c>
      <x:c r="B128" s="98" t="n">
        <x:f>'Resource Build-Up'!A127</x:f>
        <x:v>0</x:v>
      </x:c>
      <x:c r="C128" s="98" t="n">
        <x:f>'Resource Build-Up'!B127</x:f>
        <x:v>0</x:v>
      </x:c>
      <x:c r="D128" s="26" t="str">
        <x:f>'Resource Build-Up'!C127</x:f>
      </x:c>
      <x:c r="E128" s="26" t="n">
        <x:f>'Resource Build-Up'!H127</x:f>
        <x:v>0</x:v>
      </x:c>
      <x:c r="F128" s="26" t="n">
        <x:f>'Resource Build-Up'!P127</x:f>
        <x:v>0</x:v>
      </x:c>
      <x:c r="G128" s="26" t="n">
        <x:f>'Resource Build-Up'!Q127</x:f>
        <x:v>0</x:v>
      </x:c>
      <x:c r="H128" s="26" t="n">
        <x:f>'Resource Build-Up'!T127</x:f>
        <x:v>0</x:v>
      </x:c>
      <x:c r="I128" s="44" t="n">
        <x:f>'Resource Build-Up'!Y127</x:f>
        <x:v>0</x:v>
      </x:c>
      <x:c r="J128" s="44" t="str">
        <x:f>'Resource Build-Up'!Z127</x:f>
      </x:c>
      <x:c r="K128" s="26"/>
      <x:c r="L128" s="26"/>
      <x:c r="M128" s="26"/>
      <x:c r="N128" s="26"/>
      <x:c r="O128" s="26"/>
      <x:c r="P128" s="26"/>
      <x:c r="Q128" s="26">
        <x:f t="shared" si="3"/>
        <x:v>0</x:v>
      </x:c>
      <x:c r="R128" s="26" t="n">
        <x:f>'Resource Build-Up'!AC127</x:f>
        <x:v>0</x:v>
      </x:c>
      <x:c r="S128" s="26" t="n">
        <x:f>'Resource Build-Up'!AF127</x:f>
        <x:v>0</x:v>
      </x:c>
      <x:c r="T128" s="100"/>
      <x:c r="U128" s="26"/>
      <x:c r="V128" s="26" t="n">
        <x:f>'Resource Build-Up'!AG127</x:f>
        <x:v>0</x:v>
      </x:c>
    </x:row>
    <x:row r="129" ht="32.400001525878906" customHeight="1">
      <x:c r="A129" s="98" t="s">
        <x:v>640</x:v>
      </x:c>
      <x:c r="B129" s="98" t="n">
        <x:f>'Resource Build-Up'!A128</x:f>
        <x:v>0</x:v>
      </x:c>
      <x:c r="C129" s="98" t="n">
        <x:f>'Resource Build-Up'!B128</x:f>
        <x:v>0</x:v>
      </x:c>
      <x:c r="D129" s="26" t="str">
        <x:f>'Resource Build-Up'!C128</x:f>
      </x:c>
      <x:c r="E129" s="26" t="n">
        <x:f>'Resource Build-Up'!H128</x:f>
        <x:v>0</x:v>
      </x:c>
      <x:c r="F129" s="26" t="n">
        <x:f>'Resource Build-Up'!P128</x:f>
        <x:v>0</x:v>
      </x:c>
      <x:c r="G129" s="26" t="n">
        <x:f>'Resource Build-Up'!Q128</x:f>
        <x:v>0</x:v>
      </x:c>
      <x:c r="H129" s="26" t="n">
        <x:f>'Resource Build-Up'!T128</x:f>
        <x:v>0</x:v>
      </x:c>
      <x:c r="I129" s="44" t="n">
        <x:f>'Resource Build-Up'!Y128</x:f>
        <x:v>0</x:v>
      </x:c>
      <x:c r="J129" s="44" t="str">
        <x:f>'Resource Build-Up'!Z128</x:f>
      </x:c>
      <x:c r="K129" s="26"/>
      <x:c r="L129" s="26"/>
      <x:c r="M129" s="26"/>
      <x:c r="N129" s="26"/>
      <x:c r="O129" s="26"/>
      <x:c r="P129" s="26"/>
      <x:c r="Q129" s="26">
        <x:f t="shared" si="3"/>
        <x:v>0</x:v>
      </x:c>
      <x:c r="R129" s="26" t="n">
        <x:f>'Resource Build-Up'!AC128</x:f>
        <x:v>0</x:v>
      </x:c>
      <x:c r="S129" s="26" t="n">
        <x:f>'Resource Build-Up'!AF128</x:f>
        <x:v>0</x:v>
      </x:c>
      <x:c r="T129" s="100"/>
      <x:c r="U129" s="26"/>
      <x:c r="V129" s="26" t="n">
        <x:f>'Resource Build-Up'!AG128</x:f>
        <x:v>0</x:v>
      </x:c>
    </x:row>
    <x:row r="130" ht="32.400001525878906" customHeight="1">
      <x:c r="A130" s="98" t="s">
        <x:v>641</x:v>
      </x:c>
      <x:c r="B130" s="98" t="n">
        <x:f>'Resource Build-Up'!A129</x:f>
        <x:v>0</x:v>
      </x:c>
      <x:c r="C130" s="98" t="n">
        <x:f>'Resource Build-Up'!B129</x:f>
        <x:v>0</x:v>
      </x:c>
      <x:c r="D130" s="26" t="str">
        <x:f>'Resource Build-Up'!C129</x:f>
      </x:c>
      <x:c r="E130" s="26" t="n">
        <x:f>'Resource Build-Up'!H129</x:f>
        <x:v>0</x:v>
      </x:c>
      <x:c r="F130" s="26" t="n">
        <x:f>'Resource Build-Up'!P129</x:f>
        <x:v>0</x:v>
      </x:c>
      <x:c r="G130" s="26" t="n">
        <x:f>'Resource Build-Up'!Q129</x:f>
        <x:v>0</x:v>
      </x:c>
      <x:c r="H130" s="26" t="n">
        <x:f>'Resource Build-Up'!T129</x:f>
        <x:v>0</x:v>
      </x:c>
      <x:c r="I130" s="44" t="n">
        <x:f>'Resource Build-Up'!Y129</x:f>
        <x:v>0</x:v>
      </x:c>
      <x:c r="J130" s="44" t="str">
        <x:f>'Resource Build-Up'!Z129</x:f>
      </x:c>
      <x:c r="K130" s="26"/>
      <x:c r="L130" s="26"/>
      <x:c r="M130" s="26"/>
      <x:c r="N130" s="26"/>
      <x:c r="O130" s="26"/>
      <x:c r="P130" s="26"/>
      <x:c r="Q130" s="26">
        <x:f t="shared" si="3"/>
        <x:v>0</x:v>
      </x:c>
      <x:c r="R130" s="26" t="n">
        <x:f>'Resource Build-Up'!AC129</x:f>
        <x:v>0</x:v>
      </x:c>
      <x:c r="S130" s="26" t="n">
        <x:f>'Resource Build-Up'!AF129</x:f>
        <x:v>0</x:v>
      </x:c>
      <x:c r="T130" s="100"/>
      <x:c r="U130" s="26"/>
      <x:c r="V130" s="26" t="n">
        <x:f>'Resource Build-Up'!AG129</x:f>
        <x:v>0</x:v>
      </x:c>
    </x:row>
    <x:row r="131" ht="32.400001525878906" customHeight="1">
      <x:c r="A131" s="98" t="s">
        <x:v>642</x:v>
      </x:c>
      <x:c r="B131" s="98" t="n">
        <x:f>'Resource Build-Up'!A130</x:f>
        <x:v>0</x:v>
      </x:c>
      <x:c r="C131" s="98" t="n">
        <x:f>'Resource Build-Up'!B130</x:f>
        <x:v>0</x:v>
      </x:c>
      <x:c r="D131" s="26" t="str">
        <x:f>'Resource Build-Up'!C130</x:f>
      </x:c>
      <x:c r="E131" s="26" t="n">
        <x:f>'Resource Build-Up'!H130</x:f>
        <x:v>0</x:v>
      </x:c>
      <x:c r="F131" s="26" t="n">
        <x:f>'Resource Build-Up'!P130</x:f>
        <x:v>0</x:v>
      </x:c>
      <x:c r="G131" s="26" t="n">
        <x:f>'Resource Build-Up'!Q130</x:f>
        <x:v>0</x:v>
      </x:c>
      <x:c r="H131" s="26" t="n">
        <x:f>'Resource Build-Up'!T130</x:f>
        <x:v>0</x:v>
      </x:c>
      <x:c r="I131" s="44" t="n">
        <x:f>'Resource Build-Up'!Y130</x:f>
        <x:v>0</x:v>
      </x:c>
      <x:c r="J131" s="44" t="str">
        <x:f>'Resource Build-Up'!Z130</x:f>
      </x:c>
      <x:c r="K131" s="26"/>
      <x:c r="L131" s="26"/>
      <x:c r="M131" s="26"/>
      <x:c r="N131" s="26"/>
      <x:c r="O131" s="26"/>
      <x:c r="P131" s="26"/>
      <x:c r="Q131" s="26">
        <x:f t="shared" si="3"/>
        <x:v>2</x:v>
      </x:c>
      <x:c r="R131" s="26" t="n">
        <x:f>'Resource Build-Up'!AC130</x:f>
        <x:v>0</x:v>
      </x:c>
      <x:c r="S131" s="26" t="n">
        <x:f>'Resource Build-Up'!AF130</x:f>
        <x:v>0</x:v>
      </x:c>
      <x:c r="T131" s="99"/>
      <x:c r="U131" s="26"/>
      <x:c r="V131" s="26" t="n">
        <x:f>'Resource Build-Up'!AG130</x:f>
        <x:v>0</x:v>
      </x:c>
    </x:row>
    <x:row r="132" ht="32.400001525878906" customHeight="1">
      <x:c r="A132" s="98" t="s">
        <x:v>643</x:v>
      </x:c>
      <x:c r="B132" s="98" t="n">
        <x:f>'Resource Build-Up'!A131</x:f>
        <x:v>0</x:v>
      </x:c>
      <x:c r="C132" s="98" t="n">
        <x:f>'Resource Build-Up'!B131</x:f>
        <x:v>0</x:v>
      </x:c>
      <x:c r="D132" s="26" t="str">
        <x:f>'Resource Build-Up'!C131</x:f>
      </x:c>
      <x:c r="E132" s="26" t="n">
        <x:f>'Resource Build-Up'!H131</x:f>
        <x:v>0</x:v>
      </x:c>
      <x:c r="F132" s="26" t="n">
        <x:f>'Resource Build-Up'!P131</x:f>
        <x:v>0</x:v>
      </x:c>
      <x:c r="G132" s="26" t="n">
        <x:f>'Resource Build-Up'!Q131</x:f>
        <x:v>0</x:v>
      </x:c>
      <x:c r="H132" s="26" t="n">
        <x:f>'Resource Build-Up'!T131</x:f>
        <x:v>0</x:v>
      </x:c>
      <x:c r="I132" s="44" t="n">
        <x:f>'Resource Build-Up'!Y131</x:f>
        <x:v>0</x:v>
      </x:c>
      <x:c r="J132" s="44" t="str">
        <x:f>'Resource Build-Up'!Z131</x:f>
      </x:c>
      <x:c r="K132" s="26"/>
      <x:c r="L132" s="26"/>
      <x:c r="M132" s="26"/>
      <x:c r="N132" s="26"/>
      <x:c r="O132" s="26"/>
      <x:c r="P132" s="26"/>
      <x:c r="Q132" s="26">
        <x:f t="shared" si="3"/>
        <x:v>0</x:v>
      </x:c>
      <x:c r="R132" s="26" t="n">
        <x:f>'Resource Build-Up'!AC131</x:f>
        <x:v>0</x:v>
      </x:c>
      <x:c r="S132" s="26" t="n">
        <x:f>'Resource Build-Up'!AF131</x:f>
        <x:v>0</x:v>
      </x:c>
      <x:c r="T132" s="100"/>
      <x:c r="U132" s="26"/>
      <x:c r="V132" s="26" t="n">
        <x:f>'Resource Build-Up'!AG131</x:f>
        <x:v>0</x:v>
      </x:c>
    </x:row>
    <x:row r="133" ht="32.400001525878906" customHeight="1">
      <x:c r="A133" s="98" t="s">
        <x:v>644</x:v>
      </x:c>
      <x:c r="B133" s="98" t="n">
        <x:f>'Resource Build-Up'!A132</x:f>
        <x:v>0</x:v>
      </x:c>
      <x:c r="C133" s="98" t="n">
        <x:f>'Resource Build-Up'!B132</x:f>
        <x:v>0</x:v>
      </x:c>
      <x:c r="D133" s="26" t="str">
        <x:f>'Resource Build-Up'!C132</x:f>
      </x:c>
      <x:c r="E133" s="26" t="n">
        <x:f>'Resource Build-Up'!H132</x:f>
        <x:v>0</x:v>
      </x:c>
      <x:c r="F133" s="26" t="n">
        <x:f>'Resource Build-Up'!P132</x:f>
        <x:v>0</x:v>
      </x:c>
      <x:c r="G133" s="26" t="n">
        <x:f>'Resource Build-Up'!Q132</x:f>
        <x:v>0</x:v>
      </x:c>
      <x:c r="H133" s="26" t="n">
        <x:f>'Resource Build-Up'!T132</x:f>
        <x:v>0</x:v>
      </x:c>
      <x:c r="I133" s="44" t="n">
        <x:f>'Resource Build-Up'!Y132</x:f>
        <x:v>0</x:v>
      </x:c>
      <x:c r="J133" s="44" t="str">
        <x:f>'Resource Build-Up'!Z132</x:f>
      </x:c>
      <x:c r="K133" s="26"/>
      <x:c r="L133" s="26"/>
      <x:c r="M133" s="26"/>
      <x:c r="N133" s="26"/>
      <x:c r="O133" s="26"/>
      <x:c r="P133" s="26"/>
      <x:c r="Q133" s="26">
        <x:f t="shared" si="3"/>
        <x:v>1</x:v>
      </x:c>
      <x:c r="R133" s="26" t="n">
        <x:f>'Resource Build-Up'!AC132</x:f>
        <x:v>0</x:v>
      </x:c>
      <x:c r="S133" s="26" t="n">
        <x:f>'Resource Build-Up'!AF132</x:f>
        <x:v>0</x:v>
      </x:c>
      <x:c r="T133" s="99"/>
      <x:c r="U133" s="26"/>
      <x:c r="V133" s="26" t="n">
        <x:f>'Resource Build-Up'!AG132</x:f>
        <x:v>0</x:v>
      </x:c>
    </x:row>
    <x:row r="134" ht="32.400001525878906" customHeight="1">
      <x:c r="A134" s="98" t="s">
        <x:v>645</x:v>
      </x:c>
      <x:c r="B134" s="98" t="n">
        <x:f>'Resource Build-Up'!A133</x:f>
        <x:v>0</x:v>
      </x:c>
      <x:c r="C134" s="98" t="n">
        <x:f>'Resource Build-Up'!B133</x:f>
        <x:v>0</x:v>
      </x:c>
      <x:c r="D134" s="26" t="str">
        <x:f>'Resource Build-Up'!C133</x:f>
      </x:c>
      <x:c r="E134" s="26" t="n">
        <x:f>'Resource Build-Up'!H133</x:f>
        <x:v>0</x:v>
      </x:c>
      <x:c r="F134" s="26" t="n">
        <x:f>'Resource Build-Up'!P133</x:f>
        <x:v>0</x:v>
      </x:c>
      <x:c r="G134" s="26" t="n">
        <x:f>'Resource Build-Up'!Q133</x:f>
        <x:v>0</x:v>
      </x:c>
      <x:c r="H134" s="26" t="n">
        <x:f>'Resource Build-Up'!T133</x:f>
        <x:v>0</x:v>
      </x:c>
      <x:c r="I134" s="44" t="n">
        <x:f>'Resource Build-Up'!Y133</x:f>
        <x:v>0</x:v>
      </x:c>
      <x:c r="J134" s="44" t="str">
        <x:f>'Resource Build-Up'!Z133</x:f>
      </x:c>
      <x:c r="K134" s="26"/>
      <x:c r="L134" s="26"/>
      <x:c r="M134" s="26"/>
      <x:c r="N134" s="26"/>
      <x:c r="O134" s="26"/>
      <x:c r="P134" s="26"/>
      <x:c r="Q134" s="26">
        <x:f t="shared" si="3"/>
        <x:v>1</x:v>
      </x:c>
      <x:c r="R134" s="26" t="n">
        <x:f>'Resource Build-Up'!AC133</x:f>
        <x:v>0</x:v>
      </x:c>
      <x:c r="S134" s="26" t="n">
        <x:f>'Resource Build-Up'!AF133</x:f>
        <x:v>0</x:v>
      </x:c>
      <x:c r="T134" s="99"/>
      <x:c r="U134" s="26"/>
      <x:c r="V134" s="26" t="n">
        <x:f>'Resource Build-Up'!AG133</x:f>
        <x:v>0</x:v>
      </x:c>
    </x:row>
    <x:row r="135" ht="32.400001525878906" customHeight="1">
      <x:c r="A135" s="98" t="s">
        <x:v>646</x:v>
      </x:c>
      <x:c r="B135" s="98" t="n">
        <x:f>'Resource Build-Up'!A134</x:f>
        <x:v>0</x:v>
      </x:c>
      <x:c r="C135" s="98" t="n">
        <x:f>'Resource Build-Up'!B134</x:f>
        <x:v>0</x:v>
      </x:c>
      <x:c r="D135" s="26" t="str">
        <x:f>'Resource Build-Up'!C134</x:f>
      </x:c>
      <x:c r="E135" s="26" t="n">
        <x:f>'Resource Build-Up'!H134</x:f>
        <x:v>0</x:v>
      </x:c>
      <x:c r="F135" s="26" t="n">
        <x:f>'Resource Build-Up'!P134</x:f>
        <x:v>0</x:v>
      </x:c>
      <x:c r="G135" s="26" t="n">
        <x:f>'Resource Build-Up'!Q134</x:f>
        <x:v>0</x:v>
      </x:c>
      <x:c r="H135" s="26" t="n">
        <x:f>'Resource Build-Up'!T134</x:f>
        <x:v>0</x:v>
      </x:c>
      <x:c r="I135" s="44" t="n">
        <x:f>'Resource Build-Up'!Y134</x:f>
        <x:v>0</x:v>
      </x:c>
      <x:c r="J135" s="44" t="str">
        <x:f>'Resource Build-Up'!Z134</x:f>
      </x:c>
      <x:c r="K135" s="26"/>
      <x:c r="L135" s="26"/>
      <x:c r="M135" s="26"/>
      <x:c r="N135" s="26"/>
      <x:c r="O135" s="26"/>
      <x:c r="P135" s="26"/>
      <x:c r="Q135" s="26">
        <x:f t="shared" si="3"/>
        <x:v>0</x:v>
      </x:c>
      <x:c r="R135" s="26" t="n">
        <x:f>'Resource Build-Up'!AC134</x:f>
        <x:v>0</x:v>
      </x:c>
      <x:c r="S135" s="26" t="n">
        <x:f>'Resource Build-Up'!AF134</x:f>
        <x:v>0</x:v>
      </x:c>
      <x:c r="T135" s="100"/>
      <x:c r="U135" s="26"/>
      <x:c r="V135" s="26" t="n">
        <x:f>'Resource Build-Up'!AG134</x:f>
        <x:v>0</x:v>
      </x:c>
    </x:row>
    <x:row r="136" ht="32.400001525878906" customHeight="1">
      <x:c r="A136" s="98" t="s">
        <x:v>647</x:v>
      </x:c>
      <x:c r="B136" s="98" t="n">
        <x:f>'Resource Build-Up'!A135</x:f>
        <x:v>0</x:v>
      </x:c>
      <x:c r="C136" s="98" t="n">
        <x:f>'Resource Build-Up'!B135</x:f>
        <x:v>0</x:v>
      </x:c>
      <x:c r="D136" s="26" t="str">
        <x:f>'Resource Build-Up'!C135</x:f>
      </x:c>
      <x:c r="E136" s="26" t="n">
        <x:f>'Resource Build-Up'!H135</x:f>
        <x:v>0</x:v>
      </x:c>
      <x:c r="F136" s="26" t="n">
        <x:f>'Resource Build-Up'!P135</x:f>
        <x:v>0</x:v>
      </x:c>
      <x:c r="G136" s="26" t="n">
        <x:f>'Resource Build-Up'!Q135</x:f>
        <x:v>0</x:v>
      </x:c>
      <x:c r="H136" s="26" t="n">
        <x:f>'Resource Build-Up'!T135</x:f>
        <x:v>0</x:v>
      </x:c>
      <x:c r="I136" s="44" t="n">
        <x:f>'Resource Build-Up'!Y135</x:f>
        <x:v>0</x:v>
      </x:c>
      <x:c r="J136" s="44" t="str">
        <x:f>'Resource Build-Up'!Z135</x:f>
      </x:c>
      <x:c r="K136" s="26"/>
      <x:c r="L136" s="26"/>
      <x:c r="M136" s="26"/>
      <x:c r="N136" s="26"/>
      <x:c r="O136" s="26"/>
      <x:c r="P136" s="26"/>
      <x:c r="Q136" s="26" t="n">
        <x:f t="shared" ref="Q136" si="4">COUNTIF(L136,"PASS")+COUNTIF(N136,"PASS")+COUNTIF(P136,"PASS")</x:f>
        <x:v>0</x:v>
      </x:c>
      <x:c r="R136" s="26" t="n">
        <x:f>'Resource Build-Up'!AC135</x:f>
        <x:v>0</x:v>
      </x:c>
      <x:c r="S136" s="26" t="n">
        <x:f>'Resource Build-Up'!AF135</x:f>
        <x:v>0</x:v>
      </x:c>
      <x:c r="T136" s="99"/>
      <x:c r="U136" s="26"/>
      <x:c r="V136" s="26" t="n">
        <x:f>'Resource Build-Up'!AG135</x:f>
        <x:v>0</x:v>
      </x:c>
    </x:row>
  </x:sheetData>
  <x:mergeCells>
    <x:mergeCell ref="A1:V1"/>
    <x:mergeCell ref="A2:V2"/>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defaultRowHeight="13.800000190734863"/>
  <x:cols>
    <x:col min="1" max="1" width="10" customWidth="1"/>
    <x:col min="2" max="2" width="9" customWidth="1"/>
    <x:col min="3" max="3" width="36.5" customWidth="1"/>
    <x:col min="4" max="4" width="10" customWidth="1"/>
    <x:col min="5" max="5" width="68.59765625" customWidth="1"/>
    <x:col min="6" max="6" width="12" customWidth="1"/>
    <x:col min="7" max="7" width="10" customWidth="1"/>
    <x:col min="8" max="8" width="15" customWidth="1"/>
    <x:col min="9" max="10" width="16" customWidth="1"/>
    <x:col min="11" max="11" width="15" customWidth="1"/>
    <x:col min="12" max="12" width="17" customWidth="1"/>
    <x:col min="13" max="13" width="15" customWidth="1"/>
    <x:col min="14" max="14" width="13" customWidth="1"/>
    <x:col min="15" max="15" width="86.59765625" customWidth="1"/>
    <x:col min="16" max="16" width="28" customWidth="1"/>
    <x:col min="17" max="17" width="16" customWidth="1"/>
    <x:col min="18" max="18" width="65.5" customWidth="1"/>
    <x:col min="19" max="19" width="44.296875" customWidth="1"/>
    <x:col min="20" max="20" width="15" customWidth="1"/>
    <x:col min="21" max="21" width="12" customWidth="1"/>
    <x:col min="22" max="22" width="16" customWidth="1"/>
    <x:col min="23" max="23" width="14" customWidth="1"/>
    <x:col min="24" max="24" width="44" customWidth="1"/>
  </x:cols>
  <x:sheetData>
    <x:row r="1" ht="34.79999923706055" customHeight="1">
      <x:c r="A1" s="236" t="str">
        <x:v>PROGRAMME BUILD-UP &amp; MICROSOFT PROJECT EXPORT - MASTER ESTIMATE WORKBOOK REV4</x:v>
      </x:c>
      <x:c r="B1" s="236"/>
      <x:c r="C1" s="236"/>
      <x:c r="D1" s="236"/>
      <x:c r="E1" s="236"/>
      <x:c r="F1" s="236"/>
      <x:c r="G1" s="236"/>
      <x:c r="H1" s="236"/>
      <x:c r="I1" s="236"/>
      <x:c r="J1" s="236"/>
      <x:c r="K1" s="236"/>
      <x:c r="L1" s="236"/>
      <x:c r="M1" s="236"/>
      <x:c r="N1" s="236"/>
      <x:c r="O1" s="236"/>
      <x:c r="P1" s="236"/>
      <x:c r="Q1" s="236"/>
      <x:c r="R1" s="236"/>
      <x:c r="S1" s="236"/>
      <x:c r="T1" s="236"/>
      <x:c r="U1" s="236"/>
      <x:c r="V1" s="236"/>
      <x:c r="W1" s="236"/>
      <x:c r="X1" s="236"/>
    </x:row>
    <x:row r="2" s="3" customFormat="1" ht="34.79999923706055" customHeight="1">
      <x:c r="A2" s="238" t="str">
        <x:v>Programme durations derive from Resource Build-Up quantity/productivity unless an explicit programme override is entered. Set the current project calendar, start date, holidays, shutdowns and work fronts before issue.</x:v>
      </x:c>
      <x:c r="B2" s="238"/>
      <x:c r="C2" s="238"/>
      <x:c r="D2" s="238"/>
      <x:c r="E2" s="238"/>
      <x:c r="F2" s="238"/>
      <x:c r="G2" s="238"/>
      <x:c r="H2" s="238"/>
      <x:c r="I2" s="238"/>
      <x:c r="J2" s="238"/>
      <x:c r="K2" s="238"/>
      <x:c r="L2" s="238"/>
      <x:c r="M2" s="238"/>
      <x:c r="N2" s="238"/>
      <x:c r="O2" s="238"/>
      <x:c r="P2" s="238"/>
      <x:c r="Q2" s="238"/>
      <x:c r="R2" s="238"/>
      <x:c r="S2" s="238"/>
      <x:c r="T2" s="238"/>
      <x:c r="U2" s="238"/>
      <x:c r="V2" s="238"/>
      <x:c r="W2" s="238"/>
      <x:c r="X2" s="238"/>
    </x:row>
    <x:row r="3" s="3" customFormat="1" ht="34.79999923706055" customHeight="1">
      <x:c r="A3" s="239" t="str">
        <x:v>MS Project: import Tasks and map Name, Duration, Predecessors, Fixed Cost, Text fields, Notes, Task Mode and Fixed Cost Accrual. Do not also import the same resource costs when Fixed Cost is used, or costs will double.</x:v>
      </x:c>
      <x:c r="B3" s="239"/>
      <x:c r="C3" s="239"/>
      <x:c r="D3" s="239"/>
      <x:c r="E3" s="239"/>
      <x:c r="F3" s="239"/>
      <x:c r="G3" s="239"/>
      <x:c r="H3" s="239"/>
      <x:c r="I3" s="239"/>
      <x:c r="J3" s="239"/>
      <x:c r="K3" s="239"/>
      <x:c r="L3" s="239"/>
      <x:c r="M3" s="239"/>
      <x:c r="N3" s="239"/>
      <x:c r="O3" s="239"/>
      <x:c r="P3" s="239"/>
      <x:c r="Q3" s="239"/>
      <x:c r="R3" s="239"/>
      <x:c r="S3" s="239"/>
      <x:c r="T3" s="239"/>
      <x:c r="U3" s="239"/>
      <x:c r="V3" s="239"/>
      <x:c r="W3" s="239"/>
      <x:c r="X3" s="239"/>
    </x:row>
    <x:row r="4" s="3" customFormat="1" ht="34.79999923706055" customHeight="1">
      <x:c r="A4" s="240" t="s">
        <x:v>648</x:v>
      </x:c>
      <x:c r="B4" s="240"/>
      <x:c r="C4" s="240"/>
      <x:c r="D4" s="240"/>
      <x:c r="E4" s="240"/>
      <x:c r="F4" s="240"/>
      <x:c r="G4" s="240"/>
      <x:c r="H4" s="240"/>
      <x:c r="I4" s="240"/>
      <x:c r="J4" s="240"/>
      <x:c r="K4" s="240"/>
      <x:c r="L4" s="240"/>
      <x:c r="M4" s="240"/>
      <x:c r="N4" s="240"/>
      <x:c r="O4" s="240"/>
      <x:c r="P4" s="240"/>
      <x:c r="Q4" s="240"/>
      <x:c r="R4" s="240"/>
      <x:c r="S4" s="240"/>
      <x:c r="T4" s="240"/>
      <x:c r="U4" s="240"/>
      <x:c r="V4" s="240"/>
      <x:c r="W4" s="240"/>
      <x:c r="X4" s="240"/>
    </x:row>
    <x:row r="5" s="3" customFormat="1" ht="34.79999923706055" customHeight="1">
      <x:c r="A5" s="241" t="str">
        <x:v>PROGRAMME RECONCILIATION: J takes the largest linked Resource Build-Up applied duration for each QS code using AGGREGATE; K converts hours to working days; M uses a stated Programme Override where entered otherwise the derived duration. Reconcile critical path, elapsed duration and time-related costs before issue.</x:v>
      </x:c>
      <x:c r="B5" s="241"/>
      <x:c r="C5" s="241"/>
      <x:c r="D5" s="241"/>
      <x:c r="E5" s="241"/>
      <x:c r="F5" s="241"/>
      <x:c r="G5" s="241"/>
      <x:c r="H5" s="241"/>
      <x:c r="I5" s="241"/>
      <x:c r="J5" s="241"/>
      <x:c r="K5" s="241"/>
      <x:c r="L5" s="241"/>
      <x:c r="M5" s="241"/>
      <x:c r="N5" s="241"/>
      <x:c r="O5" s="241"/>
      <x:c r="P5" s="241"/>
      <x:c r="Q5" s="241"/>
      <x:c r="R5" s="241"/>
      <x:c r="S5" s="241"/>
      <x:c r="T5" s="241"/>
      <x:c r="U5" s="241"/>
      <x:c r="V5" s="241"/>
      <x:c r="W5" s="241"/>
      <x:c r="X5" s="241"/>
    </x:row>
    <x:row r="6" s="3" customFormat="1" ht="42" customHeight="1">
      <x:c r="A6" s="184" t="s">
        <x:v>649</x:v>
      </x:c>
      <x:c r="B6" s="184" t="s">
        <x:v>650</x:v>
      </x:c>
      <x:c r="C6" s="184" t="s">
        <x:v>469</x:v>
      </x:c>
      <x:c r="D6" s="184" t="s">
        <x:v>468</x:v>
      </x:c>
      <x:c r="E6" s="184" t="s">
        <x:v>651</x:v>
      </x:c>
      <x:c r="F6" s="184" t="s">
        <x:v>215</x:v>
      </x:c>
      <x:c r="G6" s="184" t="s">
        <x:v>214</x:v>
      </x:c>
      <x:c r="H6" s="184" t="s">
        <x:v>652</x:v>
      </x:c>
      <x:c r="I6" s="184" t="s">
        <x:v>653</x:v>
      </x:c>
      <x:c r="J6" s="184" t="s">
        <x:v>654</x:v>
      </x:c>
      <x:c r="K6" s="184" t="s">
        <x:v>655</x:v>
      </x:c>
      <x:c r="L6" s="184" t="s">
        <x:v>656</x:v>
      </x:c>
      <x:c r="M6" s="184" t="s">
        <x:v>657</x:v>
      </x:c>
      <x:c r="N6" s="184" t="s">
        <x:v>658</x:v>
      </x:c>
      <x:c r="O6" s="184" t="s">
        <x:v>659</x:v>
      </x:c>
      <x:c r="P6" s="184" t="s">
        <x:v>660</x:v>
      </x:c>
      <x:c r="Q6" s="184" t="s">
        <x:v>661</x:v>
      </x:c>
      <x:c r="R6" s="184" t="s">
        <x:v>662</x:v>
      </x:c>
      <x:c r="S6" s="184" t="s">
        <x:v>663</x:v>
      </x:c>
      <x:c r="T6" s="184" t="s">
        <x:v>664</x:v>
      </x:c>
      <x:c r="U6" s="184" t="s">
        <x:v>665</x:v>
      </x:c>
      <x:c r="V6" s="184" t="s">
        <x:v>666</x:v>
      </x:c>
      <x:c r="W6" s="184" t="s">
        <x:v>667</x:v>
      </x:c>
      <x:c r="X6" s="184" t="s">
        <x:v>16</x:v>
      </x:c>
    </x:row>
    <x:row r="7" s="3" customFormat="1" ht="52.79999923706055" customHeight="1">
      <x:c r="A7" s="30">
        <x:v>1</x:v>
      </x:c>
      <x:c r="B7" s="30" t="n">
        <x:v>3</x:v>
      </x:c>
      <x:c r="C7" s="106" t="str">
        <x:f>'QS Takeoff'!A3</x:f>
        <x:v>Preliminaries &amp; General</x:v>
      </x:c>
      <x:c r="D7" s="106" t="str">
        <x:f>'QS Takeoff'!B3</x:f>
        <x:v>PG01</x:v>
      </x:c>
      <x:c r="E7" s="106" t="str">
        <x:f>'QS Takeoff'!C3</x:f>
        <x:v>Project preliminaries / site management - programme dependent</x:v>
      </x:c>
      <x:c r="F7" s="106" t="n">
        <x:f>'QS Takeoff'!E3</x:f>
        <x:v>1</x:v>
      </x:c>
      <x:c r="G7" s="106" t="str">
        <x:f>'QS Takeoff'!D3</x:f>
        <x:v>LS</x:v>
      </x:c>
      <x:c r="H7" s="185" t="n">
        <x:f>'QS Takeoff'!G3</x:f>
        <x:v>48403.4</x:v>
      </x:c>
      <x:c r="I7" s="185" t="n">
        <x:f>SUMIF('Resource Build-Up'!$B$7:$B$306,D7,'Resource Build-Up'!$Z$7:$Z$306)</x:f>
        <x:v>48403.4</x:v>
      </x:c>
      <x:c r="J7" s="186" t="n">
        <x:f ca="1">IFERROR(AGGREGATE(14,6,'Resource Build-Up'!$M$7:$M$306/('Resource Build-Up'!$B$7:$B$306=D7),1),0)</x:f>
        <x:v>440</x:v>
      </x:c>
      <x:c r="K7" s="186" t="n">
        <x:f t="shared" ref="K7:K38" ca="1" si="0">IF(J7=0,"",ROUNDUP(J7/8,0))</x:f>
        <x:v>55</x:v>
      </x:c>
      <x:c r="L7" s="187" t="n">
        <x:v>55</x:v>
      </x:c>
      <x:c r="M7" s="186" t="n">
        <x:f t="shared" ref="M7:M38" si="1">IF(L7&lt;&gt;"",L7,K7)</x:f>
        <x:v>55</x:v>
      </x:c>
      <x:c r="N7" s="188" t="str">
        <x:f t="shared" ref="N7:N38" si="2">IF(M7="","",TEXT(M7,"0")&amp;" days")</x:f>
        <x:v>55 days</x:v>
      </x:c>
      <x:c r="O7" s="106" t="str">
        <x:v>BOARD-ADJUDICATED TENDER BASELINE</x:v>
      </x:c>
      <x:c r="P7" s="106"/>
      <x:c r="Q7" s="106"/>
      <x:c r="R7" s="106" t="str">
        <x:v>PG01 itemised: 440h supervision + 11wk facilities + survey/H&amp;S/waste/mobilisation + Q-07 CAR/TMP quoted core</x:v>
      </x:c>
      <x:c r="S7" s="189" t="str">
        <x:v>AMBER - ITEMISED / Q-07 QUOTED CORE</x:v>
      </x:c>
      <x:c r="T7" s="130" t="n">
        <x:f t="shared" ref="T7:T38" si="3">I7-H7</x:f>
        <x:v>0</x:v>
      </x:c>
      <x:c r="U7" s="106" t="str">
        <x:f t="shared" ref="U7:U38" si="4">IF(ABS(T7)&lt;0.01,"OK","CHECK")</x:f>
        <x:v>OK</x:v>
      </x:c>
      <x:c r="V7" s="106" t="str">
        <x:v>Auto Scheduled</x:v>
      </x:c>
      <x:c r="W7" s="106" t="str">
        <x:v>Prorated</x:v>
      </x:c>
      <x:c r="X7" s="106" t="str">
        <x:v>55 dry working days. Base supervision/facilities reconcile to this duration. Rev29 normal weather is separately modelled at 8.829 delay WD / CA10 $18,609.79.</x:v>
      </x:c>
    </x:row>
    <x:row r="8" s="3" customFormat="1" ht="52.79999923706055" customHeight="1">
      <x:c r="A8" s="30">
        <x:v>2</x:v>
      </x:c>
      <x:c r="B8" s="30"/>
      <x:c r="C8" s="106"/>
      <x:c r="D8" s="106"/>
      <x:c r="E8" s="106"/>
      <x:c r="F8" s="106"/>
      <x:c r="G8" s="106"/>
      <x:c r="H8" s="185"/>
      <x:c r="I8" s="185" t="n">
        <x:f>SUMIF('Resource Build-Up'!$B$7:$B$306,D8,'Resource Build-Up'!$Z$7:$Z$306)</x:f>
        <x:v>0</x:v>
      </x:c>
      <x:c r="J8" s="186" t="n">
        <x:f ca="1">IFERROR(AGGREGATE(14,6,'Resource Build-Up'!$M$7:$M$306/('Resource Build-Up'!$B$7:$B$306=D8),1),0)</x:f>
        <x:v>0</x:v>
      </x:c>
      <x:c r="K8" s="186" t="str">
        <x:f t="shared" ca="1" si="0">IF(J8=0,"",ROUNDUP(J8/8,0))</x:f>
      </x:c>
      <x:c r="L8" s="187"/>
      <x:c r="M8" s="186" t="str">
        <x:f t="shared" si="1">IF(L8&lt;&gt;"",L8,K8)</x:f>
      </x:c>
      <x:c r="N8" s="188" t="str">
        <x:f t="shared" si="2">IF(M8="","",TEXT(M8,"0")&amp;" days")</x:f>
      </x:c>
      <x:c r="O8" s="106"/>
      <x:c r="P8" s="106"/>
      <x:c r="Q8" s="106"/>
      <x:c r="R8" s="106"/>
      <x:c r="S8" s="189"/>
      <x:c r="T8" s="130" t="n">
        <x:f t="shared" si="3">I8-H8</x:f>
        <x:v>0</x:v>
      </x:c>
      <x:c r="U8" s="106" t="str">
        <x:f t="shared" si="4">IF(ABS(T8)&lt;0.01,"OK","CHECK")</x:f>
        <x:v>OK</x:v>
      </x:c>
      <x:c r="V8" s="106" t="str">
        <x:v>Auto Scheduled</x:v>
      </x:c>
      <x:c r="W8" s="106" t="str">
        <x:v>Prorated</x:v>
      </x:c>
      <x:c r="X8" s="106"/>
    </x:row>
    <x:row r="9" s="3" customFormat="1" ht="52.79999923706055" customHeight="1">
      <x:c r="A9" s="30">
        <x:v>3</x:v>
      </x:c>
      <x:c r="B9" s="30"/>
      <x:c r="C9" s="106"/>
      <x:c r="D9" s="106"/>
      <x:c r="E9" s="106"/>
      <x:c r="F9" s="106"/>
      <x:c r="G9" s="106"/>
      <x:c r="H9" s="185"/>
      <x:c r="I9" s="185" t="n">
        <x:f>SUMIF('Resource Build-Up'!$B$7:$B$306,D9,'Resource Build-Up'!$Z$7:$Z$306)</x:f>
        <x:v>0</x:v>
      </x:c>
      <x:c r="J9" s="186" t="n">
        <x:f ca="1">IFERROR(AGGREGATE(14,6,'Resource Build-Up'!$M$7:$M$306/('Resource Build-Up'!$B$7:$B$306=D9),1),0)</x:f>
        <x:v>0</x:v>
      </x:c>
      <x:c r="K9" s="186" t="str">
        <x:f t="shared" ca="1" si="0">IF(J9=0,"",ROUNDUP(J9/8,0))</x:f>
      </x:c>
      <x:c r="L9" s="187"/>
      <x:c r="M9" s="186" t="str">
        <x:f t="shared" si="1">IF(L9&lt;&gt;"",L9,K9)</x:f>
      </x:c>
      <x:c r="N9" s="188" t="str">
        <x:f t="shared" si="2">IF(M9="","",TEXT(M9,"0")&amp;" days")</x:f>
      </x:c>
      <x:c r="O9" s="106"/>
      <x:c r="P9" s="106"/>
      <x:c r="Q9" s="106"/>
      <x:c r="R9" s="106"/>
      <x:c r="S9" s="189"/>
      <x:c r="T9" s="130" t="n">
        <x:f t="shared" si="3">I9-H9</x:f>
        <x:v>0</x:v>
      </x:c>
      <x:c r="U9" s="106" t="str">
        <x:f t="shared" si="4">IF(ABS(T9)&lt;0.01,"OK","CHECK")</x:f>
        <x:v>OK</x:v>
      </x:c>
      <x:c r="V9" s="106" t="str">
        <x:v>Auto Scheduled</x:v>
      </x:c>
      <x:c r="W9" s="106" t="str">
        <x:v>Prorated</x:v>
      </x:c>
      <x:c r="X9" s="106"/>
    </x:row>
    <x:row r="10" s="3" customFormat="1" ht="52.79999923706055" customHeight="1">
      <x:c r="A10" s="30">
        <x:v>4</x:v>
      </x:c>
      <x:c r="B10" s="30"/>
      <x:c r="C10" s="106"/>
      <x:c r="D10" s="106"/>
      <x:c r="E10" s="106"/>
      <x:c r="F10" s="106"/>
      <x:c r="G10" s="106"/>
      <x:c r="H10" s="185"/>
      <x:c r="I10" s="185" t="n">
        <x:f>SUMIF('Resource Build-Up'!$B$7:$B$306,D10,'Resource Build-Up'!$Z$7:$Z$306)</x:f>
        <x:v>0</x:v>
      </x:c>
      <x:c r="J10" s="186" t="n">
        <x:f ca="1">IFERROR(AGGREGATE(14,6,'Resource Build-Up'!$M$7:$M$306/('Resource Build-Up'!$B$7:$B$306=D10),1),0)</x:f>
        <x:v>0</x:v>
      </x:c>
      <x:c r="K10" s="186" t="str">
        <x:f t="shared" ca="1" si="0">IF(J10=0,"",ROUNDUP(J10/8,0))</x:f>
      </x:c>
      <x:c r="L10" s="187"/>
      <x:c r="M10" s="186" t="str">
        <x:f t="shared" si="1">IF(L10&lt;&gt;"",L10,K10)</x:f>
      </x:c>
      <x:c r="N10" s="188" t="str">
        <x:f t="shared" si="2">IF(M10="","",TEXT(M10,"0")&amp;" days")</x:f>
      </x:c>
      <x:c r="O10" s="106"/>
      <x:c r="P10" s="106"/>
      <x:c r="Q10" s="106"/>
      <x:c r="R10" s="106"/>
      <x:c r="S10" s="189"/>
      <x:c r="T10" s="130" t="n">
        <x:f t="shared" si="3">I10-H10</x:f>
        <x:v>0</x:v>
      </x:c>
      <x:c r="U10" s="106" t="str">
        <x:f t="shared" si="4">IF(ABS(T10)&lt;0.01,"OK","CHECK")</x:f>
        <x:v>OK</x:v>
      </x:c>
      <x:c r="V10" s="106" t="str">
        <x:v>Auto Scheduled</x:v>
      </x:c>
      <x:c r="W10" s="106" t="str">
        <x:v>Prorated</x:v>
      </x:c>
      <x:c r="X10" s="106"/>
    </x:row>
    <x:row r="11" s="3" customFormat="1" ht="52.79999923706055" customHeight="1">
      <x:c r="A11" s="30">
        <x:v>5</x:v>
      </x:c>
      <x:c r="B11" s="30"/>
      <x:c r="C11" s="106"/>
      <x:c r="D11" s="106"/>
      <x:c r="E11" s="106"/>
      <x:c r="F11" s="106"/>
      <x:c r="G11" s="106"/>
      <x:c r="H11" s="185"/>
      <x:c r="I11" s="185" t="n">
        <x:f>SUMIF('Resource Build-Up'!$B$7:$B$306,D11,'Resource Build-Up'!$Z$7:$Z$306)</x:f>
        <x:v>0</x:v>
      </x:c>
      <x:c r="J11" s="186" t="n">
        <x:f ca="1">IFERROR(AGGREGATE(14,6,'Resource Build-Up'!$M$7:$M$306/('Resource Build-Up'!$B$7:$B$306=D11),1),0)</x:f>
        <x:v>0</x:v>
      </x:c>
      <x:c r="K11" s="186" t="str">
        <x:f t="shared" ca="1" si="0">IF(J11=0,"",ROUNDUP(J11/8,0))</x:f>
      </x:c>
      <x:c r="L11" s="187"/>
      <x:c r="M11" s="186" t="str">
        <x:f t="shared" si="1">IF(L11&lt;&gt;"",L11,K11)</x:f>
      </x:c>
      <x:c r="N11" s="188" t="str">
        <x:f t="shared" si="2">IF(M11="","",TEXT(M11,"0")&amp;" days")</x:f>
      </x:c>
      <x:c r="O11" s="106"/>
      <x:c r="P11" s="106"/>
      <x:c r="Q11" s="106"/>
      <x:c r="R11" s="106"/>
      <x:c r="S11" s="190"/>
      <x:c r="T11" s="130" t="n">
        <x:f t="shared" si="3">I11-H11</x:f>
        <x:v>0</x:v>
      </x:c>
      <x:c r="U11" s="106" t="str">
        <x:f t="shared" si="4">IF(ABS(T11)&lt;0.01,"OK","CHECK")</x:f>
        <x:v>OK</x:v>
      </x:c>
      <x:c r="V11" s="106" t="str">
        <x:v>Auto Scheduled</x:v>
      </x:c>
      <x:c r="W11" s="106" t="str">
        <x:v>Prorated</x:v>
      </x:c>
      <x:c r="X11" s="106"/>
    </x:row>
    <x:row r="12" s="3" customFormat="1" ht="52.79999923706055" customHeight="1">
      <x:c r="A12" s="30">
        <x:v>6</x:v>
      </x:c>
      <x:c r="B12" s="30"/>
      <x:c r="C12" s="106"/>
      <x:c r="D12" s="106"/>
      <x:c r="E12" s="106"/>
      <x:c r="F12" s="106"/>
      <x:c r="G12" s="106"/>
      <x:c r="H12" s="185"/>
      <x:c r="I12" s="185" t="n">
        <x:f>SUMIF('Resource Build-Up'!$B$7:$B$306,D12,'Resource Build-Up'!$Z$7:$Z$306)</x:f>
        <x:v>0</x:v>
      </x:c>
      <x:c r="J12" s="186" t="n">
        <x:f ca="1">IFERROR(AGGREGATE(14,6,'Resource Build-Up'!$M$7:$M$306/('Resource Build-Up'!$B$7:$B$306=D12),1),0)</x:f>
        <x:v>0</x:v>
      </x:c>
      <x:c r="K12" s="186" t="str">
        <x:f t="shared" ca="1" si="0">IF(J12=0,"",ROUNDUP(J12/8,0))</x:f>
      </x:c>
      <x:c r="L12" s="187"/>
      <x:c r="M12" s="186" t="str">
        <x:f t="shared" si="1">IF(L12&lt;&gt;"",L12,K12)</x:f>
      </x:c>
      <x:c r="N12" s="188" t="str">
        <x:f t="shared" si="2">IF(M12="","",TEXT(M12,"0")&amp;" days")</x:f>
      </x:c>
      <x:c r="O12" s="106"/>
      <x:c r="P12" s="106"/>
      <x:c r="Q12" s="106"/>
      <x:c r="R12" s="106"/>
      <x:c r="S12" s="190"/>
      <x:c r="T12" s="130" t="n">
        <x:f t="shared" si="3">I12-H12</x:f>
        <x:v>0</x:v>
      </x:c>
      <x:c r="U12" s="106" t="str">
        <x:f t="shared" si="4">IF(ABS(T12)&lt;0.01,"OK","CHECK")</x:f>
        <x:v>OK</x:v>
      </x:c>
      <x:c r="V12" s="106" t="str">
        <x:v>Auto Scheduled</x:v>
      </x:c>
      <x:c r="W12" s="106" t="str">
        <x:v>Prorated</x:v>
      </x:c>
      <x:c r="X12" s="106"/>
    </x:row>
    <x:row r="13" s="3" customFormat="1" ht="52.79999923706055" customHeight="1">
      <x:c r="A13" s="30">
        <x:v>7</x:v>
      </x:c>
      <x:c r="B13" s="30"/>
      <x:c r="C13" s="106"/>
      <x:c r="D13" s="106"/>
      <x:c r="E13" s="106"/>
      <x:c r="F13" s="106"/>
      <x:c r="G13" s="106"/>
      <x:c r="H13" s="185"/>
      <x:c r="I13" s="185" t="n">
        <x:f>SUMIF('Resource Build-Up'!$B$7:$B$306,D13,'Resource Build-Up'!$Z$7:$Z$306)</x:f>
        <x:v>0</x:v>
      </x:c>
      <x:c r="J13" s="186" t="n">
        <x:f ca="1">IFERROR(AGGREGATE(14,6,'Resource Build-Up'!$M$7:$M$306/('Resource Build-Up'!$B$7:$B$306=D13),1),0)</x:f>
        <x:v>0</x:v>
      </x:c>
      <x:c r="K13" s="186" t="str">
        <x:f t="shared" ca="1" si="0">IF(J13=0,"",ROUNDUP(J13/8,0))</x:f>
      </x:c>
      <x:c r="L13" s="187"/>
      <x:c r="M13" s="186" t="str">
        <x:f t="shared" si="1">IF(L13&lt;&gt;"",L13,K13)</x:f>
      </x:c>
      <x:c r="N13" s="188" t="str">
        <x:f t="shared" si="2">IF(M13="","",TEXT(M13,"0")&amp;" days")</x:f>
      </x:c>
      <x:c r="O13" s="106"/>
      <x:c r="P13" s="106"/>
      <x:c r="Q13" s="106"/>
      <x:c r="R13" s="106"/>
      <x:c r="S13" s="190"/>
      <x:c r="T13" s="130" t="n">
        <x:f t="shared" si="3">I13-H13</x:f>
        <x:v>0</x:v>
      </x:c>
      <x:c r="U13" s="106" t="str">
        <x:f t="shared" si="4">IF(ABS(T13)&lt;0.01,"OK","CHECK")</x:f>
        <x:v>OK</x:v>
      </x:c>
      <x:c r="V13" s="106" t="str">
        <x:v>Auto Scheduled</x:v>
      </x:c>
      <x:c r="W13" s="106" t="str">
        <x:v>Prorated</x:v>
      </x:c>
      <x:c r="X13" s="106"/>
    </x:row>
    <x:row r="14" s="3" customFormat="1" ht="52.79999923706055" customHeight="1">
      <x:c r="A14" s="30">
        <x:v>8</x:v>
      </x:c>
      <x:c r="B14" s="30"/>
      <x:c r="C14" s="106"/>
      <x:c r="D14" s="106"/>
      <x:c r="E14" s="106"/>
      <x:c r="F14" s="106"/>
      <x:c r="G14" s="106"/>
      <x:c r="H14" s="185"/>
      <x:c r="I14" s="185" t="n">
        <x:f>SUMIF('Resource Build-Up'!$B$7:$B$306,D14,'Resource Build-Up'!$Z$7:$Z$306)</x:f>
        <x:v>0</x:v>
      </x:c>
      <x:c r="J14" s="186" t="n">
        <x:f ca="1">IFERROR(AGGREGATE(14,6,'Resource Build-Up'!$M$7:$M$306/('Resource Build-Up'!$B$7:$B$306=D14),1),0)</x:f>
        <x:v>0</x:v>
      </x:c>
      <x:c r="K14" s="186" t="str">
        <x:f t="shared" ca="1" si="0">IF(J14=0,"",ROUNDUP(J14/8,0))</x:f>
      </x:c>
      <x:c r="L14" s="187"/>
      <x:c r="M14" s="186" t="str">
        <x:f t="shared" si="1">IF(L14&lt;&gt;"",L14,K14)</x:f>
      </x:c>
      <x:c r="N14" s="188" t="str">
        <x:f t="shared" si="2">IF(M14="","",TEXT(M14,"0")&amp;" days")</x:f>
      </x:c>
      <x:c r="O14" s="106"/>
      <x:c r="P14" s="106"/>
      <x:c r="Q14" s="106"/>
      <x:c r="R14" s="106"/>
      <x:c r="S14" s="190"/>
      <x:c r="T14" s="130" t="n">
        <x:f t="shared" si="3">I14-H14</x:f>
        <x:v>0</x:v>
      </x:c>
      <x:c r="U14" s="106" t="str">
        <x:f t="shared" si="4">IF(ABS(T14)&lt;0.01,"OK","CHECK")</x:f>
        <x:v>OK</x:v>
      </x:c>
      <x:c r="V14" s="106" t="str">
        <x:v>Auto Scheduled</x:v>
      </x:c>
      <x:c r="W14" s="106" t="str">
        <x:v>Prorated</x:v>
      </x:c>
      <x:c r="X14" s="106"/>
    </x:row>
    <x:row r="15" s="3" customFormat="1" ht="52.79999923706055" customHeight="1">
      <x:c r="A15" s="30">
        <x:v>9</x:v>
      </x:c>
      <x:c r="B15" s="30"/>
      <x:c r="C15" s="106"/>
      <x:c r="D15" s="106"/>
      <x:c r="E15" s="106"/>
      <x:c r="F15" s="106"/>
      <x:c r="G15" s="106"/>
      <x:c r="H15" s="185"/>
      <x:c r="I15" s="185" t="n">
        <x:f>SUMIF('Resource Build-Up'!$B$7:$B$306,D15,'Resource Build-Up'!$Z$7:$Z$306)</x:f>
        <x:v>0</x:v>
      </x:c>
      <x:c r="J15" s="186" t="n">
        <x:f ca="1">IFERROR(AGGREGATE(14,6,'Resource Build-Up'!$M$7:$M$306/('Resource Build-Up'!$B$7:$B$306=D15),1),0)</x:f>
        <x:v>0</x:v>
      </x:c>
      <x:c r="K15" s="186" t="str">
        <x:f t="shared" ca="1" si="0">IF(J15=0,"",ROUNDUP(J15/8,0))</x:f>
      </x:c>
      <x:c r="L15" s="187"/>
      <x:c r="M15" s="186" t="str">
        <x:f t="shared" si="1">IF(L15&lt;&gt;"",L15,K15)</x:f>
      </x:c>
      <x:c r="N15" s="188" t="str">
        <x:f t="shared" si="2">IF(M15="","",TEXT(M15,"0")&amp;" days")</x:f>
      </x:c>
      <x:c r="O15" s="106"/>
      <x:c r="P15" s="106"/>
      <x:c r="Q15" s="106"/>
      <x:c r="R15" s="106"/>
      <x:c r="S15" s="189"/>
      <x:c r="T15" s="130" t="n">
        <x:f t="shared" si="3">I15-H15</x:f>
        <x:v>0</x:v>
      </x:c>
      <x:c r="U15" s="106" t="str">
        <x:f t="shared" si="4">IF(ABS(T15)&lt;0.01,"OK","CHECK")</x:f>
        <x:v>OK</x:v>
      </x:c>
      <x:c r="V15" s="106" t="str">
        <x:v>Auto Scheduled</x:v>
      </x:c>
      <x:c r="W15" s="106" t="str">
        <x:v>Prorated</x:v>
      </x:c>
      <x:c r="X15" s="106"/>
    </x:row>
    <x:row r="16" s="3" customFormat="1" ht="52.79999923706055" customHeight="1">
      <x:c r="A16" s="30">
        <x:v>10</x:v>
      </x:c>
      <x:c r="B16" s="30"/>
      <x:c r="C16" s="106"/>
      <x:c r="D16" s="106"/>
      <x:c r="E16" s="106"/>
      <x:c r="F16" s="106"/>
      <x:c r="G16" s="106"/>
      <x:c r="H16" s="185"/>
      <x:c r="I16" s="185" t="n">
        <x:f>SUMIF('Resource Build-Up'!$B$7:$B$306,D16,'Resource Build-Up'!$Z$7:$Z$306)</x:f>
        <x:v>0</x:v>
      </x:c>
      <x:c r="J16" s="186" t="n">
        <x:f ca="1">IFERROR(AGGREGATE(14,6,'Resource Build-Up'!$M$7:$M$306/('Resource Build-Up'!$B$7:$B$306=D16),1),0)</x:f>
        <x:v>0</x:v>
      </x:c>
      <x:c r="K16" s="186" t="str">
        <x:f t="shared" ca="1" si="0">IF(J16=0,"",ROUNDUP(J16/8,0))</x:f>
      </x:c>
      <x:c r="L16" s="187"/>
      <x:c r="M16" s="186" t="str">
        <x:f t="shared" si="1">IF(L16&lt;&gt;"",L16,K16)</x:f>
      </x:c>
      <x:c r="N16" s="188" t="str">
        <x:f t="shared" si="2">IF(M16="","",TEXT(M16,"0")&amp;" days")</x:f>
      </x:c>
      <x:c r="O16" s="106"/>
      <x:c r="P16" s="106"/>
      <x:c r="Q16" s="106"/>
      <x:c r="R16" s="106"/>
      <x:c r="S16" s="189"/>
      <x:c r="T16" s="130" t="n">
        <x:f t="shared" si="3">I16-H16</x:f>
        <x:v>0</x:v>
      </x:c>
      <x:c r="U16" s="106" t="str">
        <x:f t="shared" si="4">IF(ABS(T16)&lt;0.01,"OK","CHECK")</x:f>
        <x:v>OK</x:v>
      </x:c>
      <x:c r="V16" s="106" t="str">
        <x:v>Auto Scheduled</x:v>
      </x:c>
      <x:c r="W16" s="106" t="str">
        <x:v>Prorated</x:v>
      </x:c>
      <x:c r="X16" s="106"/>
    </x:row>
    <x:row r="17" s="3" customFormat="1" ht="52.79999923706055" customHeight="1">
      <x:c r="A17" s="30">
        <x:v>11</x:v>
      </x:c>
      <x:c r="B17" s="30" t="n">
        <x:v>12</x:v>
      </x:c>
      <x:c r="C17" s="106" t="str">
        <x:f>'QS Takeoff'!A12</x:f>
        <x:v>Erosion &amp; Sediment Control</x:v>
      </x:c>
      <x:c r="D17" s="106" t="str">
        <x:f>'QS Takeoff'!B12</x:f>
        <x:v>ESC01</x:v>
      </x:c>
      <x:c r="E17" s="106" t="str">
        <x:f>'QS Takeoff'!C12</x:f>
        <x:v>Erosion &amp; sediment control - site-specific layout and extents</x:v>
      </x:c>
      <x:c r="F17" s="106" t="n">
        <x:f>'QS Takeoff'!E12</x:f>
        <x:v>1</x:v>
      </x:c>
      <x:c r="G17" s="106" t="str">
        <x:f>'QS Takeoff'!D12</x:f>
        <x:v>LS</x:v>
      </x:c>
      <x:c r="H17" s="185" t="n">
        <x:f>'QS Takeoff'!G12</x:f>
        <x:v>7750.143268186798</x:v>
      </x:c>
      <x:c r="I17" s="185" t="n">
        <x:f>SUMIF('Resource Build-Up'!$B$7:$B$306,D17,'Resource Build-Up'!$Z$7:$Z$306)</x:f>
        <x:v>7750.143268186798</x:v>
      </x:c>
      <x:c r="J17" s="186" t="n">
        <x:f ca="1">IFERROR(AGGREGATE(14,6,'Resource Build-Up'!$M$7:$M$306/('Resource Build-Up'!$B$7:$B$306=D17),1),0)</x:f>
        <x:v>15.618345130358737</x:v>
      </x:c>
      <x:c r="K17" s="186" t="n">
        <x:f t="shared" ca="1" si="0">IF(J17=0,"",ROUNDUP(J17/8,0))</x:f>
        <x:v>2</x:v>
      </x:c>
      <x:c r="L17" s="187" t="n">
        <x:v>3</x:v>
      </x:c>
      <x:c r="M17" s="186" t="n">
        <x:f t="shared" si="1">IF(L17&lt;&gt;"",L17,K17)</x:f>
        <x:v>3</x:v>
      </x:c>
      <x:c r="N17" s="188" t="str">
        <x:f t="shared" si="2">IF(M17="","",TEXT(M17,"0")&amp;" days")</x:f>
        <x:v>3 days</x:v>
      </x:c>
      <x:c r="O17" s="106" t="str">
        <x:v>MEASURED / FIRST-PRINCIPLES ESC</x:v>
      </x:c>
      <x:c r="P17" s="106"/>
      <x:c r="Q17" s="106"/>
      <x:c r="R17" s="106" t="str">
        <x:v>ESC01: 226.3lm measured main fence +8.0lm return allowance; 49m2 entrance; maintenance concurrent; final removal at closeout.</x:v>
      </x:c>
      <x:c r="S17" s="190" t="str">
        <x:v>AMBER - RFI CLOSED / PROCUREMENT FIRM-UP</x:v>
      </x:c>
      <x:c r="T17" s="130" t="n">
        <x:f t="shared" si="3"/>
        <x:v>0</x:v>
      </x:c>
      <x:c r="U17" s="106" t="str">
        <x:f t="shared" si="4"/>
        <x:v>OK</x:v>
      </x:c>
      <x:c r="V17" s="106" t="str">
        <x:v>Auto Scheduled</x:v>
      </x:c>
      <x:c r="W17" s="106" t="str">
        <x:v>Prorated</x:v>
      </x:c>
      <x:c r="X17" s="106" t="str">
        <x:v>Initial fence workfront 15.62h plus 4h entrance setup fits existing 3WD programme control. Maintenance is concurrent. Removal 5.86h occurs at closeout; no 55WD programme extension.</x:v>
      </x:c>
    </x:row>
    <x:row r="18" s="3" customFormat="1" ht="52.79999923706055" customHeight="1">
      <x:c r="A18" s="30">
        <x:v>12</x:v>
      </x:c>
      <x:c r="B18" s="30"/>
      <x:c r="C18" s="106"/>
      <x:c r="D18" s="106"/>
      <x:c r="E18" s="106"/>
      <x:c r="F18" s="106"/>
      <x:c r="G18" s="106"/>
      <x:c r="H18" s="185"/>
      <x:c r="I18" s="185" t="n">
        <x:f>SUMIF('Resource Build-Up'!$B$7:$B$306,D18,'Resource Build-Up'!$Z$7:$Z$306)</x:f>
        <x:v>0</x:v>
      </x:c>
      <x:c r="J18" s="186" t="n">
        <x:f ca="1">IFERROR(AGGREGATE(14,6,'Resource Build-Up'!$M$7:$M$306/('Resource Build-Up'!$B$7:$B$306=D18),1),0)</x:f>
        <x:v>0</x:v>
      </x:c>
      <x:c r="K18" s="186" t="str">
        <x:f t="shared" ca="1" si="0">IF(J18=0,"",ROUNDUP(J18/8,0))</x:f>
      </x:c>
      <x:c r="L18" s="187"/>
      <x:c r="M18" s="186" t="str">
        <x:f t="shared" si="1">IF(L18&lt;&gt;"",L18,K18)</x:f>
      </x:c>
      <x:c r="N18" s="188" t="str">
        <x:f t="shared" si="2">IF(M18="","",TEXT(M18,"0")&amp;" days")</x:f>
      </x:c>
      <x:c r="O18" s="106"/>
      <x:c r="P18" s="106"/>
      <x:c r="Q18" s="106"/>
      <x:c r="R18" s="106"/>
      <x:c r="S18" s="190"/>
      <x:c r="T18" s="130" t="n">
        <x:f t="shared" si="3">I18-H18</x:f>
        <x:v>0</x:v>
      </x:c>
      <x:c r="U18" s="106" t="str">
        <x:f t="shared" si="4">IF(ABS(T18)&lt;0.01,"OK","CHECK")</x:f>
        <x:v>OK</x:v>
      </x:c>
      <x:c r="V18" s="106" t="str">
        <x:v>Auto Scheduled</x:v>
      </x:c>
      <x:c r="W18" s="106" t="str">
        <x:v>Prorated</x:v>
      </x:c>
      <x:c r="X18" s="106"/>
    </x:row>
    <x:row r="19" s="3" customFormat="1" ht="52.79999923706055" customHeight="1">
      <x:c r="A19" s="30">
        <x:v>13</x:v>
      </x:c>
      <x:c r="B19" s="30"/>
      <x:c r="C19" s="106"/>
      <x:c r="D19" s="106"/>
      <x:c r="E19" s="106"/>
      <x:c r="F19" s="106"/>
      <x:c r="G19" s="106"/>
      <x:c r="H19" s="185"/>
      <x:c r="I19" s="185" t="n">
        <x:f>SUMIF('Resource Build-Up'!$B$7:$B$306,D19,'Resource Build-Up'!$Z$7:$Z$306)</x:f>
        <x:v>0</x:v>
      </x:c>
      <x:c r="J19" s="186" t="n">
        <x:f ca="1">IFERROR(AGGREGATE(14,6,'Resource Build-Up'!$M$7:$M$306/('Resource Build-Up'!$B$7:$B$306=D19),1),0)</x:f>
        <x:v>0</x:v>
      </x:c>
      <x:c r="K19" s="186" t="str">
        <x:f t="shared" ca="1" si="0">IF(J19=0,"",ROUNDUP(J19/8,0))</x:f>
      </x:c>
      <x:c r="L19" s="187"/>
      <x:c r="M19" s="186" t="str">
        <x:f t="shared" si="1">IF(L19&lt;&gt;"",L19,K19)</x:f>
      </x:c>
      <x:c r="N19" s="188" t="str">
        <x:f t="shared" si="2">IF(M19="","",TEXT(M19,"0")&amp;" days")</x:f>
      </x:c>
      <x:c r="O19" s="106"/>
      <x:c r="P19" s="106"/>
      <x:c r="Q19" s="106"/>
      <x:c r="R19" s="106"/>
      <x:c r="S19" s="189"/>
      <x:c r="T19" s="130" t="n">
        <x:f t="shared" si="3">I19-H19</x:f>
        <x:v>0</x:v>
      </x:c>
      <x:c r="U19" s="106" t="str">
        <x:f t="shared" si="4">IF(ABS(T19)&lt;0.01,"OK","CHECK")</x:f>
        <x:v>OK</x:v>
      </x:c>
      <x:c r="V19" s="106" t="str">
        <x:v>Auto Scheduled</x:v>
      </x:c>
      <x:c r="W19" s="106" t="str">
        <x:v>Prorated</x:v>
      </x:c>
      <x:c r="X19" s="106"/>
    </x:row>
    <x:row r="20" s="3" customFormat="1" ht="52.79999923706055" customHeight="1">
      <x:c r="A20" s="30">
        <x:v>14</x:v>
      </x:c>
      <x:c r="B20" s="30"/>
      <x:c r="C20" s="106"/>
      <x:c r="D20" s="106"/>
      <x:c r="E20" s="106"/>
      <x:c r="F20" s="106"/>
      <x:c r="G20" s="106"/>
      <x:c r="H20" s="185"/>
      <x:c r="I20" s="185" t="n">
        <x:f>SUMIF('Resource Build-Up'!$B$7:$B$306,D20,'Resource Build-Up'!$Z$7:$Z$306)</x:f>
        <x:v>0</x:v>
      </x:c>
      <x:c r="J20" s="186" t="n">
        <x:f ca="1">IFERROR(AGGREGATE(14,6,'Resource Build-Up'!$M$7:$M$306/('Resource Build-Up'!$B$7:$B$306=D20),1),0)</x:f>
        <x:v>0</x:v>
      </x:c>
      <x:c r="K20" s="186" t="str">
        <x:f t="shared" ca="1" si="0">IF(J20=0,"",ROUNDUP(J20/8,0))</x:f>
      </x:c>
      <x:c r="L20" s="187"/>
      <x:c r="M20" s="186" t="str">
        <x:f t="shared" si="1">IF(L20&lt;&gt;"",L20,K20)</x:f>
      </x:c>
      <x:c r="N20" s="188" t="str">
        <x:f t="shared" si="2">IF(M20="","",TEXT(M20,"0")&amp;" days")</x:f>
      </x:c>
      <x:c r="O20" s="106"/>
      <x:c r="P20" s="106"/>
      <x:c r="Q20" s="106"/>
      <x:c r="R20" s="106"/>
      <x:c r="S20" s="190"/>
      <x:c r="T20" s="130" t="n">
        <x:f t="shared" si="3">I20-H20</x:f>
        <x:v>0</x:v>
      </x:c>
      <x:c r="U20" s="106" t="str">
        <x:f t="shared" si="4">IF(ABS(T20)&lt;0.01,"OK","CHECK")</x:f>
        <x:v>OK</x:v>
      </x:c>
      <x:c r="V20" s="106" t="str">
        <x:v>Auto Scheduled</x:v>
      </x:c>
      <x:c r="W20" s="106" t="str">
        <x:v>Prorated</x:v>
      </x:c>
      <x:c r="X20" s="106"/>
    </x:row>
    <x:row r="21" s="3" customFormat="1" ht="52.79999923706055" customHeight="1">
      <x:c r="A21" s="30">
        <x:v>15</x:v>
      </x:c>
      <x:c r="B21" s="30"/>
      <x:c r="C21" s="106"/>
      <x:c r="D21" s="106"/>
      <x:c r="E21" s="106"/>
      <x:c r="F21" s="106"/>
      <x:c r="G21" s="106"/>
      <x:c r="H21" s="185"/>
      <x:c r="I21" s="185" t="n">
        <x:f>SUMIF('Resource Build-Up'!$B$7:$B$306,D21,'Resource Build-Up'!$Z$7:$Z$306)</x:f>
        <x:v>0</x:v>
      </x:c>
      <x:c r="J21" s="186" t="n">
        <x:f ca="1">IFERROR(AGGREGATE(14,6,'Resource Build-Up'!$M$7:$M$306/('Resource Build-Up'!$B$7:$B$306=D21),1),0)</x:f>
        <x:v>0</x:v>
      </x:c>
      <x:c r="K21" s="186" t="str">
        <x:f t="shared" ca="1" si="0">IF(J21=0,"",ROUNDUP(J21/8,0))</x:f>
      </x:c>
      <x:c r="L21" s="187"/>
      <x:c r="M21" s="186" t="str">
        <x:f t="shared" si="1">IF(L21&lt;&gt;"",L21,K21)</x:f>
      </x:c>
      <x:c r="N21" s="188" t="str">
        <x:f t="shared" si="2">IF(M21="","",TEXT(M21,"0")&amp;" days")</x:f>
      </x:c>
      <x:c r="O21" s="106"/>
      <x:c r="P21" s="106"/>
      <x:c r="Q21" s="106"/>
      <x:c r="R21" s="106"/>
      <x:c r="S21" s="189"/>
      <x:c r="T21" s="130" t="n">
        <x:f t="shared" si="3">I21-H21</x:f>
        <x:v>0</x:v>
      </x:c>
      <x:c r="U21" s="106" t="str">
        <x:f t="shared" si="4">IF(ABS(T21)&lt;0.01,"OK","CHECK")</x:f>
        <x:v>OK</x:v>
      </x:c>
      <x:c r="V21" s="106" t="str">
        <x:v>Auto Scheduled</x:v>
      </x:c>
      <x:c r="W21" s="106" t="str">
        <x:v>Prorated</x:v>
      </x:c>
      <x:c r="X21" s="106"/>
    </x:row>
    <x:row r="22" s="3" customFormat="1" ht="52.79999923706055" customHeight="1">
      <x:c r="A22" s="30">
        <x:v>16</x:v>
      </x:c>
      <x:c r="B22" s="30"/>
      <x:c r="C22" s="106"/>
      <x:c r="D22" s="106"/>
      <x:c r="E22" s="106"/>
      <x:c r="F22" s="106"/>
      <x:c r="G22" s="106"/>
      <x:c r="H22" s="185"/>
      <x:c r="I22" s="185" t="n">
        <x:f>SUMIF('Resource Build-Up'!$B$7:$B$306,D22,'Resource Build-Up'!$Z$7:$Z$306)</x:f>
        <x:v>0</x:v>
      </x:c>
      <x:c r="J22" s="186" t="n">
        <x:f ca="1">IFERROR(AGGREGATE(14,6,'Resource Build-Up'!$M$7:$M$306/('Resource Build-Up'!$B$7:$B$306=D22),1),0)</x:f>
        <x:v>0</x:v>
      </x:c>
      <x:c r="K22" s="186" t="str">
        <x:f t="shared" ca="1" si="0">IF(J22=0,"",ROUNDUP(J22/8,0))</x:f>
      </x:c>
      <x:c r="L22" s="187"/>
      <x:c r="M22" s="186" t="str">
        <x:f t="shared" si="1">IF(L22&lt;&gt;"",L22,K22)</x:f>
      </x:c>
      <x:c r="N22" s="188" t="str">
        <x:f t="shared" si="2">IF(M22="","",TEXT(M22,"0")&amp;" days")</x:f>
      </x:c>
      <x:c r="O22" s="106"/>
      <x:c r="P22" s="106"/>
      <x:c r="Q22" s="106"/>
      <x:c r="R22" s="106"/>
      <x:c r="S22" s="189"/>
      <x:c r="T22" s="130" t="n">
        <x:f t="shared" si="3">I22-H22</x:f>
        <x:v>0</x:v>
      </x:c>
      <x:c r="U22" s="106" t="str">
        <x:f t="shared" si="4">IF(ABS(T22)&lt;0.01,"OK","CHECK")</x:f>
        <x:v>OK</x:v>
      </x:c>
      <x:c r="V22" s="106" t="str">
        <x:v>Auto Scheduled</x:v>
      </x:c>
      <x:c r="W22" s="106" t="str">
        <x:v>Prorated</x:v>
      </x:c>
      <x:c r="X22" s="106"/>
    </x:row>
    <x:row r="23" s="3" customFormat="1" ht="52.79999923706055" customHeight="1">
      <x:c r="A23" s="30">
        <x:v>17</x:v>
      </x:c>
      <x:c r="B23" s="30"/>
      <x:c r="C23" s="106"/>
      <x:c r="D23" s="106"/>
      <x:c r="E23" s="106"/>
      <x:c r="F23" s="106"/>
      <x:c r="G23" s="106"/>
      <x:c r="H23" s="185"/>
      <x:c r="I23" s="185" t="n">
        <x:f>SUMIF('Resource Build-Up'!$B$7:$B$306,D23,'Resource Build-Up'!$Z$7:$Z$306)</x:f>
        <x:v>0</x:v>
      </x:c>
      <x:c r="J23" s="186" t="n">
        <x:f ca="1">IFERROR(AGGREGATE(14,6,'Resource Build-Up'!$M$7:$M$306/('Resource Build-Up'!$B$7:$B$306=D23),1),0)</x:f>
        <x:v>0</x:v>
      </x:c>
      <x:c r="K23" s="186" t="str">
        <x:f t="shared" ca="1" si="0">IF(J23=0,"",ROUNDUP(J23/8,0))</x:f>
      </x:c>
      <x:c r="L23" s="187"/>
      <x:c r="M23" s="186" t="str">
        <x:f t="shared" si="1">IF(L23&lt;&gt;"",L23,K23)</x:f>
      </x:c>
      <x:c r="N23" s="188" t="str">
        <x:f t="shared" si="2">IF(M23="","",TEXT(M23,"0")&amp;" days")</x:f>
      </x:c>
      <x:c r="O23" s="106"/>
      <x:c r="P23" s="106"/>
      <x:c r="Q23" s="106"/>
      <x:c r="R23" s="106"/>
      <x:c r="S23" s="189"/>
      <x:c r="T23" s="130" t="n">
        <x:f t="shared" si="3">I23-H23</x:f>
        <x:v>0</x:v>
      </x:c>
      <x:c r="U23" s="106" t="str">
        <x:f t="shared" si="4">IF(ABS(T23)&lt;0.01,"OK","CHECK")</x:f>
        <x:v>OK</x:v>
      </x:c>
      <x:c r="V23" s="106" t="str">
        <x:v>Auto Scheduled</x:v>
      </x:c>
      <x:c r="W23" s="106" t="str">
        <x:v>Prorated</x:v>
      </x:c>
      <x:c r="X23" s="106"/>
    </x:row>
    <x:row r="24" s="3" customFormat="1" ht="52.79999923706055" customHeight="1">
      <x:c r="A24" s="30">
        <x:v>18</x:v>
      </x:c>
      <x:c r="B24" s="30"/>
      <x:c r="C24" s="106"/>
      <x:c r="D24" s="106"/>
      <x:c r="E24" s="106"/>
      <x:c r="F24" s="106"/>
      <x:c r="G24" s="106"/>
      <x:c r="H24" s="185"/>
      <x:c r="I24" s="185" t="n">
        <x:f>SUMIF('Resource Build-Up'!$B$7:$B$306,D24,'Resource Build-Up'!$Z$7:$Z$306)</x:f>
        <x:v>0</x:v>
      </x:c>
      <x:c r="J24" s="186" t="n">
        <x:f ca="1">IFERROR(AGGREGATE(14,6,'Resource Build-Up'!$M$7:$M$306/('Resource Build-Up'!$B$7:$B$306=D24),1),0)</x:f>
        <x:v>0</x:v>
      </x:c>
      <x:c r="K24" s="186" t="str">
        <x:f t="shared" ca="1" si="0">IF(J24=0,"",ROUNDUP(J24/8,0))</x:f>
      </x:c>
      <x:c r="L24" s="187"/>
      <x:c r="M24" s="186" t="str">
        <x:f t="shared" si="1">IF(L24&lt;&gt;"",L24,K24)</x:f>
      </x:c>
      <x:c r="N24" s="188" t="str">
        <x:f t="shared" si="2">IF(M24="","",TEXT(M24,"0")&amp;" days")</x:f>
      </x:c>
      <x:c r="O24" s="106"/>
      <x:c r="P24" s="106"/>
      <x:c r="Q24" s="106"/>
      <x:c r="R24" s="106"/>
      <x:c r="S24" s="189"/>
      <x:c r="T24" s="130" t="n">
        <x:f t="shared" si="3">I24-H24</x:f>
        <x:v>0</x:v>
      </x:c>
      <x:c r="U24" s="106" t="str">
        <x:f t="shared" si="4">IF(ABS(T24)&lt;0.01,"OK","CHECK")</x:f>
        <x:v>OK</x:v>
      </x:c>
      <x:c r="V24" s="106" t="str">
        <x:v>Auto Scheduled</x:v>
      </x:c>
      <x:c r="W24" s="106" t="str">
        <x:v>Prorated</x:v>
      </x:c>
      <x:c r="X24" s="106"/>
    </x:row>
    <x:row r="25" s="3" customFormat="1" ht="52.79999923706055" customHeight="1">
      <x:c r="A25" s="30">
        <x:v>19</x:v>
      </x:c>
      <x:c r="B25" s="30" t="n">
        <x:v>13</x:v>
      </x:c>
      <x:c r="C25" s="106" t="str">
        <x:f>'QS Takeoff'!A13</x:f>
        <x:v>Earthworks</x:v>
      </x:c>
      <x:c r="D25" s="106" t="str">
        <x:f>'QS Takeoff'!B13</x:f>
        <x:v>EW01</x:v>
      </x:c>
      <x:c r="E25" s="106" t="str">
        <x:f>'QS Takeoff'!C13</x:f>
        <x:v>Site clearance / surface strip within earthworks area</x:v>
      </x:c>
      <x:c r="F25" s="106" t="n">
        <x:f>'QS Takeoff'!E13</x:f>
        <x:v>2105</x:v>
      </x:c>
      <x:c r="G25" s="106" t="str">
        <x:f>'QS Takeoff'!D13</x:f>
        <x:v>m2</x:v>
      </x:c>
      <x:c r="H25" s="185" t="n">
        <x:f>'QS Takeoff'!G13</x:f>
        <x:v>4946.75</x:v>
      </x:c>
      <x:c r="I25" s="185" t="n">
        <x:f>SUMIF('Resource Build-Up'!$B$7:$B$306,D25,'Resource Build-Up'!$Z$7:$Z$306)</x:f>
        <x:v>4946.75</x:v>
      </x:c>
      <x:c r="J25" s="186" t="n">
        <x:f ca="1">IFERROR(AGGREGATE(14,6,'Resource Build-Up'!$M$7:$M$306/('Resource Build-Up'!$B$7:$B$306=D25),1),0)</x:f>
        <x:v>26.3125</x:v>
      </x:c>
      <x:c r="K25" s="186" t="n">
        <x:f t="shared" ca="1" si="0">IF(J25=0,"",ROUNDUP(J25/8,0))</x:f>
        <x:v>4</x:v>
      </x:c>
      <x:c r="L25" s="191" t="n">
        <x:v>4</x:v>
      </x:c>
      <x:c r="M25" s="186" t="n">
        <x:f t="shared" ca="1" si="1">IF(L25&lt;&gt;"",L25,K25)</x:f>
        <x:v>4</x:v>
      </x:c>
      <x:c r="N25" s="188" t="str">
        <x:f t="shared" ca="1" si="2">IF(M25="","",TEXT(M25,"0")&amp;" days")</x:f>
        <x:v>4 days</x:v>
      </x:c>
      <x:c r="O25" s="106" t="str">
        <x:v>RESOURCE BUILD-UP duration rounded up</x:v>
      </x:c>
      <x:c r="P25" s="106" t="str">
        <x:v>ESC01</x:v>
      </x:c>
      <x:c r="Q25" s="106" t="str">
        <x:v>11</x:v>
      </x:c>
      <x:c r="R25" s="106" t="str">
        <x:v>EW01: 14t wet excavator + civil labour support @ 80m2/hr control</x:v>
      </x:c>
      <x:c r="S25" s="192" t="str">
        <x:v>AMBER - productivity verification pending</x:v>
      </x:c>
      <x:c r="T25" s="130" t="n">
        <x:f t="shared" si="3">I25-H25</x:f>
        <x:v>0</x:v>
      </x:c>
      <x:c r="U25" s="106" t="str">
        <x:f t="shared" si="4">IF(ABS(T25)&lt;0.01,"OK","CHECK")</x:f>
        <x:v>OK</x:v>
      </x:c>
      <x:c r="V25" s="106" t="str">
        <x:v>Auto Scheduled</x:v>
      </x:c>
      <x:c r="W25" s="106" t="str">
        <x:v>Prorated</x:v>
      </x:c>
      <x:c r="X25" s="106" t="str">
        <x:v>Surface strip workfront; topsoil treatment is not a second bulk-earthworks volume.</x:v>
      </x:c>
    </x:row>
    <x:row r="26" s="3" customFormat="1" ht="52.79999923706055" customHeight="1">
      <x:c r="A26" s="30">
        <x:v>20</x:v>
      </x:c>
      <x:c r="B26" s="30" t="n">
        <x:v>14</x:v>
      </x:c>
      <x:c r="C26" s="106" t="str">
        <x:f>'QS Takeoff'!A14</x:f>
        <x:v>Earthworks</x:v>
      </x:c>
      <x:c r="D26" s="106" t="str">
        <x:f>'QS Takeoff'!B14</x:f>
        <x:v>EW02</x:v>
      </x:c>
      <x:c r="E26" s="106" t="str">
        <x:f>'QS Takeoff'!C14</x:f>
        <x:v>Bulk fill placement / compaction - current Yodha RevB fill demand</x:v>
      </x:c>
      <x:c r="F26" s="106" t="n">
        <x:f>'QS Takeoff'!E14</x:f>
        <x:v>1033</x:v>
      </x:c>
      <x:c r="G26" s="106" t="str">
        <x:f>'QS Takeoff'!D14</x:f>
        <x:v>m3</x:v>
      </x:c>
      <x:c r="H26" s="185" t="n">
        <x:f>'QS Takeoff'!G14</x:f>
        <x:v>20522.266666666666</x:v>
      </x:c>
      <x:c r="I26" s="185" t="n">
        <x:f>SUMIF('Resource Build-Up'!$B$7:$B$306,D26,'Resource Build-Up'!$Z$7:$Z$306)</x:f>
        <x:v>20522.266666666666</x:v>
      </x:c>
      <x:c r="J26" s="186" t="n">
        <x:f ca="1">IFERROR(AGGREGATE(14,6,'Resource Build-Up'!$M$7:$M$306/('Resource Build-Up'!$B$7:$B$306=D26),1),0)</x:f>
        <x:v>68.86666666666666</x:v>
      </x:c>
      <x:c r="K26" s="186" t="n">
        <x:f t="shared" ca="1" si="0">IF(J26=0,"",ROUNDUP(J26/8,0))</x:f>
        <x:v>9</x:v>
      </x:c>
      <x:c r="L26" s="191" t="n">
        <x:v>9</x:v>
      </x:c>
      <x:c r="M26" s="186" t="n">
        <x:f t="shared" ca="1" si="1">IF(L26&lt;&gt;"",L26,K26)</x:f>
        <x:v>9</x:v>
      </x:c>
      <x:c r="N26" s="188" t="str">
        <x:f t="shared" ca="1" si="2">IF(M26="","",TEXT(M26,"0")&amp;" days")</x:f>
        <x:v>9 days</x:v>
      </x:c>
      <x:c r="O26" s="106" t="str">
        <x:v>RESOURCE BUILD-UP duration rounded up</x:v>
      </x:c>
      <x:c r="P26" s="106" t="str">
        <x:v>EW01</x:v>
      </x:c>
      <x:c r="Q26" s="106" t="str">
        <x:v>19</x:v>
      </x:c>
      <x:c r="R26" s="106" t="str">
        <x:v>EW02: 14t excavator + roller + labour @ 15m3/hr control</x:v>
      </x:c>
      <x:c r="S26" s="192" t="str">
        <x:v>AMBER - productivity / imported-fill logistics pending</x:v>
      </x:c>
      <x:c r="T26" s="130" t="n">
        <x:f t="shared" si="3">I26-H26</x:f>
        <x:v>0</x:v>
      </x:c>
      <x:c r="U26" s="106" t="str">
        <x:f t="shared" si="4">IF(ABS(T26)&lt;0.01,"OK","CHECK")</x:f>
        <x:v>OK</x:v>
      </x:c>
      <x:c r="V26" s="106" t="str">
        <x:v>Auto Scheduled</x:v>
      </x:c>
      <x:c r="W26" s="106" t="str">
        <x:v>Prorated</x:v>
      </x:c>
      <x:c r="X26" s="106" t="str">
        <x:v>1,033m3 fill placement; Q-06 supply delivery must sequence with this workfront.</x:v>
      </x:c>
    </x:row>
    <x:row r="27" s="3" customFormat="1" ht="52.79999923706055" customHeight="1">
      <x:c r="A27" s="30">
        <x:v>21</x:v>
      </x:c>
      <x:c r="B27" s="30" t="n">
        <x:v>15</x:v>
      </x:c>
      <x:c r="C27" s="106" t="str">
        <x:f>'QS Takeoff'!A15</x:f>
        <x:v>Earthworks</x:v>
      </x:c>
      <x:c r="D27" s="106" t="str">
        <x:f>'QS Takeoff'!B15</x:f>
        <x:v>EW03</x:v>
      </x:c>
      <x:c r="E27" s="106" t="str">
        <x:f>'QS Takeoff'!C15</x:f>
        <x:v>Final trim / formation across earthworks area</x:v>
      </x:c>
      <x:c r="F27" s="106" t="n">
        <x:f>'QS Takeoff'!E15</x:f>
        <x:v>2105</x:v>
      </x:c>
      <x:c r="G27" s="106" t="str">
        <x:f>'QS Takeoff'!D15</x:f>
        <x:v>m2</x:v>
      </x:c>
      <x:c r="H27" s="185" t="n">
        <x:f>'QS Takeoff'!G15</x:f>
        <x:v>2596.166666666667</x:v>
      </x:c>
      <x:c r="I27" s="185" t="n">
        <x:f>SUMIF('Resource Build-Up'!$B$7:$B$306,D27,'Resource Build-Up'!$Z$7:$Z$306)</x:f>
        <x:v>2596.166666666667</x:v>
      </x:c>
      <x:c r="J27" s="186" t="n">
        <x:f ca="1">IFERROR(AGGREGATE(14,6,'Resource Build-Up'!$M$7:$M$306/('Resource Build-Up'!$B$7:$B$306=D27),1),0)</x:f>
        <x:v>17.541666666666668</x:v>
      </x:c>
      <x:c r="K27" s="186" t="n">
        <x:f t="shared" ca="1" si="0">IF(J27=0,"",ROUNDUP(J27/8,0))</x:f>
        <x:v>3</x:v>
      </x:c>
      <x:c r="L27" s="187" t="n">
        <x:v>3</x:v>
      </x:c>
      <x:c r="M27" s="186" t="n">
        <x:f t="shared" si="1">IF(L27&lt;&gt;"",L27,K27)</x:f>
        <x:v>3</x:v>
      </x:c>
      <x:c r="N27" s="188" t="str">
        <x:f t="shared" si="2">IF(M27="","",TEXT(M27,"0")&amp;" days")</x:f>
        <x:v>3 days</x:v>
      </x:c>
      <x:c r="O27" s="106" t="str">
        <x:v>RESOURCE BUILD-UP duration rounded up</x:v>
      </x:c>
      <x:c r="P27" s="106" t="str">
        <x:v>EW02,PRG-RF01</x:v>
      </x:c>
      <x:c r="Q27" s="106" t="str">
        <x:v>20;69</x:v>
      </x:c>
      <x:c r="R27" s="106" t="str">
        <x:v>EW03: 5.5t wet excavator + labour @ 120m2/hr control</x:v>
      </x:c>
      <x:c r="S27" s="190" t="str">
        <x:v>AMBER - productivity verification pending</x:v>
      </x:c>
      <x:c r="T27" s="130" t="n">
        <x:f t="shared" si="3">I27-H27</x:f>
        <x:v>0</x:v>
      </x:c>
      <x:c r="U27" s="106" t="str">
        <x:f t="shared" si="4">IF(ABS(T27)&lt;0.01,"OK","CHECK")</x:f>
        <x:v>OK</x:v>
      </x:c>
      <x:c r="V27" s="106" t="str">
        <x:v>Auto Scheduled</x:v>
      </x:c>
      <x:c r="W27" s="106" t="str">
        <x:v>Prorated</x:v>
      </x:c>
      <x:c r="X27" s="106" t="str">
        <x:v>Rev20: final trim waits for both EW02 production and PRG-RF01 retained-zone release. This explicitly prevents the prior programme from assuming all final formation is available immediately after the 9-day fill-production duration.</x:v>
      </x:c>
    </x:row>
    <x:row r="28" s="3" customFormat="1" ht="52.79999923706055" customHeight="1">
      <x:c r="A28" s="30">
        <x:v>22</x:v>
      </x:c>
      <x:c r="B28" s="30" t="n">
        <x:v>16</x:v>
      </x:c>
      <x:c r="C28" s="106" t="str">
        <x:f>'QS Takeoff'!A16</x:f>
        <x:v>Earthworks</x:v>
      </x:c>
      <x:c r="D28" s="106" t="str">
        <x:f>'QS Takeoff'!B16</x:f>
        <x:v>EW04</x:v>
      </x:c>
      <x:c r="E28" s="106" t="str">
        <x:f>'QS Takeoff'!C16</x:f>
        <x:v>Grassed OLFP diversion channel - 300 deep, 500 base, 1V:3H sides</x:v>
      </x:c>
      <x:c r="F28" s="106" t="n">
        <x:f>'QS Takeoff'!E16</x:f>
        <x:v>94.08</x:v>
      </x:c>
      <x:c r="G28" s="106" t="str">
        <x:f>'QS Takeoff'!D16</x:f>
        <x:v>lm</x:v>
      </x:c>
      <x:c r="H28" s="185" t="n">
        <x:f>'QS Takeoff'!G16</x:f>
        <x:v>3000</x:v>
      </x:c>
      <x:c r="I28" s="185" t="n">
        <x:f>SUMIF('Resource Build-Up'!$B$7:$B$306,D28,'Resource Build-Up'!$Z$7:$Z$306)</x:f>
        <x:v>3000</x:v>
      </x:c>
      <x:c r="J28" s="186" t="n">
        <x:f ca="1">IFERROR(AGGREGATE(14,6,'Resource Build-Up'!$M$7:$M$306/('Resource Build-Up'!$B$7:$B$306=D28),1),0)</x:f>
        <x:v>16</x:v>
      </x:c>
      <x:c r="K28" s="186" t="n">
        <x:f t="shared" ca="1" si="0">IF(J28=0,"",ROUNDUP(J28/8,0))</x:f>
        <x:v>2</x:v>
      </x:c>
      <x:c r="L28" s="191" t="n">
        <x:v>2</x:v>
      </x:c>
      <x:c r="M28" s="186" t="n">
        <x:f t="shared" ca="1" si="1">IF(L28&lt;&gt;"",L28,K28)</x:f>
        <x:v>2</x:v>
      </x:c>
      <x:c r="N28" s="188" t="str">
        <x:f t="shared" ca="1" si="2">IF(M28="","",TEXT(M28,"0")&amp;" days")</x:f>
        <x:v>2 days</x:v>
      </x:c>
      <x:c r="O28" s="106" t="str">
        <x:v>PC duration allowance</x:v>
      </x:c>
      <x:c r="P28" s="106" t="str">
        <x:v>EW03</x:v>
      </x:c>
      <x:c r="Q28" s="106" t="str">
        <x:v>21</x:v>
      </x:c>
      <x:c r="R28" s="106" t="str">
        <x:v>EW04 PC: 94.08lm OLFP shaping / trim</x:v>
      </x:c>
      <x:c r="S28" s="189" t="str">
        <x:v>AMBER - PC / duplication check</x:v>
      </x:c>
      <x:c r="T28" s="130" t="n">
        <x:f t="shared" si="3">I28-H28</x:f>
        <x:v>0</x:v>
      </x:c>
      <x:c r="U28" s="106" t="str">
        <x:f t="shared" si="4">IF(ABS(T28)&lt;0.01,"OK","CHECK")</x:f>
        <x:v>OK</x:v>
      </x:c>
      <x:c r="V28" s="106" t="str">
        <x:v>Auto Scheduled</x:v>
      </x:c>
      <x:c r="W28" s="106" t="str">
        <x:v>Prorated</x:v>
      </x:c>
      <x:c r="X28" s="106" t="str">
        <x:v>Approx 39.51m3 physical swale cut; do not add again if embedded in Yodha earthworks quantities.</x:v>
      </x:c>
    </x:row>
    <x:row r="29" s="3" customFormat="1" ht="52.79999923706055" customHeight="1">
      <x:c r="A29" s="30">
        <x:v>23</x:v>
      </x:c>
      <x:c r="B29" s="30" t="n">
        <x:v>17</x:v>
      </x:c>
      <x:c r="C29" s="106" t="str">
        <x:f>'QS Takeoff'!A17</x:f>
        <x:v>Earthworks</x:v>
      </x:c>
      <x:c r="D29" s="106" t="str">
        <x:f>'QS Takeoff'!B17</x:f>
        <x:v>EW05</x:v>
      </x:c>
      <x:c r="E29" s="106" t="str">
        <x:f>'QS Takeoff'!C17</x:f>
        <x:v>Foundation pad excavation P1-P4</x:v>
      </x:c>
      <x:c r="F29" s="106" t="n">
        <x:f>'QS Takeoff'!E17</x:f>
        <x:v>2.191</x:v>
      </x:c>
      <x:c r="G29" s="106" t="str">
        <x:f>'QS Takeoff'!D17</x:f>
        <x:v>m3</x:v>
      </x:c>
      <x:c r="H29" s="185" t="n">
        <x:f>'QS Takeoff'!G17</x:f>
        <x:v>2500</x:v>
      </x:c>
      <x:c r="I29" s="185" t="n">
        <x:f>SUMIF('Resource Build-Up'!$B$7:$B$306,D29,'Resource Build-Up'!$Z$7:$Z$306)</x:f>
        <x:v>2500</x:v>
      </x:c>
      <x:c r="J29" s="186" t="n">
        <x:f ca="1">IFERROR(AGGREGATE(14,6,'Resource Build-Up'!$M$7:$M$306/('Resource Build-Up'!$B$7:$B$306=D29),1),0)</x:f>
        <x:v>16</x:v>
      </x:c>
      <x:c r="K29" s="186" t="n">
        <x:f t="shared" ca="1" si="0">IF(J29=0,"",ROUNDUP(J29/8,0))</x:f>
        <x:v>2</x:v>
      </x:c>
      <x:c r="L29" s="187" t="n">
        <x:v>2</x:v>
      </x:c>
      <x:c r="M29" s="186" t="n">
        <x:f t="shared" si="1">IF(L29&lt;&gt;"",L29,K29)</x:f>
        <x:v>2</x:v>
      </x:c>
      <x:c r="N29" s="188" t="str">
        <x:f t="shared" si="2">IF(M29="","",TEXT(M29,"0")&amp;" days")</x:f>
        <x:v>2 days</x:v>
      </x:c>
      <x:c r="O29" s="106" t="str">
        <x:v>PC duration allowance</x:v>
      </x:c>
      <x:c r="P29" s="106" t="str">
        <x:v>EW03</x:v>
      </x:c>
      <x:c r="Q29" s="106" t="str">
        <x:v>21</x:v>
      </x:c>
      <x:c r="R29" s="106" t="str">
        <x:v>EW05 PC: 17 measured P1-P4 pad excavations</x:v>
      </x:c>
      <x:c r="S29" s="189" t="str">
        <x:v>AMBER - PC / foundation interface pending</x:v>
      </x:c>
      <x:c r="T29" s="130" t="n">
        <x:f t="shared" si="3">I29-H29</x:f>
        <x:v>0</x:v>
      </x:c>
      <x:c r="U29" s="106" t="str">
        <x:f t="shared" si="4">IF(ABS(T29)&lt;0.01,"OK","CHECK")</x:f>
        <x:v>OK</x:v>
      </x:c>
      <x:c r="V29" s="106" t="str">
        <x:v>Auto Scheduled</x:v>
      </x:c>
      <x:c r="W29" s="106" t="str">
        <x:v>Prorated</x:v>
      </x:c>
      <x:c r="X29" s="106" t="str">
        <x:v>2-day tender control only; confirm foundation workfront and spoil/working-space boundary.</x:v>
      </x:c>
    </x:row>
    <x:row r="30" s="3" customFormat="1" ht="52.79999923706055" customHeight="1">
      <x:c r="A30" s="30">
        <x:v>24</x:v>
      </x:c>
      <x:c r="B30" s="30" t="n">
        <x:v>18</x:v>
      </x:c>
      <x:c r="C30" s="106" t="str">
        <x:f>'QS Takeoff'!A18</x:f>
        <x:v>Earthworks</x:v>
      </x:c>
      <x:c r="D30" s="106" t="str">
        <x:f>'QS Takeoff'!B18</x:f>
        <x:v>EW06</x:v>
      </x:c>
      <x:c r="E30" s="106" t="str">
        <x:f>'QS Takeoff'!C18</x:f>
        <x:v>PILE2 bored foundation holes 450 dia x 1.2m</x:v>
      </x:c>
      <x:c r="F30" s="106" t="n">
        <x:v>15</x:v>
      </x:c>
      <x:c r="G30" s="106" t="str">
        <x:v>ea</x:v>
      </x:c>
      <x:c r="H30" s="185" t="n">
        <x:v>0</x:v>
      </x:c>
      <x:c r="I30" s="185" t="n">
        <x:v>0</x:v>
      </x:c>
      <x:c r="J30" s="186" t="n">
        <x:f ca="1"/>
        <x:v>0</x:v>
      </x:c>
      <x:c r="K30" s="186" t="n">
        <x:f t="shared" ca="1" si="0"/>
        <x:v>0</x:v>
      </x:c>
      <x:c r="L30" s="191"/>
      <x:c r="M30" s="186" t="n">
        <x:f t="shared" ca="1" si="1"/>
        <x:v>0</x:v>
      </x:c>
      <x:c r="N30" s="188" t="str">
        <x:f t="shared" ca="1" si="2"/>
        <x:v>0 days</x:v>
      </x:c>
      <x:c r="O30" s="106" t="str">
        <x:v>BY SUBCONTRACT - COAST</x:v>
      </x:c>
      <x:c r="P30" s="106"/>
      <x:c r="Q30" s="106"/>
      <x:c r="R30" s="106" t="str">
        <x:v>Coast formal quote includes excavation of 15 P2 piles; Karl confirms 15 count.</x:v>
      </x:c>
      <x:c r="S30" s="189" t="str">
        <x:v>BY COAST / SITEWORKS COST &amp; DURATION ZERO</x:v>
      </x:c>
      <x:c r="T30" s="130" t="n">
        <x:f t="shared" si="3"/>
        <x:v>0</x:v>
      </x:c>
      <x:c r="U30" s="106" t="str">
        <x:f t="shared" si="4"/>
        <x:v>OK</x:v>
      </x:c>
      <x:c r="V30" s="106" t="str">
        <x:v>Auto Scheduled</x:v>
      </x:c>
      <x:c r="W30" s="106" t="str">
        <x:v>Prorated</x:v>
      </x:c>
      <x:c r="X30" s="106" t="str">
        <x:v>Reference-only interface. PILE2 boring is not a Siteworks workfront; no Siteworks weather exposure or programme duration.</x:v>
      </x:c>
    </x:row>
    <x:row r="31" s="3" customFormat="1" ht="52.79999923706055" customHeight="1">
      <x:c r="A31" s="30">
        <x:v>25</x:v>
      </x:c>
      <x:c r="B31" s="30" t="n">
        <x:v>19</x:v>
      </x:c>
      <x:c r="C31" s="106" t="str">
        <x:f>'QS Takeoff'!A19</x:f>
        <x:v>Earthworks</x:v>
      </x:c>
      <x:c r="D31" s="106" t="str">
        <x:f>'QS Takeoff'!B19</x:f>
        <x:v>EW07</x:v>
      </x:c>
      <x:c r="E31" s="106" t="str">
        <x:f>'QS Takeoff'!C19</x:f>
        <x:v>F1-F7 strip / thickening / wing footing excavation</x:v>
      </x:c>
      <x:c r="F31" s="106" t="n">
        <x:f>'QS Takeoff'!E19</x:f>
        <x:v>1</x:v>
      </x:c>
      <x:c r="G31" s="106" t="str">
        <x:f>'QS Takeoff'!D19</x:f>
        <x:v>LS</x:v>
      </x:c>
      <x:c r="H31" s="185" t="n">
        <x:f>'QS Takeoff'!G19</x:f>
        <x:v>12500</x:v>
      </x:c>
      <x:c r="I31" s="185" t="n">
        <x:f>SUMIF('Resource Build-Up'!$B$7:$B$306,D31,'Resource Build-Up'!$Z$7:$Z$306)</x:f>
        <x:v>12500</x:v>
      </x:c>
      <x:c r="J31" s="186" t="n">
        <x:f ca="1">IFERROR(AGGREGATE(14,6,'Resource Build-Up'!$M$7:$M$306/('Resource Build-Up'!$B$7:$B$306=D31),1),0)</x:f>
        <x:v>40</x:v>
      </x:c>
      <x:c r="K31" s="186" t="n">
        <x:f t="shared" ca="1" si="0">IF(J31=0,"",ROUNDUP(J31/8,0))</x:f>
        <x:v>5</x:v>
      </x:c>
      <x:c r="L31" s="187" t="n">
        <x:v>5</x:v>
      </x:c>
      <x:c r="M31" s="186" t="n">
        <x:f t="shared" si="1">IF(L31&lt;&gt;"",L31,K31)</x:f>
        <x:v>5</x:v>
      </x:c>
      <x:c r="N31" s="188" t="str">
        <x:f t="shared" si="2">IF(M31="","",TEXT(M31,"0")&amp;" days")</x:f>
        <x:v>5 days</x:v>
      </x:c>
      <x:c r="O31" s="106" t="str">
        <x:v>PC duration allowance</x:v>
      </x:c>
      <x:c r="P31" s="106" t="str">
        <x:v>EW03</x:v>
      </x:c>
      <x:c r="Q31" s="106" t="str">
        <x:v>21</x:v>
      </x:c>
      <x:c r="R31" s="106" t="str">
        <x:v>EW07 PC: F1-F7 strip/thickening/wing footing excavation</x:v>
      </x:c>
      <x:c r="S31" s="190" t="str">
        <x:v>AMBER - PC / RFI HOLD</x:v>
      </x:c>
      <x:c r="T31" s="130" t="n">
        <x:f t="shared" si="3">I31-H31</x:f>
        <x:v>0</x:v>
      </x:c>
      <x:c r="U31" s="106" t="str">
        <x:f t="shared" si="4">IF(ABS(T31)&lt;0.01,"OK","CHECK")</x:f>
        <x:v>OK</x:v>
      </x:c>
      <x:c r="V31" s="106" t="str">
        <x:v>Auto Scheduled</x:v>
      </x:c>
      <x:c r="W31" s="106" t="str">
        <x:v>Prorated</x:v>
      </x:c>
      <x:c r="X31" s="106" t="str">
        <x:v>5-day programme PC; replace when final lineal takeoff/slab-contractor information closes.</x:v>
      </x:c>
    </x:row>
    <x:row r="32" s="3" customFormat="1" ht="52.79999923706055" customHeight="1">
      <x:c r="A32" s="30">
        <x:v>26</x:v>
      </x:c>
      <x:c r="B32" s="30" t="n">
        <x:v>20</x:v>
      </x:c>
      <x:c r="C32" s="106" t="str">
        <x:f>'QS Takeoff'!A20</x:f>
        <x:v>Earthworks</x:v>
      </x:c>
      <x:c r="D32" s="106" t="str">
        <x:f>'QS Takeoff'!B20</x:f>
        <x:v>EW08</x:v>
      </x:c>
      <x:c r="E32" s="106" t="str">
        <x:f>'QS Takeoff'!C20</x:f>
        <x:v>Earthworks export / cartage / tipping</x:v>
      </x:c>
      <x:c r="F32" s="106" t="n">
        <x:f>'QS Takeoff'!E20</x:f>
        <x:v>1</x:v>
      </x:c>
      <x:c r="G32" s="106" t="str">
        <x:f>'QS Takeoff'!D20</x:f>
        <x:v>LS</x:v>
      </x:c>
      <x:c r="H32" s="185" t="n">
        <x:f>'QS Takeoff'!G20</x:f>
        <x:v>10000</x:v>
      </x:c>
      <x:c r="I32" s="185" t="n">
        <x:f>SUMIF('Resource Build-Up'!$B$7:$B$306,D32,'Resource Build-Up'!$Z$7:$Z$306)</x:f>
        <x:v>10000</x:v>
      </x:c>
      <x:c r="J32" s="186" t="n">
        <x:f ca="1">IFERROR(AGGREGATE(14,6,'Resource Build-Up'!$M$7:$M$306/('Resource Build-Up'!$B$7:$B$306=D32),1),0)</x:f>
        <x:v>40</x:v>
      </x:c>
      <x:c r="K32" s="186" t="n">
        <x:f t="shared" ca="1" si="0">IF(J32=0,"",ROUNDUP(J32/8,0))</x:f>
        <x:v>5</x:v>
      </x:c>
      <x:c r="L32" s="191" t="n">
        <x:v>5</x:v>
      </x:c>
      <x:c r="M32" s="186" t="n">
        <x:f t="shared" ca="1" si="1">IF(L32&lt;&gt;"",L32,K32)</x:f>
        <x:v>5</x:v>
      </x:c>
      <x:c r="N32" s="188" t="str">
        <x:f t="shared" ca="1" si="2">IF(M32="","",TEXT(M32,"0")&amp;" days")</x:f>
        <x:v>5 days</x:v>
      </x:c>
      <x:c r="O32" s="106" t="str">
        <x:v>PC duration allowance</x:v>
      </x:c>
      <x:c r="P32" s="106" t="str">
        <x:v>EW01</x:v>
      </x:c>
      <x:c r="Q32" s="106" t="str">
        <x:v>19</x:v>
      </x:c>
      <x:c r="R32" s="106" t="str">
        <x:v>EW08 PC: incidental export/cartage/tipping</x:v>
      </x:c>
      <x:c r="S32" s="190" t="str">
        <x:v>AMBER - Q-10 sent</x:v>
      </x:c>
      <x:c r="T32" s="130" t="n">
        <x:f t="shared" si="3">I32-H32</x:f>
        <x:v>0</x:v>
      </x:c>
      <x:c r="U32" s="106" t="str">
        <x:f t="shared" si="4">IF(ABS(T32)&lt;0.01,"OK","CHECK")</x:f>
        <x:v>OK</x:v>
      </x:c>
      <x:c r="V32" s="106" t="str">
        <x:v>Auto Scheduled</x:v>
      </x:c>
      <x:c r="W32" s="106" t="str">
        <x:v>Prorated</x:v>
      </x:c>
      <x:c r="X32" s="106" t="str">
        <x:v>May overlap EW01/EW02; duration is not automatically additive to critical path.</x:v>
      </x:c>
    </x:row>
    <x:row r="33" s="3" customFormat="1" ht="52.79999923706055" customHeight="1">
      <x:c r="A33" s="30">
        <x:v>27</x:v>
      </x:c>
      <x:c r="B33" s="30" t="n">
        <x:v>21</x:v>
      </x:c>
      <x:c r="C33" s="106" t="str">
        <x:f>'QS Takeoff'!A21</x:f>
        <x:v>Earthworks</x:v>
      </x:c>
      <x:c r="D33" s="106" t="str">
        <x:f>'QS Takeoff'!B21</x:f>
        <x:v>EW09</x:v>
      </x:c>
      <x:c r="E33" s="106" t="str">
        <x:f>'QS Takeoff'!C21</x:f>
        <x:v>Imported / replacement engineered fill</x:v>
      </x:c>
      <x:c r="F33" s="106" t="n">
        <x:f>'QS Takeoff'!E21</x:f>
        <x:v>923</x:v>
      </x:c>
      <x:c r="G33" s="106" t="str">
        <x:f>'QS Takeoff'!D21</x:f>
        <x:v>m3</x:v>
      </x:c>
      <x:c r="H33" s="185" t="n">
        <x:f>'QS Takeoff'!G21</x:f>
        <x:v>60000</x:v>
      </x:c>
      <x:c r="I33" s="185" t="n">
        <x:f>SUMIF('Resource Build-Up'!$B$7:$B$306,D33,'Resource Build-Up'!$Z$7:$Z$306)</x:f>
        <x:v>60000</x:v>
      </x:c>
      <x:c r="J33" s="186" t="n">
        <x:f ca="1">IFERROR(AGGREGATE(14,6,'Resource Build-Up'!$M$7:$M$306/('Resource Build-Up'!$B$7:$B$306=D33),1),0)</x:f>
        <x:v>0</x:v>
      </x:c>
      <x:c r="K33" s="186" t="str">
        <x:f t="shared" ca="1" si="0">IF(J33=0,"",ROUNDUP(J33/8,0))</x:f>
      </x:c>
      <x:c r="L33" s="187" t="n">
        <x:v>9</x:v>
      </x:c>
      <x:c r="M33" s="186" t="n">
        <x:f t="shared" si="1">IF(L33&lt;&gt;"",L33,K33)</x:f>
        <x:v>9</x:v>
      </x:c>
      <x:c r="N33" s="188" t="str">
        <x:f t="shared" si="2">IF(M33="","",TEXT(M33,"0")&amp;" days")</x:f>
        <x:v>9 days</x:v>
      </x:c>
      <x:c r="O33" s="106" t="str">
        <x:v>PROGRAMME OVERRIDE - concurrent supply</x:v>
      </x:c>
      <x:c r="P33" s="106" t="str">
        <x:v>EW01</x:v>
      </x:c>
      <x:c r="Q33" s="106" t="str">
        <x:v>19</x:v>
      </x:c>
      <x:c r="R33" s="106" t="str">
        <x:v>EW09 PC: 923m3 imported engineered fill delivery</x:v>
      </x:c>
      <x:c r="S33" s="189" t="str">
        <x:v>AMBER - Q-06 sent</x:v>
      </x:c>
      <x:c r="T33" s="130" t="n">
        <x:f t="shared" si="3">I33-H33</x:f>
        <x:v>0</x:v>
      </x:c>
      <x:c r="U33" s="106" t="str">
        <x:f t="shared" si="4">IF(ABS(T33)&lt;0.01,"OK","CHECK")</x:f>
        <x:v>OK</x:v>
      </x:c>
      <x:c r="V33" s="106" t="str">
        <x:v>Auto Scheduled</x:v>
      </x:c>
      <x:c r="W33" s="106" t="str">
        <x:v>Prorated</x:v>
      </x:c>
      <x:c r="X33" s="106" t="str">
        <x:v>9-day supply window aligned to EW02 placement; concurrent, not a separate sequential duration.</x:v>
      </x:c>
    </x:row>
    <x:row r="34" s="3" customFormat="1" ht="52.79999923706055" customHeight="1">
      <x:c r="A34" s="30">
        <x:v>28</x:v>
      </x:c>
      <x:c r="B34" s="30" t="n">
        <x:v>22</x:v>
      </x:c>
      <x:c r="C34" s="106" t="str">
        <x:f>'QS Takeoff'!A22</x:f>
        <x:v>Earthworks</x:v>
      </x:c>
      <x:c r="D34" s="106" t="str">
        <x:f>'QS Takeoff'!B22</x:f>
        <x:v>EW10</x:v>
      </x:c>
      <x:c r="E34" s="106" t="str">
        <x:f>'QS Takeoff'!C22</x:f>
        <x:v>Topsoil handling / reuse / export duplication control</x:v>
      </x:c>
      <x:c r="F34" s="106" t="n">
        <x:f>'QS Takeoff'!E22</x:f>
        <x:v>0</x:v>
      </x:c>
      <x:c r="G34" s="106" t="str">
        <x:f>'QS Takeoff'!D22</x:f>
        <x:v>m3</x:v>
      </x:c>
      <x:c r="H34" s="185" t="n">
        <x:f>'QS Takeoff'!G22</x:f>
        <x:v>0</x:v>
      </x:c>
      <x:c r="I34" s="185" t="n">
        <x:f>SUMIF('Resource Build-Up'!$B$7:$B$306,D34,'Resource Build-Up'!$Z$7:$Z$306)</x:f>
        <x:v>0</x:v>
      </x:c>
      <x:c r="J34" s="186" t="n">
        <x:f ca="1">IFERROR(AGGREGATE(14,6,'Resource Build-Up'!$M$7:$M$306/('Resource Build-Up'!$B$7:$B$306=D34),1),0)</x:f>
        <x:v>0</x:v>
      </x:c>
      <x:c r="K34" s="186" t="str">
        <x:f t="shared" ca="1" si="0">IF(J34=0,"",ROUNDUP(J34/8,0))</x:f>
      </x:c>
      <x:c r="L34" s="191"/>
      <x:c r="M34" s="186" t="n">
        <x:f t="shared" ca="1" si="1"/>
        <x:v>0</x:v>
      </x:c>
      <x:c r="N34" s="188" t="str">
        <x:f t="shared" ca="1" si="2"/>
        <x:v>0 days</x:v>
      </x:c>
      <x:c r="O34" s="106" t="str">
        <x:v>CONTROL / NO STANDALONE TASK</x:v>
      </x:c>
      <x:c r="P34" s="106"/>
      <x:c r="Q34" s="106"/>
      <x:c r="R34" s="106" t="str">
        <x:v>EW10 duplication control - no separate cost or quantity</x:v>
      </x:c>
      <x:c r="S34" s="189" t="str">
        <x:v>AMBER - reconciliation control</x:v>
      </x:c>
      <x:c r="T34" s="130" t="n">
        <x:f t="shared" si="3">I34-H34</x:f>
        <x:v>0</x:v>
      </x:c>
      <x:c r="U34" s="106" t="str">
        <x:f t="shared" si="4">IF(ABS(T34)&lt;0.01,"OK","CHECK")</x:f>
        <x:v>OK</x:v>
      </x:c>
      <x:c r="V34" s="106" t="str">
        <x:v>Auto Scheduled</x:v>
      </x:c>
      <x:c r="W34" s="106" t="str">
        <x:v>Prorated</x:v>
      </x:c>
      <x:c r="X34" s="106" t="str">
        <x:v>Topsoil handling is within EW01/EW08 treatment; no separate programme duration.</x:v>
      </x:c>
    </x:row>
    <x:row r="35" s="3" customFormat="1" ht="52.79999923706055" customHeight="1">
      <x:c r="A35" s="30">
        <x:v>29</x:v>
      </x:c>
      <x:c r="B35" s="30"/>
      <x:c r="C35" s="106"/>
      <x:c r="D35" s="106"/>
      <x:c r="E35" s="106"/>
      <x:c r="F35" s="106"/>
      <x:c r="G35" s="106"/>
      <x:c r="H35" s="185"/>
      <x:c r="I35" s="185" t="n">
        <x:f>SUMIF('Resource Build-Up'!$B$7:$B$306,D35,'Resource Build-Up'!$Z$7:$Z$306)</x:f>
        <x:v>0</x:v>
      </x:c>
      <x:c r="J35" s="186" t="n">
        <x:f ca="1">IFERROR(AGGREGATE(14,6,'Resource Build-Up'!$M$7:$M$306/('Resource Build-Up'!$B$7:$B$306=D35),1),0)</x:f>
        <x:v>0</x:v>
      </x:c>
      <x:c r="K35" s="186" t="str">
        <x:f t="shared" ca="1" si="0">IF(J35=0,"",ROUNDUP(J35/8,0))</x:f>
      </x:c>
      <x:c r="L35" s="191"/>
      <x:c r="M35" s="186" t="str">
        <x:f t="shared" ca="1" si="1">IF(L35&lt;&gt;"",L35,K35)</x:f>
      </x:c>
      <x:c r="N35" s="188" t="str">
        <x:f t="shared" ca="1" si="2">IF(M35="","",TEXT(M35,"0")&amp;" days")</x:f>
      </x:c>
      <x:c r="O35" s="106"/>
      <x:c r="P35" s="106"/>
      <x:c r="Q35" s="106"/>
      <x:c r="R35" s="106"/>
      <x:c r="S35" s="190"/>
      <x:c r="T35" s="130" t="n">
        <x:f t="shared" si="3">I35-H35</x:f>
        <x:v>0</x:v>
      </x:c>
      <x:c r="U35" s="106" t="str">
        <x:f t="shared" si="4">IF(ABS(T35)&lt;0.01,"OK","CHECK")</x:f>
        <x:v>OK</x:v>
      </x:c>
      <x:c r="V35" s="106" t="str">
        <x:v>Auto Scheduled</x:v>
      </x:c>
      <x:c r="W35" s="106" t="str">
        <x:v>Prorated</x:v>
      </x:c>
      <x:c r="X35" s="106"/>
    </x:row>
    <x:row r="36" s="3" customFormat="1" ht="52.79999923706055" customHeight="1">
      <x:c r="A36" s="30">
        <x:v>30</x:v>
      </x:c>
      <x:c r="B36" s="30"/>
      <x:c r="C36" s="106"/>
      <x:c r="D36" s="106"/>
      <x:c r="E36" s="106"/>
      <x:c r="F36" s="106"/>
      <x:c r="G36" s="106"/>
      <x:c r="H36" s="185"/>
      <x:c r="I36" s="185" t="n">
        <x:f>SUMIF('Resource Build-Up'!$B$7:$B$306,D36,'Resource Build-Up'!$Z$7:$Z$306)</x:f>
        <x:v>0</x:v>
      </x:c>
      <x:c r="J36" s="186" t="n">
        <x:f ca="1">IFERROR(AGGREGATE(14,6,'Resource Build-Up'!$M$7:$M$306/('Resource Build-Up'!$B$7:$B$306=D36),1),0)</x:f>
        <x:v>0</x:v>
      </x:c>
      <x:c r="K36" s="186" t="str">
        <x:f t="shared" ca="1" si="0">IF(J36=0,"",ROUNDUP(J36/8,0))</x:f>
      </x:c>
      <x:c r="L36" s="191"/>
      <x:c r="M36" s="186" t="str">
        <x:f t="shared" ca="1" si="1">IF(L36&lt;&gt;"",L36,K36)</x:f>
      </x:c>
      <x:c r="N36" s="188" t="str">
        <x:f t="shared" ca="1" si="2">IF(M36="","",TEXT(M36,"0")&amp;" days")</x:f>
      </x:c>
      <x:c r="O36" s="106"/>
      <x:c r="P36" s="106"/>
      <x:c r="Q36" s="106"/>
      <x:c r="R36" s="106"/>
      <x:c r="S36" s="190"/>
      <x:c r="T36" s="130" t="n">
        <x:f t="shared" si="3">I36-H36</x:f>
        <x:v>0</x:v>
      </x:c>
      <x:c r="U36" s="106" t="str">
        <x:f t="shared" si="4">IF(ABS(T36)&lt;0.01,"OK","CHECK")</x:f>
        <x:v>OK</x:v>
      </x:c>
      <x:c r="V36" s="106" t="str">
        <x:v>Auto Scheduled</x:v>
      </x:c>
      <x:c r="W36" s="106" t="str">
        <x:v>Prorated</x:v>
      </x:c>
      <x:c r="X36" s="106"/>
    </x:row>
    <x:row r="37" s="3" customFormat="1" ht="52.79999923706055" customHeight="1">
      <x:c r="A37" s="30">
        <x:v>31</x:v>
      </x:c>
      <x:c r="B37" s="30"/>
      <x:c r="C37" s="106"/>
      <x:c r="D37" s="106"/>
      <x:c r="E37" s="106"/>
      <x:c r="F37" s="106"/>
      <x:c r="G37" s="106"/>
      <x:c r="H37" s="185"/>
      <x:c r="I37" s="185" t="n">
        <x:f>SUMIF('Resource Build-Up'!$B$7:$B$306,D37,'Resource Build-Up'!$Z$7:$Z$306)</x:f>
        <x:v>0</x:v>
      </x:c>
      <x:c r="J37" s="186" t="n">
        <x:f ca="1">IFERROR(AGGREGATE(14,6,'Resource Build-Up'!$M$7:$M$306/('Resource Build-Up'!$B$7:$B$306=D37),1),0)</x:f>
        <x:v>0</x:v>
      </x:c>
      <x:c r="K37" s="186" t="str">
        <x:f t="shared" ca="1" si="0">IF(J37=0,"",ROUNDUP(J37/8,0))</x:f>
      </x:c>
      <x:c r="L37" s="191"/>
      <x:c r="M37" s="186" t="str">
        <x:f t="shared" ca="1" si="1">IF(L37&lt;&gt;"",L37,K37)</x:f>
      </x:c>
      <x:c r="N37" s="188" t="str">
        <x:f t="shared" ca="1" si="2">IF(M37="","",TEXT(M37,"0")&amp;" days")</x:f>
      </x:c>
      <x:c r="O37" s="106"/>
      <x:c r="P37" s="106"/>
      <x:c r="Q37" s="106"/>
      <x:c r="R37" s="106"/>
      <x:c r="S37" s="190"/>
      <x:c r="T37" s="130" t="n">
        <x:f t="shared" si="3">I37-H37</x:f>
        <x:v>0</x:v>
      </x:c>
      <x:c r="U37" s="106" t="str">
        <x:f t="shared" si="4">IF(ABS(T37)&lt;0.01,"OK","CHECK")</x:f>
        <x:v>OK</x:v>
      </x:c>
      <x:c r="V37" s="106" t="str">
        <x:v>Auto Scheduled</x:v>
      </x:c>
      <x:c r="W37" s="106" t="str">
        <x:v>Prorated</x:v>
      </x:c>
      <x:c r="X37" s="106"/>
    </x:row>
    <x:row r="38" s="3" customFormat="1" ht="52.79999923706055" customHeight="1">
      <x:c r="A38" s="30">
        <x:v>32</x:v>
      </x:c>
      <x:c r="B38" s="30"/>
      <x:c r="C38" s="106"/>
      <x:c r="D38" s="106"/>
      <x:c r="E38" s="106"/>
      <x:c r="F38" s="106"/>
      <x:c r="G38" s="106"/>
      <x:c r="H38" s="185"/>
      <x:c r="I38" s="185" t="n">
        <x:f>SUMIF('Resource Build-Up'!$B$7:$B$306,D38,'Resource Build-Up'!$Z$7:$Z$306)</x:f>
        <x:v>0</x:v>
      </x:c>
      <x:c r="J38" s="186" t="n">
        <x:f ca="1">IFERROR(AGGREGATE(14,6,'Resource Build-Up'!$M$7:$M$306/('Resource Build-Up'!$B$7:$B$306=D38),1),0)</x:f>
        <x:v>0</x:v>
      </x:c>
      <x:c r="K38" s="186" t="str">
        <x:f t="shared" ca="1" si="0">IF(J38=0,"",ROUNDUP(J38/8,0))</x:f>
      </x:c>
      <x:c r="L38" s="187"/>
      <x:c r="M38" s="186" t="str">
        <x:f t="shared" si="1">IF(L38&lt;&gt;"",L38,K38)</x:f>
      </x:c>
      <x:c r="N38" s="188" t="str">
        <x:f t="shared" si="2">IF(M38="","",TEXT(M38,"0")&amp;" days")</x:f>
      </x:c>
      <x:c r="O38" s="106"/>
      <x:c r="P38" s="106"/>
      <x:c r="Q38" s="106"/>
      <x:c r="R38" s="106"/>
      <x:c r="S38" s="190"/>
      <x:c r="T38" s="130" t="n">
        <x:f t="shared" si="3">I38-H38</x:f>
        <x:v>0</x:v>
      </x:c>
      <x:c r="U38" s="106" t="str">
        <x:f t="shared" si="4">IF(ABS(T38)&lt;0.01,"OK","CHECK")</x:f>
        <x:v>OK</x:v>
      </x:c>
      <x:c r="V38" s="106" t="str">
        <x:v>Auto Scheduled</x:v>
      </x:c>
      <x:c r="W38" s="106" t="str">
        <x:v>Prorated</x:v>
      </x:c>
      <x:c r="X38" s="106"/>
    </x:row>
    <x:row r="39" s="3" customFormat="1" ht="52.79999923706055" customHeight="1">
      <x:c r="A39" s="30">
        <x:v>33</x:v>
      </x:c>
      <x:c r="B39" s="30"/>
      <x:c r="C39" s="106"/>
      <x:c r="D39" s="106"/>
      <x:c r="E39" s="106"/>
      <x:c r="F39" s="106"/>
      <x:c r="G39" s="106"/>
      <x:c r="H39" s="185"/>
      <x:c r="I39" s="185" t="n">
        <x:f>SUMIF('Resource Build-Up'!$B$7:$B$306,D39,'Resource Build-Up'!$Z$7:$Z$306)</x:f>
        <x:v>0</x:v>
      </x:c>
      <x:c r="J39" s="186" t="n">
        <x:f ca="1">IFERROR(AGGREGATE(14,6,'Resource Build-Up'!$M$7:$M$306/('Resource Build-Up'!$B$7:$B$306=D39),1),0)</x:f>
        <x:v>0</x:v>
      </x:c>
      <x:c r="K39" s="186" t="str">
        <x:f t="shared" ref="K39:K70" ca="1" si="5">IF(J39=0,"",ROUNDUP(J39/8,0))</x:f>
      </x:c>
      <x:c r="L39" s="187"/>
      <x:c r="M39" s="186" t="str">
        <x:f t="shared" ref="M39:M70" si="6">IF(L39&lt;&gt;"",L39,K39)</x:f>
      </x:c>
      <x:c r="N39" s="188" t="str">
        <x:f t="shared" ref="N39:N70" si="7">IF(M39="","",TEXT(M39,"0")&amp;" days")</x:f>
      </x:c>
      <x:c r="O39" s="106"/>
      <x:c r="P39" s="106"/>
      <x:c r="Q39" s="106"/>
      <x:c r="R39" s="106"/>
      <x:c r="S39" s="190"/>
      <x:c r="T39" s="130" t="n">
        <x:f t="shared" ref="T39:T70" si="8">I39-H39</x:f>
        <x:v>0</x:v>
      </x:c>
      <x:c r="U39" s="106" t="str">
        <x:f t="shared" ref="U39:U70" si="9">IF(ABS(T39)&lt;0.01,"OK","CHECK")</x:f>
        <x:v>OK</x:v>
      </x:c>
      <x:c r="V39" s="106" t="str">
        <x:v>Auto Scheduled</x:v>
      </x:c>
      <x:c r="W39" s="106" t="str">
        <x:v>Prorated</x:v>
      </x:c>
      <x:c r="X39" s="106"/>
    </x:row>
    <x:row r="40" s="3" customFormat="1" ht="52.79999923706055" customHeight="1">
      <x:c r="A40" s="30">
        <x:v>34</x:v>
      </x:c>
      <x:c r="B40" s="30"/>
      <x:c r="C40" s="106"/>
      <x:c r="D40" s="106"/>
      <x:c r="E40" s="106"/>
      <x:c r="F40" s="106"/>
      <x:c r="G40" s="106"/>
      <x:c r="H40" s="185"/>
      <x:c r="I40" s="185" t="n">
        <x:f>SUMIF('Resource Build-Up'!$B$7:$B$306,D40,'Resource Build-Up'!$Z$7:$Z$306)</x:f>
        <x:v>0</x:v>
      </x:c>
      <x:c r="J40" s="186" t="n">
        <x:f ca="1">IFERROR(AGGREGATE(14,6,'Resource Build-Up'!$M$7:$M$306/('Resource Build-Up'!$B$7:$B$306=D40),1),0)</x:f>
        <x:v>0</x:v>
      </x:c>
      <x:c r="K40" s="186" t="str">
        <x:f t="shared" ca="1" si="5">IF(J40=0,"",ROUNDUP(J40/8,0))</x:f>
      </x:c>
      <x:c r="L40" s="187"/>
      <x:c r="M40" s="186" t="str">
        <x:f t="shared" si="6">IF(L40&lt;&gt;"",L40,K40)</x:f>
      </x:c>
      <x:c r="N40" s="188" t="str">
        <x:f t="shared" si="7">IF(M40="","",TEXT(M40,"0")&amp;" days")</x:f>
      </x:c>
      <x:c r="O40" s="106"/>
      <x:c r="P40" s="106"/>
      <x:c r="Q40" s="106"/>
      <x:c r="R40" s="106"/>
      <x:c r="S40" s="190"/>
      <x:c r="T40" s="130" t="n">
        <x:f t="shared" si="8">I40-H40</x:f>
        <x:v>0</x:v>
      </x:c>
      <x:c r="U40" s="106" t="str">
        <x:f t="shared" si="9">IF(ABS(T40)&lt;0.01,"OK","CHECK")</x:f>
        <x:v>OK</x:v>
      </x:c>
      <x:c r="V40" s="106" t="str">
        <x:v>Auto Scheduled</x:v>
      </x:c>
      <x:c r="W40" s="106" t="str">
        <x:v>Prorated</x:v>
      </x:c>
      <x:c r="X40" s="106"/>
    </x:row>
    <x:row r="41" s="3" customFormat="1" ht="52.79999923706055" customHeight="1">
      <x:c r="A41" s="30">
        <x:v>35</x:v>
      </x:c>
      <x:c r="B41" s="30"/>
      <x:c r="C41" s="106"/>
      <x:c r="D41" s="106"/>
      <x:c r="E41" s="106"/>
      <x:c r="F41" s="106"/>
      <x:c r="G41" s="106"/>
      <x:c r="H41" s="185"/>
      <x:c r="I41" s="185" t="n">
        <x:f>SUMIF('Resource Build-Up'!$B$7:$B$306,D41,'Resource Build-Up'!$Z$7:$Z$306)</x:f>
        <x:v>0</x:v>
      </x:c>
      <x:c r="J41" s="186" t="n">
        <x:f ca="1">IFERROR(AGGREGATE(14,6,'Resource Build-Up'!$M$7:$M$306/('Resource Build-Up'!$B$7:$B$306=D41),1),0)</x:f>
        <x:v>0</x:v>
      </x:c>
      <x:c r="K41" s="186" t="str">
        <x:f t="shared" ca="1" si="5">IF(J41=0,"",ROUNDUP(J41/8,0))</x:f>
      </x:c>
      <x:c r="L41" s="187"/>
      <x:c r="M41" s="186" t="str">
        <x:f t="shared" si="6">IF(L41&lt;&gt;"",L41,K41)</x:f>
      </x:c>
      <x:c r="N41" s="188" t="str">
        <x:f t="shared" si="7">IF(M41="","",TEXT(M41,"0")&amp;" days")</x:f>
      </x:c>
      <x:c r="O41" s="106"/>
      <x:c r="P41" s="106"/>
      <x:c r="Q41" s="106"/>
      <x:c r="R41" s="106"/>
      <x:c r="S41" s="190"/>
      <x:c r="T41" s="130" t="n">
        <x:f t="shared" si="8">I41-H41</x:f>
        <x:v>0</x:v>
      </x:c>
      <x:c r="U41" s="106" t="str">
        <x:f t="shared" si="9">IF(ABS(T41)&lt;0.01,"OK","CHECK")</x:f>
        <x:v>OK</x:v>
      </x:c>
      <x:c r="V41" s="106" t="str">
        <x:v>Auto Scheduled</x:v>
      </x:c>
      <x:c r="W41" s="106" t="str">
        <x:v>Prorated</x:v>
      </x:c>
      <x:c r="X41" s="106"/>
    </x:row>
    <x:row r="42" s="3" customFormat="1" ht="52.79999923706055" customHeight="1">
      <x:c r="A42" s="30">
        <x:v>36</x:v>
      </x:c>
      <x:c r="B42" s="30"/>
      <x:c r="C42" s="106"/>
      <x:c r="D42" s="106"/>
      <x:c r="E42" s="106"/>
      <x:c r="F42" s="106"/>
      <x:c r="G42" s="106"/>
      <x:c r="H42" s="185"/>
      <x:c r="I42" s="185" t="n">
        <x:f>SUMIF('Resource Build-Up'!$B$7:$B$306,D42,'Resource Build-Up'!$Z$7:$Z$306)</x:f>
        <x:v>0</x:v>
      </x:c>
      <x:c r="J42" s="186" t="n">
        <x:f ca="1">IFERROR(AGGREGATE(14,6,'Resource Build-Up'!$M$7:$M$306/('Resource Build-Up'!$B$7:$B$306=D42),1),0)</x:f>
        <x:v>0</x:v>
      </x:c>
      <x:c r="K42" s="186" t="str">
        <x:f t="shared" ca="1" si="5">IF(J42=0,"",ROUNDUP(J42/8,0))</x:f>
      </x:c>
      <x:c r="L42" s="187"/>
      <x:c r="M42" s="186" t="str">
        <x:f t="shared" si="6">IF(L42&lt;&gt;"",L42,K42)</x:f>
      </x:c>
      <x:c r="N42" s="188" t="str">
        <x:f t="shared" si="7">IF(M42="","",TEXT(M42,"0")&amp;" days")</x:f>
      </x:c>
      <x:c r="O42" s="106"/>
      <x:c r="P42" s="106"/>
      <x:c r="Q42" s="106"/>
      <x:c r="R42" s="106"/>
      <x:c r="S42" s="189"/>
      <x:c r="T42" s="130" t="n">
        <x:f t="shared" si="8">I42-H42</x:f>
        <x:v>0</x:v>
      </x:c>
      <x:c r="U42" s="106" t="str">
        <x:f t="shared" si="9">IF(ABS(T42)&lt;0.01,"OK","CHECK")</x:f>
        <x:v>OK</x:v>
      </x:c>
      <x:c r="V42" s="106" t="str">
        <x:v>Auto Scheduled</x:v>
      </x:c>
      <x:c r="W42" s="106" t="str">
        <x:v>Prorated</x:v>
      </x:c>
      <x:c r="X42" s="106"/>
    </x:row>
    <x:row r="43" s="3" customFormat="1" ht="52.79999923706055" customHeight="1">
      <x:c r="A43" s="30">
        <x:v>37</x:v>
      </x:c>
      <x:c r="B43" s="30"/>
      <x:c r="C43" s="106"/>
      <x:c r="D43" s="106"/>
      <x:c r="E43" s="106"/>
      <x:c r="F43" s="106"/>
      <x:c r="G43" s="106"/>
      <x:c r="H43" s="185"/>
      <x:c r="I43" s="185" t="n">
        <x:f>SUMIF('Resource Build-Up'!$B$7:$B$306,D43,'Resource Build-Up'!$Z$7:$Z$306)</x:f>
        <x:v>0</x:v>
      </x:c>
      <x:c r="J43" s="186" t="n">
        <x:f ca="1">IFERROR(AGGREGATE(14,6,'Resource Build-Up'!$M$7:$M$306/('Resource Build-Up'!$B$7:$B$306=D43),1),0)</x:f>
        <x:v>0</x:v>
      </x:c>
      <x:c r="K43" s="186" t="str">
        <x:f t="shared" ca="1" si="5">IF(J43=0,"",ROUNDUP(J43/8,0))</x:f>
      </x:c>
      <x:c r="L43" s="187"/>
      <x:c r="M43" s="186" t="str">
        <x:f t="shared" si="6">IF(L43&lt;&gt;"",L43,K43)</x:f>
      </x:c>
      <x:c r="N43" s="188" t="str">
        <x:f t="shared" si="7">IF(M43="","",TEXT(M43,"0")&amp;" days")</x:f>
      </x:c>
      <x:c r="O43" s="106"/>
      <x:c r="P43" s="106"/>
      <x:c r="Q43" s="106"/>
      <x:c r="R43" s="106"/>
      <x:c r="S43" s="190"/>
      <x:c r="T43" s="130" t="n">
        <x:f t="shared" si="8">I43-H43</x:f>
        <x:v>0</x:v>
      </x:c>
      <x:c r="U43" s="106" t="str">
        <x:f t="shared" si="9">IF(ABS(T43)&lt;0.01,"OK","CHECK")</x:f>
        <x:v>OK</x:v>
      </x:c>
      <x:c r="V43" s="106" t="str">
        <x:v>Auto Scheduled</x:v>
      </x:c>
      <x:c r="W43" s="106" t="str">
        <x:v>Prorated</x:v>
      </x:c>
      <x:c r="X43" s="106"/>
    </x:row>
    <x:row r="44" s="3" customFormat="1" ht="52.79999923706055" customHeight="1">
      <x:c r="A44" s="30">
        <x:v>38</x:v>
      </x:c>
      <x:c r="B44" s="30"/>
      <x:c r="C44" s="106"/>
      <x:c r="D44" s="106"/>
      <x:c r="E44" s="106"/>
      <x:c r="F44" s="106"/>
      <x:c r="G44" s="106"/>
      <x:c r="H44" s="185"/>
      <x:c r="I44" s="185" t="n">
        <x:f>SUMIF('Resource Build-Up'!$B$7:$B$306,D44,'Resource Build-Up'!$Z$7:$Z$306)</x:f>
        <x:v>0</x:v>
      </x:c>
      <x:c r="J44" s="186" t="n">
        <x:f ca="1">IFERROR(AGGREGATE(14,6,'Resource Build-Up'!$M$7:$M$306/('Resource Build-Up'!$B$7:$B$306=D44),1),0)</x:f>
        <x:v>0</x:v>
      </x:c>
      <x:c r="K44" s="186" t="str">
        <x:f t="shared" ca="1" si="5">IF(J44=0,"",ROUNDUP(J44/8,0))</x:f>
      </x:c>
      <x:c r="L44" s="191"/>
      <x:c r="M44" s="186" t="str">
        <x:f t="shared" ca="1" si="6">IF(L44&lt;&gt;"",L44,K44)</x:f>
      </x:c>
      <x:c r="N44" s="188" t="str">
        <x:f t="shared" ca="1" si="7">IF(M44="","",TEXT(M44,"0")&amp;" days")</x:f>
      </x:c>
      <x:c r="O44" s="106"/>
      <x:c r="P44" s="106"/>
      <x:c r="Q44" s="106"/>
      <x:c r="R44" s="106"/>
      <x:c r="S44" s="190"/>
      <x:c r="T44" s="130" t="n">
        <x:f t="shared" si="8">I44-H44</x:f>
        <x:v>0</x:v>
      </x:c>
      <x:c r="U44" s="106" t="str">
        <x:f t="shared" si="9">IF(ABS(T44)&lt;0.01,"OK","CHECK")</x:f>
        <x:v>OK</x:v>
      </x:c>
      <x:c r="V44" s="106" t="str">
        <x:v>Auto Scheduled</x:v>
      </x:c>
      <x:c r="W44" s="106" t="str">
        <x:v>Prorated</x:v>
      </x:c>
      <x:c r="X44" s="106"/>
    </x:row>
    <x:row r="45" s="3" customFormat="1" ht="52.79999923706055" customHeight="1">
      <x:c r="A45" s="30">
        <x:v>39</x:v>
      </x:c>
      <x:c r="B45" s="30"/>
      <x:c r="C45" s="106"/>
      <x:c r="D45" s="106"/>
      <x:c r="E45" s="106"/>
      <x:c r="F45" s="106"/>
      <x:c r="G45" s="106"/>
      <x:c r="H45" s="185"/>
      <x:c r="I45" s="185" t="n">
        <x:f>SUMIF('Resource Build-Up'!$B$7:$B$306,D45,'Resource Build-Up'!$Z$7:$Z$306)</x:f>
        <x:v>0</x:v>
      </x:c>
      <x:c r="J45" s="186" t="n">
        <x:f ca="1">IFERROR(AGGREGATE(14,6,'Resource Build-Up'!$M$7:$M$306/('Resource Build-Up'!$B$7:$B$306=D45),1),0)</x:f>
        <x:v>0</x:v>
      </x:c>
      <x:c r="K45" s="186" t="str">
        <x:f t="shared" ca="1" si="5">IF(J45=0,"",ROUNDUP(J45/8,0))</x:f>
      </x:c>
      <x:c r="L45" s="187"/>
      <x:c r="M45" s="186" t="str">
        <x:f t="shared" si="6">IF(L45&lt;&gt;"",L45,K45)</x:f>
      </x:c>
      <x:c r="N45" s="188" t="str">
        <x:f t="shared" si="7">IF(M45="","",TEXT(M45,"0")&amp;" days")</x:f>
      </x:c>
      <x:c r="O45" s="106"/>
      <x:c r="P45" s="106"/>
      <x:c r="Q45" s="106"/>
      <x:c r="R45" s="106"/>
      <x:c r="S45" s="190"/>
      <x:c r="T45" s="130" t="n">
        <x:f t="shared" si="8">I45-H45</x:f>
        <x:v>0</x:v>
      </x:c>
      <x:c r="U45" s="106" t="str">
        <x:f t="shared" si="9">IF(ABS(T45)&lt;0.01,"OK","CHECK")</x:f>
        <x:v>OK</x:v>
      </x:c>
      <x:c r="V45" s="106" t="str">
        <x:v>Auto Scheduled</x:v>
      </x:c>
      <x:c r="W45" s="106" t="str">
        <x:v>Prorated</x:v>
      </x:c>
      <x:c r="X45" s="106"/>
    </x:row>
    <x:row r="46" s="3" customFormat="1" ht="52.79999923706055" customHeight="1">
      <x:c r="A46" s="30">
        <x:v>40</x:v>
      </x:c>
      <x:c r="B46" s="30"/>
      <x:c r="C46" s="106"/>
      <x:c r="D46" s="106"/>
      <x:c r="E46" s="106"/>
      <x:c r="F46" s="106"/>
      <x:c r="G46" s="106"/>
      <x:c r="H46" s="185"/>
      <x:c r="I46" s="185" t="n">
        <x:f>SUMIF('Resource Build-Up'!$B$7:$B$306,D46,'Resource Build-Up'!$Z$7:$Z$306)</x:f>
        <x:v>0</x:v>
      </x:c>
      <x:c r="J46" s="186" t="n">
        <x:f ca="1">IFERROR(AGGREGATE(14,6,'Resource Build-Up'!$M$7:$M$306/('Resource Build-Up'!$B$7:$B$306=D46),1),0)</x:f>
        <x:v>0</x:v>
      </x:c>
      <x:c r="K46" s="186" t="str">
        <x:f t="shared" ca="1" si="5">IF(J46=0,"",ROUNDUP(J46/8,0))</x:f>
      </x:c>
      <x:c r="L46" s="187"/>
      <x:c r="M46" s="186" t="str">
        <x:f t="shared" si="6">IF(L46&lt;&gt;"",L46,K46)</x:f>
      </x:c>
      <x:c r="N46" s="188" t="str">
        <x:f t="shared" si="7">IF(M46="","",TEXT(M46,"0")&amp;" days")</x:f>
      </x:c>
      <x:c r="O46" s="106"/>
      <x:c r="P46" s="106"/>
      <x:c r="Q46" s="106"/>
      <x:c r="R46" s="106"/>
      <x:c r="S46" s="190"/>
      <x:c r="T46" s="130" t="n">
        <x:f t="shared" si="8">I46-H46</x:f>
        <x:v>0</x:v>
      </x:c>
      <x:c r="U46" s="106" t="str">
        <x:f t="shared" si="9">IF(ABS(T46)&lt;0.01,"OK","CHECK")</x:f>
        <x:v>OK</x:v>
      </x:c>
      <x:c r="V46" s="106" t="str">
        <x:v>Auto Scheduled</x:v>
      </x:c>
      <x:c r="W46" s="106" t="str">
        <x:v>Prorated</x:v>
      </x:c>
      <x:c r="X46" s="106"/>
    </x:row>
    <x:row r="47" s="3" customFormat="1" ht="52.79999923706055" customHeight="1">
      <x:c r="A47" s="30">
        <x:v>41</x:v>
      </x:c>
      <x:c r="B47" s="30"/>
      <x:c r="C47" s="106"/>
      <x:c r="D47" s="106"/>
      <x:c r="E47" s="106"/>
      <x:c r="F47" s="106"/>
      <x:c r="G47" s="106"/>
      <x:c r="H47" s="185"/>
      <x:c r="I47" s="185" t="n">
        <x:f>SUMIF('Resource Build-Up'!$B$7:$B$306,D47,'Resource Build-Up'!$Z$7:$Z$306)</x:f>
        <x:v>0</x:v>
      </x:c>
      <x:c r="J47" s="186" t="n">
        <x:f ca="1">IFERROR(AGGREGATE(14,6,'Resource Build-Up'!$M$7:$M$306/('Resource Build-Up'!$B$7:$B$306=D47),1),0)</x:f>
        <x:v>0</x:v>
      </x:c>
      <x:c r="K47" s="186" t="str">
        <x:f t="shared" ca="1" si="5">IF(J47=0,"",ROUNDUP(J47/8,0))</x:f>
      </x:c>
      <x:c r="L47" s="187"/>
      <x:c r="M47" s="186" t="str">
        <x:f t="shared" si="6">IF(L47&lt;&gt;"",L47,K47)</x:f>
      </x:c>
      <x:c r="N47" s="188" t="str">
        <x:f t="shared" si="7">IF(M47="","",TEXT(M47,"0")&amp;" days")</x:f>
      </x:c>
      <x:c r="O47" s="106"/>
      <x:c r="P47" s="106"/>
      <x:c r="Q47" s="106"/>
      <x:c r="R47" s="106"/>
      <x:c r="S47" s="190"/>
      <x:c r="T47" s="130" t="n">
        <x:f t="shared" si="8">I47-H47</x:f>
        <x:v>0</x:v>
      </x:c>
      <x:c r="U47" s="106" t="str">
        <x:f t="shared" si="9">IF(ABS(T47)&lt;0.01,"OK","CHECK")</x:f>
        <x:v>OK</x:v>
      </x:c>
      <x:c r="V47" s="106" t="str">
        <x:v>Auto Scheduled</x:v>
      </x:c>
      <x:c r="W47" s="106" t="str">
        <x:v>Prorated</x:v>
      </x:c>
      <x:c r="X47" s="106"/>
    </x:row>
    <x:row r="48" s="3" customFormat="1" ht="52.79999923706055" customHeight="1">
      <x:c r="A48" s="30">
        <x:v>42</x:v>
      </x:c>
      <x:c r="B48" s="30"/>
      <x:c r="C48" s="106"/>
      <x:c r="D48" s="106"/>
      <x:c r="E48" s="106"/>
      <x:c r="F48" s="106"/>
      <x:c r="G48" s="106"/>
      <x:c r="H48" s="185"/>
      <x:c r="I48" s="185" t="n">
        <x:f>SUMIF('Resource Build-Up'!$B$7:$B$306,D48,'Resource Build-Up'!$Z$7:$Z$306)</x:f>
        <x:v>0</x:v>
      </x:c>
      <x:c r="J48" s="186" t="n">
        <x:f ca="1">IFERROR(AGGREGATE(14,6,'Resource Build-Up'!$M$7:$M$306/('Resource Build-Up'!$B$7:$B$306=D48),1),0)</x:f>
        <x:v>0</x:v>
      </x:c>
      <x:c r="K48" s="186" t="str">
        <x:f t="shared" ca="1" si="5">IF(J48=0,"",ROUNDUP(J48/8,0))</x:f>
      </x:c>
      <x:c r="L48" s="187"/>
      <x:c r="M48" s="186" t="str">
        <x:f t="shared" si="6">IF(L48&lt;&gt;"",L48,K48)</x:f>
      </x:c>
      <x:c r="N48" s="188" t="str">
        <x:f t="shared" si="7">IF(M48="","",TEXT(M48,"0")&amp;" days")</x:f>
      </x:c>
      <x:c r="O48" s="106"/>
      <x:c r="P48" s="106"/>
      <x:c r="Q48" s="106"/>
      <x:c r="R48" s="106"/>
      <x:c r="S48" s="190"/>
      <x:c r="T48" s="130" t="n">
        <x:f t="shared" si="8">I48-H48</x:f>
        <x:v>0</x:v>
      </x:c>
      <x:c r="U48" s="106" t="str">
        <x:f t="shared" si="9">IF(ABS(T48)&lt;0.01,"OK","CHECK")</x:f>
        <x:v>OK</x:v>
      </x:c>
      <x:c r="V48" s="106" t="str">
        <x:v>Auto Scheduled</x:v>
      </x:c>
      <x:c r="W48" s="106" t="str">
        <x:v>Prorated</x:v>
      </x:c>
      <x:c r="X48" s="106"/>
    </x:row>
    <x:row r="49" s="3" customFormat="1" ht="52.79999923706055" customHeight="1">
      <x:c r="A49" s="30">
        <x:v>43</x:v>
      </x:c>
      <x:c r="B49" s="30"/>
      <x:c r="C49" s="106"/>
      <x:c r="D49" s="106"/>
      <x:c r="E49" s="106"/>
      <x:c r="F49" s="106"/>
      <x:c r="G49" s="106"/>
      <x:c r="H49" s="185"/>
      <x:c r="I49" s="185" t="n">
        <x:f>SUMIF('Resource Build-Up'!$B$7:$B$306,D49,'Resource Build-Up'!$Z$7:$Z$306)</x:f>
        <x:v>0</x:v>
      </x:c>
      <x:c r="J49" s="186" t="n">
        <x:f ca="1">IFERROR(AGGREGATE(14,6,'Resource Build-Up'!$M$7:$M$306/('Resource Build-Up'!$B$7:$B$306=D49),1),0)</x:f>
        <x:v>0</x:v>
      </x:c>
      <x:c r="K49" s="186" t="str">
        <x:f t="shared" ca="1" si="5">IF(J49=0,"",ROUNDUP(J49/8,0))</x:f>
      </x:c>
      <x:c r="L49" s="187"/>
      <x:c r="M49" s="186" t="str">
        <x:f t="shared" si="6">IF(L49&lt;&gt;"",L49,K49)</x:f>
      </x:c>
      <x:c r="N49" s="188" t="str">
        <x:f t="shared" si="7">IF(M49="","",TEXT(M49,"0")&amp;" days")</x:f>
      </x:c>
      <x:c r="O49" s="106"/>
      <x:c r="P49" s="106"/>
      <x:c r="Q49" s="106"/>
      <x:c r="R49" s="106"/>
      <x:c r="S49" s="190"/>
      <x:c r="T49" s="130" t="n">
        <x:f t="shared" si="8">I49-H49</x:f>
        <x:v>0</x:v>
      </x:c>
      <x:c r="U49" s="106" t="str">
        <x:f t="shared" si="9">IF(ABS(T49)&lt;0.01,"OK","CHECK")</x:f>
        <x:v>OK</x:v>
      </x:c>
      <x:c r="V49" s="106" t="str">
        <x:v>Auto Scheduled</x:v>
      </x:c>
      <x:c r="W49" s="106" t="str">
        <x:v>Prorated</x:v>
      </x:c>
      <x:c r="X49" s="106"/>
    </x:row>
    <x:row r="50" s="3" customFormat="1" ht="52.79999923706055" customHeight="1">
      <x:c r="A50" s="30">
        <x:v>44</x:v>
      </x:c>
      <x:c r="B50" s="30"/>
      <x:c r="C50" s="106"/>
      <x:c r="D50" s="106"/>
      <x:c r="E50" s="106"/>
      <x:c r="F50" s="106"/>
      <x:c r="G50" s="106"/>
      <x:c r="H50" s="185"/>
      <x:c r="I50" s="185" t="n">
        <x:f>SUMIF('Resource Build-Up'!$B$7:$B$306,D50,'Resource Build-Up'!$Z$7:$Z$306)</x:f>
        <x:v>0</x:v>
      </x:c>
      <x:c r="J50" s="186" t="n">
        <x:f ca="1">IFERROR(AGGREGATE(14,6,'Resource Build-Up'!$M$7:$M$306/('Resource Build-Up'!$B$7:$B$306=D50),1),0)</x:f>
        <x:v>0</x:v>
      </x:c>
      <x:c r="K50" s="186" t="str">
        <x:f t="shared" ca="1" si="5">IF(J50=0,"",ROUNDUP(J50/8,0))</x:f>
      </x:c>
      <x:c r="L50" s="187"/>
      <x:c r="M50" s="186" t="str">
        <x:f t="shared" si="6">IF(L50&lt;&gt;"",L50,K50)</x:f>
      </x:c>
      <x:c r="N50" s="188" t="str">
        <x:f t="shared" si="7">IF(M50="","",TEXT(M50,"0")&amp;" days")</x:f>
      </x:c>
      <x:c r="O50" s="106"/>
      <x:c r="P50" s="106"/>
      <x:c r="Q50" s="106"/>
      <x:c r="R50" s="106"/>
      <x:c r="S50" s="190"/>
      <x:c r="T50" s="130" t="n">
        <x:f t="shared" si="8">I50-H50</x:f>
        <x:v>0</x:v>
      </x:c>
      <x:c r="U50" s="106" t="str">
        <x:f t="shared" si="9">IF(ABS(T50)&lt;0.01,"OK","CHECK")</x:f>
        <x:v>OK</x:v>
      </x:c>
      <x:c r="V50" s="106" t="str">
        <x:v>Auto Scheduled</x:v>
      </x:c>
      <x:c r="W50" s="106" t="str">
        <x:v>Prorated</x:v>
      </x:c>
      <x:c r="X50" s="106"/>
    </x:row>
    <x:row r="51" s="3" customFormat="1" ht="52.79999923706055" customHeight="1">
      <x:c r="A51" s="30">
        <x:v>45</x:v>
      </x:c>
      <x:c r="B51" s="30" t="n">
        <x:v>23</x:v>
      </x:c>
      <x:c r="C51" s="106" t="str">
        <x:f>'QS Takeoff'!A23</x:f>
        <x:v>Pavements &amp; Concrete</x:v>
      </x:c>
      <x:c r="D51" s="106" t="str">
        <x:f>'QS Takeoff'!B23</x:f>
        <x:v>PV01</x:v>
      </x:c>
      <x:c r="E51" s="106" t="str">
        <x:f>'QS Takeoff'!C23</x:f>
        <x:v>Internal carpark / driveway concrete pavement</x:v>
      </x:c>
      <x:c r="F51" s="106" t="n">
        <x:f>'QS Takeoff'!E23</x:f>
        <x:v>478.35</x:v>
      </x:c>
      <x:c r="G51" s="106" t="str">
        <x:f>'QS Takeoff'!D23</x:f>
        <x:v>m2</x:v>
      </x:c>
      <x:c r="H51" s="185" t="n">
        <x:f>'QS Takeoff'!G23</x:f>
        <x:v>77257.66088125</x:v>
      </x:c>
      <x:c r="I51" s="185" t="n">
        <x:f>SUMIF('Resource Build-Up'!$B$7:$B$306,D51,'Resource Build-Up'!$Z$7:$Z$306)</x:f>
        <x:v>77257.66088125</x:v>
      </x:c>
      <x:c r="J51" s="186" t="n">
        <x:f ca="1">IFERROR(AGGREGATE(14,6,'Resource Build-Up'!$M$7:$M$306/('Resource Build-Up'!$B$7:$B$306=D51),1),0)</x:f>
        <x:v>159.45000000000002</x:v>
      </x:c>
      <x:c r="K51" s="186" t="n">
        <x:f t="shared" ca="1" si="5">IF(J51=0,"",ROUNDUP(J51/8,0))</x:f>
        <x:v>20</x:v>
      </x:c>
      <x:c r="L51" s="187" t="n">
        <x:v>10</x:v>
      </x:c>
      <x:c r="M51" s="186" t="n">
        <x:f t="shared" si="6">IF(L51&lt;&gt;"",L51,K51)</x:f>
        <x:v>10</x:v>
      </x:c>
      <x:c r="N51" s="188" t="str">
        <x:f t="shared" si="7">IF(M51="","",TEXT(M51,"0")&amp;" days")</x:f>
        <x:v>10 days</x:v>
      </x:c>
      <x:c r="O51" s="106" t="str">
        <x:v>PROGRAMME OVERRIDE - specialist concrete workfront</x:v>
      </x:c>
      <x:c r="P51" s="106" t="str">
        <x:v>PRG-PROOF</x:v>
      </x:c>
      <x:c r="Q51" s="106" t="str">
        <x:v>70</x:v>
      </x:c>
      <x:c r="R51" s="106" t="str">
        <x:v>PV01 resources: concrete/material/placing control</x:v>
      </x:c>
      <x:c r="S51" s="190" t="str">
        <x:v>RED - Q-05 PRODUCTIVITY / 568M2 BASIS ADOPTED</x:v>
      </x:c>
      <x:c r="T51" s="130" t="n">
        <x:f t="shared" si="8">I51-H51</x:f>
        <x:v>0</x:v>
      </x:c>
      <x:c r="U51" s="106" t="str">
        <x:f t="shared" si="9">IF(ABS(T51)&lt;0.01,"OK","CHECK")</x:f>
        <x:v>OK</x:v>
      </x:c>
      <x:c r="V51" s="106" t="str">
        <x:v>Auto Scheduled</x:v>
      </x:c>
      <x:c r="W51" s="106" t="str">
        <x:v>Prorated</x:v>
      </x:c>
      <x:c r="X51" s="106" t="str">
        <x:v>Rev29: stamped RC 568m2 total adopted after TPW confirmation. PV01 provisional build-up split = 478.35m2. 10WD tender control remains pending Q-05 because the direct labour productivity still implies a longer workfront; do not force either value.</x:v>
      </x:c>
    </x:row>
    <x:row r="52" s="3" customFormat="1" ht="52.79999923706055" customHeight="1">
      <x:c r="A52" s="30">
        <x:v>46</x:v>
      </x:c>
      <x:c r="B52" s="30" t="n">
        <x:v>24</x:v>
      </x:c>
      <x:c r="C52" s="106" t="str">
        <x:f>'QS Takeoff'!A24</x:f>
        <x:v>Pavements &amp; Concrete</x:v>
      </x:c>
      <x:c r="D52" s="106" t="str">
        <x:f>'QS Takeoff'!B24</x:f>
        <x:v>PV02</x:v>
      </x:c>
      <x:c r="E52" s="106" t="str">
        <x:f>'QS Takeoff'!C24</x:f>
        <x:v>Hobsonville Road public VX203 vehicle crossing</x:v>
      </x:c>
      <x:c r="F52" s="106" t="n">
        <x:f>'QS Takeoff'!E24</x:f>
        <x:v>37.7665</x:v>
      </x:c>
      <x:c r="G52" s="106" t="str">
        <x:f>'QS Takeoff'!D24</x:f>
        <x:v>m2</x:v>
      </x:c>
      <x:c r="H52" s="185" t="n">
        <x:f>'QS Takeoff'!G24</x:f>
        <x:v>18250</x:v>
      </x:c>
      <x:c r="I52" s="185" t="n">
        <x:f>SUMIF('Resource Build-Up'!$B$7:$B$306,D52,'Resource Build-Up'!$Z$7:$Z$306)</x:f>
        <x:v>18250</x:v>
      </x:c>
      <x:c r="J52" s="186" t="n">
        <x:f ca="1">IFERROR(AGGREGATE(14,6,'Resource Build-Up'!$M$7:$M$306/('Resource Build-Up'!$B$7:$B$306=D52),1),0)</x:f>
        <x:v>40</x:v>
      </x:c>
      <x:c r="K52" s="186" t="n">
        <x:f t="shared" ca="1" si="5">IF(J52=0,"",ROUNDUP(J52/8,0))</x:f>
        <x:v>5</x:v>
      </x:c>
      <x:c r="L52" s="191" t="n">
        <x:v>5</x:v>
      </x:c>
      <x:c r="M52" s="186" t="n">
        <x:f t="shared" ca="1" si="6">IF(L52&lt;&gt;"",L52,K52)</x:f>
        <x:v>5</x:v>
      </x:c>
      <x:c r="N52" s="188" t="str">
        <x:f t="shared" ca="1" si="7">IF(M52="","",TEXT(M52,"0")&amp;" days")</x:f>
        <x:v>5 days</x:v>
      </x:c>
      <x:c r="O52" s="106" t="str">
        <x:v>PC duration allowance</x:v>
      </x:c>
      <x:c r="P52" s="106" t="str">
        <x:v>PV01</x:v>
      </x:c>
      <x:c r="Q52" s="106" t="str">
        <x:v>45</x:v>
      </x:c>
      <x:c r="R52" s="106" t="str">
        <x:v>PV02 public VX203 crossing PC + Traffic Safe Q-07 core (one Stop/Go + one shoulder/pedestrian shift)</x:v>
      </x:c>
      <x:c r="S52" s="189" t="str">
        <x:v>AMBER - Q-07 CORE QUOTED / Q-05 + FINAL MEASURE OPEN</x:v>
      </x:c>
      <x:c r="T52" s="130" t="n">
        <x:f t="shared" si="8"/>
        <x:v>0</x:v>
      </x:c>
      <x:c r="U52" s="106" t="str">
        <x:f t="shared" si="9"/>
        <x:v>OK</x:v>
      </x:c>
      <x:c r="V52" s="106" t="str">
        <x:v>Auto Scheduled</x:v>
      </x:c>
      <x:c r="W52" s="106" t="str">
        <x:v>Prorated</x:v>
      </x:c>
      <x:c r="X52" s="106" t="str">
        <x:v>5-day crossing construction control retained. Traffic Safe expects road occupation approx 10:00-16:00 and has quoted two traffic shifts only; confirm final method does not require additional traffic-control shifts.</x:v>
      </x:c>
    </x:row>
    <x:row r="53" s="3" customFormat="1" ht="52.79999923706055" customHeight="1">
      <x:c r="A53" s="30">
        <x:v>47</x:v>
      </x:c>
      <x:c r="B53" s="30" t="n">
        <x:v>25</x:v>
      </x:c>
      <x:c r="C53" s="106" t="str">
        <x:f>'QS Takeoff'!A25</x:f>
        <x:v>Pavements &amp; Concrete</x:v>
      </x:c>
      <x:c r="D53" s="106" t="str">
        <x:f>'QS Takeoff'!B25</x:f>
        <x:v>PV03</x:v>
      </x:c>
      <x:c r="E53" s="106" t="str">
        <x:f>'QS Takeoff'!C25</x:f>
        <x:v>Private ROW / JOAL access connection</x:v>
      </x:c>
      <x:c r="F53" s="106" t="n">
        <x:f>'QS Takeoff'!E25</x:f>
        <x:v>0</x:v>
      </x:c>
      <x:c r="G53" s="106" t="str">
        <x:f>'QS Takeoff'!D25</x:f>
        <x:v>m2</x:v>
      </x:c>
      <x:c r="H53" s="185" t="n">
        <x:f>'QS Takeoff'!G25</x:f>
        <x:v>0</x:v>
      </x:c>
      <x:c r="I53" s="185" t="n">
        <x:f>SUMIF('Resource Build-Up'!$B$7:$B$306,D53,'Resource Build-Up'!$Z$7:$Z$306)</x:f>
        <x:v>0</x:v>
      </x:c>
      <x:c r="J53" s="186" t="n">
        <x:f ca="1">IFERROR(AGGREGATE(14,6,'Resource Build-Up'!$M$7:$M$306/('Resource Build-Up'!$B$7:$B$306=D53),1),0)</x:f>
        <x:v>0</x:v>
      </x:c>
      <x:c r="K53" s="186" t="str">
        <x:f t="shared" ca="1" si="5">IF(J53=0,"",ROUNDUP(J53/8,0))</x:f>
      </x:c>
      <x:c r="L53" s="191"/>
      <x:c r="M53" s="186" t="n">
        <x:f t="shared" ca="1" si="6"/>
        <x:v>0</x:v>
      </x:c>
      <x:c r="N53" s="188" t="str">
        <x:f t="shared" ca="1" si="7"/>
        <x:v>0 days</x:v>
      </x:c>
      <x:c r="O53" s="106" t="str">
        <x:v>INCLUDED IN PV01 / NO STANDALONE TASK</x:v>
      </x:c>
      <x:c r="P53" s="106"/>
      <x:c r="Q53" s="106"/>
      <x:c r="R53" s="106" t="str">
        <x:v>PV03 private ROW connection is contained within PV01</x:v>
      </x:c>
      <x:c r="S53" s="189" t="str">
        <x:v>AMBER - included control</x:v>
      </x:c>
      <x:c r="T53" s="130" t="n">
        <x:f t="shared" si="8">I53-H53</x:f>
        <x:v>0</x:v>
      </x:c>
      <x:c r="U53" s="106" t="str">
        <x:f t="shared" si="9">IF(ABS(T53)&lt;0.01,"OK","CHECK")</x:f>
        <x:v>OK</x:v>
      </x:c>
      <x:c r="V53" s="106" t="str">
        <x:v>Auto Scheduled</x:v>
      </x:c>
      <x:c r="W53" s="106" t="str">
        <x:v>Prorated</x:v>
      </x:c>
      <x:c r="X53" s="106" t="str">
        <x:v>No separate duration unless ROW owner/interface work is later instructed.</x:v>
      </x:c>
    </x:row>
    <x:row r="54" s="3" customFormat="1" ht="52.79999923706055" customHeight="1">
      <x:c r="A54" s="30">
        <x:v>48</x:v>
      </x:c>
      <x:c r="B54" s="30" t="n">
        <x:v>26</x:v>
      </x:c>
      <x:c r="C54" s="106" t="str">
        <x:f>'QS Takeoff'!A26</x:f>
        <x:v>Pavements &amp; Concrete</x:v>
      </x:c>
      <x:c r="D54" s="106" t="str">
        <x:f>'QS Takeoff'!B26</x:f>
        <x:v>PV04</x:v>
      </x:c>
      <x:c r="E54" s="106" t="str">
        <x:f>'QS Takeoff'!C26</x:f>
        <x:v>External concrete paths / interface paving</x:v>
      </x:c>
      <x:c r="F54" s="106" t="n">
        <x:f>'QS Takeoff'!E26</x:f>
        <x:v>89.65</x:v>
      </x:c>
      <x:c r="G54" s="106" t="str">
        <x:f>'QS Takeoff'!D26</x:f>
        <x:v>m2</x:v>
      </x:c>
      <x:c r="H54" s="185" t="n">
        <x:f>'QS Takeoff'!G26</x:f>
        <x:v>21026.652452025588</x:v>
      </x:c>
      <x:c r="I54" s="185" t="n">
        <x:f>SUMIF('Resource Build-Up'!$B$7:$B$306,D54,'Resource Build-Up'!$Z$7:$Z$306)</x:f>
        <x:v>21026.652452025588</x:v>
      </x:c>
      <x:c r="J54" s="186" t="n">
        <x:f ca="1">IFERROR(AGGREGATE(14,6,'Resource Build-Up'!$M$7:$M$306/('Resource Build-Up'!$B$7:$B$306=D54),1),0)</x:f>
        <x:v>64</x:v>
      </x:c>
      <x:c r="K54" s="186" t="n">
        <x:f t="shared" ca="1" si="5">IF(J54=0,"",ROUNDUP(J54/8,0))</x:f>
        <x:v>8</x:v>
      </x:c>
      <x:c r="L54" s="187" t="n">
        <x:v>8</x:v>
      </x:c>
      <x:c r="M54" s="186" t="n">
        <x:f t="shared" si="6">IF(L54&lt;&gt;"",L54,K54)</x:f>
        <x:v>8</x:v>
      </x:c>
      <x:c r="N54" s="188" t="str">
        <x:f t="shared" si="7">IF(M54="","",TEXT(M54,"0")&amp;" days")</x:f>
        <x:v>8 days</x:v>
      </x:c>
      <x:c r="O54" s="106" t="str">
        <x:v>PC duration allowance</x:v>
      </x:c>
      <x:c r="P54" s="106" t="str">
        <x:v>PV01</x:v>
      </x:c>
      <x:c r="Q54" s="106" t="str">
        <x:v>45</x:v>
      </x:c>
      <x:c r="R54" s="106" t="str">
        <x:v>PV04 external path/interface concrete PC</x:v>
      </x:c>
      <x:c r="S54" s="189" t="str">
        <x:v>AMBER - TPW TOTAL CLOSED / PATH SPLIT &amp; BUILD-UP OPEN</x:v>
      </x:c>
      <x:c r="T54" s="130" t="n">
        <x:f t="shared" si="8">I54-H54</x:f>
        <x:v>0</x:v>
      </x:c>
      <x:c r="U54" s="106" t="str">
        <x:f t="shared" si="9">IF(ABS(T54)&lt;0.01,"OK","CHECK")</x:f>
        <x:v>OK</x:v>
      </x:c>
      <x:c r="V54" s="106" t="str">
        <x:v>Auto Scheduled</x:v>
      </x:c>
      <x:c r="W54" s="106" t="str">
        <x:v>Prorated</x:v>
      </x:c>
      <x:c r="X54" s="106" t="str">
        <x:v>Rev29 PV04 residual path/interface control = 89.65m2; PC duration scaled to 8WD and remains non-controlling in the current 55WD sequence. Fresh markup/build-up confirmation required. Separate 33m2 ramp/entry/steps remains OWNER TBC.</x:v>
      </x:c>
    </x:row>
    <x:row r="55" s="3" customFormat="1" ht="52.79999923706055" customHeight="1">
      <x:c r="A55" s="30">
        <x:v>49</x:v>
      </x:c>
      <x:c r="B55" s="30" t="n">
        <x:v>27</x:v>
      </x:c>
      <x:c r="C55" s="106" t="str">
        <x:f>'QS Takeoff'!A27</x:f>
        <x:v>Pavements &amp; Concrete</x:v>
      </x:c>
      <x:c r="D55" s="106" t="str">
        <x:f>'QS Takeoff'!B27</x:f>
        <x:v>PV05</x:v>
      </x:c>
      <x:c r="E55" s="106" t="str">
        <x:f>'QS Takeoff'!C27</x:f>
        <x:v>Line marking, accessible symbols/signage and directional markings</x:v>
      </x:c>
      <x:c r="F55" s="106" t="n">
        <x:f>'QS Takeoff'!E27</x:f>
        <x:v>1</x:v>
      </x:c>
      <x:c r="G55" s="106" t="str">
        <x:f>'QS Takeoff'!D27</x:f>
        <x:v>LS</x:v>
      </x:c>
      <x:c r="H55" s="185" t="n">
        <x:f>'QS Takeoff'!G27</x:f>
        <x:v>2500</x:v>
      </x:c>
      <x:c r="I55" s="185" t="n">
        <x:f>SUMIF('Resource Build-Up'!$B$7:$B$306,D55,'Resource Build-Up'!$Z$7:$Z$306)</x:f>
        <x:v>2500</x:v>
      </x:c>
      <x:c r="J55" s="186" t="n">
        <x:f ca="1">IFERROR(AGGREGATE(14,6,'Resource Build-Up'!$M$7:$M$306/('Resource Build-Up'!$B$7:$B$306=D55),1),0)</x:f>
        <x:v>16</x:v>
      </x:c>
      <x:c r="K55" s="186" t="n">
        <x:f t="shared" ca="1" si="5">IF(J55=0,"",ROUNDUP(J55/8,0))</x:f>
        <x:v>2</x:v>
      </x:c>
      <x:c r="L55" s="187" t="n">
        <x:v>2</x:v>
      </x:c>
      <x:c r="M55" s="186" t="n">
        <x:f t="shared" si="6">IF(L55&lt;&gt;"",L55,K55)</x:f>
        <x:v>2</x:v>
      </x:c>
      <x:c r="N55" s="188" t="str">
        <x:f t="shared" si="7">IF(M55="","",TEXT(M55,"0")&amp;" days")</x:f>
        <x:v>2 days</x:v>
      </x:c>
      <x:c r="O55" s="106" t="str">
        <x:v>PC duration allowance</x:v>
      </x:c>
      <x:c r="P55" s="106" t="str">
        <x:v>PRG-CURE</x:v>
      </x:c>
      <x:c r="Q55" s="106" t="str">
        <x:v>71</x:v>
      </x:c>
      <x:c r="R55" s="106" t="str">
        <x:v>PV05 line marking/signage PC</x:v>
      </x:c>
      <x:c r="S55" s="190" t="str">
        <x:v>AMBER - Q-09 sent</x:v>
      </x:c>
      <x:c r="T55" s="130" t="n">
        <x:f t="shared" si="8">I55-H55</x:f>
        <x:v>0</x:v>
      </x:c>
      <x:c r="U55" s="106" t="str">
        <x:f t="shared" si="9">IF(ABS(T55)&lt;0.01,"OK","CHECK")</x:f>
        <x:v>OK</x:v>
      </x:c>
      <x:c r="V55" s="106" t="str">
        <x:v>Auto Scheduled</x:v>
      </x:c>
      <x:c r="W55" s="106" t="str">
        <x:v>Prorated</x:v>
      </x:c>
      <x:c r="X55" s="106" t="str">
        <x:v>Final line marking occurs after the explicit PRG-CURE protection hold.</x:v>
      </x:c>
    </x:row>
    <x:row r="56" s="3" customFormat="1" ht="52.79999923706055" customHeight="1">
      <x:c r="A56" s="30">
        <x:v>50</x:v>
      </x:c>
      <x:c r="B56" s="30" t="n">
        <x:v>28</x:v>
      </x:c>
      <x:c r="C56" s="106" t="str">
        <x:f>'QS Takeoff'!A28</x:f>
        <x:v>Pavements &amp; Concrete</x:v>
      </x:c>
      <x:c r="D56" s="106" t="str">
        <x:f>'QS Takeoff'!B28</x:f>
        <x:v>PV06</x:v>
      </x:c>
      <x:c r="E56" s="106" t="str">
        <x:f>'QS Takeoff'!C28</x:f>
        <x:v>Speed control devices / speed bumps</x:v>
      </x:c>
      <x:c r="F56" s="106" t="n">
        <x:f>'QS Takeoff'!E28</x:f>
        <x:v>0</x:v>
      </x:c>
      <x:c r="G56" s="106" t="str">
        <x:f>'QS Takeoff'!D28</x:f>
        <x:v>ea</x:v>
      </x:c>
      <x:c r="H56" s="185" t="n">
        <x:f>'QS Takeoff'!G28</x:f>
        <x:v>0</x:v>
      </x:c>
      <x:c r="I56" s="185" t="n">
        <x:f>SUMIF('Resource Build-Up'!$B$7:$B$306,D56,'Resource Build-Up'!$Z$7:$Z$306)</x:f>
        <x:v>0</x:v>
      </x:c>
      <x:c r="J56" s="186" t="n">
        <x:f ca="1">IFERROR(AGGREGATE(14,6,'Resource Build-Up'!$M$7:$M$306/('Resource Build-Up'!$B$7:$B$306=D56),1),0)</x:f>
        <x:v>0</x:v>
      </x:c>
      <x:c r="K56" s="186" t="str">
        <x:f t="shared" ca="1" si="5">IF(J56=0,"",ROUNDUP(J56/8,0))</x:f>
      </x:c>
      <x:c r="L56" s="187" t="n">
        <x:v>0</x:v>
      </x:c>
      <x:c r="M56" s="186" t="str">
        <x:f t="shared" si="6">IF(L56&lt;&gt;"",L56,K56)</x:f>
      </x:c>
      <x:c r="N56" s="188" t="str">
        <x:f t="shared" si="7">IF(M56="","",TEXT(M56,"0")&amp;" days")</x:f>
      </x:c>
      <x:c r="O56" s="106" t="str">
        <x:v>EXCLUDED - EXISTING TOPO FEATURE</x:v>
      </x:c>
      <x:c r="P56" s="106"/>
      <x:c r="Q56" s="106"/>
      <x:c r="R56" s="106" t="str">
        <x:v>No new speed-control device priced</x:v>
      </x:c>
      <x:c r="S56" s="190" t="str">
        <x:v>AMBER - excluded current basis</x:v>
      </x:c>
      <x:c r="T56" s="130" t="n">
        <x:f t="shared" si="8"/>
        <x:v>0</x:v>
      </x:c>
      <x:c r="U56" s="106" t="str">
        <x:f t="shared" si="9"/>
        <x:v>OK</x:v>
      </x:c>
      <x:c r="V56" s="106" t="str">
        <x:v>Auto Scheduled</x:v>
      </x:c>
      <x:c r="W56" s="106" t="str">
        <x:v>Prorated</x:v>
      </x:c>
      <x:c r="X56" s="106" t="str">
        <x:v>Rev21: 0-day / $0. The located Speed Bump is an existing topographic survey feature. Re-add only if new-work detail is instructed.</x:v>
      </x:c>
    </x:row>
    <x:row r="57" s="3" customFormat="1" ht="52.79999923706055" customHeight="1">
      <x:c r="A57" s="30">
        <x:v>51</x:v>
      </x:c>
      <x:c r="B57" s="30" t="n">
        <x:v>29</x:v>
      </x:c>
      <x:c r="C57" s="106" t="str">
        <x:f>'QS Takeoff'!A29</x:f>
        <x:v>Kerbs, Channels &amp; External Sitework</x:v>
      </x:c>
      <x:c r="D57" s="106" t="str">
        <x:f>'QS Takeoff'!B29</x:f>
        <x:v>ES01</x:v>
      </x:c>
      <x:c r="E57" s="106" t="str">
        <x:f>'QS Takeoff'!C29</x:f>
        <x:v>Dry service / utility trenches</x:v>
      </x:c>
      <x:c r="F57" s="106" t="n">
        <x:f>'QS Takeoff'!E29</x:f>
        <x:v>1</x:v>
      </x:c>
      <x:c r="G57" s="106" t="str">
        <x:f>'QS Takeoff'!D29</x:f>
        <x:v>LS</x:v>
      </x:c>
      <x:c r="H57" s="185" t="n">
        <x:f>'QS Takeoff'!G29</x:f>
        <x:v>15000</x:v>
      </x:c>
      <x:c r="I57" s="185" t="n">
        <x:f>SUMIF('Resource Build-Up'!$B$7:$B$306,D57,'Resource Build-Up'!$Z$7:$Z$306)</x:f>
        <x:v>15000</x:v>
      </x:c>
      <x:c r="J57" s="186" t="n">
        <x:f ca="1">IFERROR(AGGREGATE(14,6,'Resource Build-Up'!$M$7:$M$306/('Resource Build-Up'!$B$7:$B$306=D57),1),0)</x:f>
        <x:v>40</x:v>
      </x:c>
      <x:c r="K57" s="186" t="n">
        <x:f t="shared" ca="1" si="5">IF(J57=0,"",ROUNDUP(J57/8,0))</x:f>
        <x:v>5</x:v>
      </x:c>
      <x:c r="L57" s="187" t="n">
        <x:v>5</x:v>
      </x:c>
      <x:c r="M57" s="186" t="n">
        <x:f t="shared" si="6">IF(L57&lt;&gt;"",L57,K57)</x:f>
        <x:v>5</x:v>
      </x:c>
      <x:c r="N57" s="188" t="str">
        <x:f t="shared" si="7">IF(M57="","",TEXT(M57,"0")&amp;" days")</x:f>
        <x:v>5 days</x:v>
      </x:c>
      <x:c r="O57" s="106" t="str">
        <x:v>PC duration allowance</x:v>
      </x:c>
      <x:c r="P57" s="106" t="str">
        <x:v>EW03</x:v>
      </x:c>
      <x:c r="Q57" s="106" t="str">
        <x:v>21</x:v>
      </x:c>
      <x:c r="R57" s="106" t="str">
        <x:v>ES01 dry service trench PC</x:v>
      </x:c>
      <x:c r="S57" s="190" t="str">
        <x:v>AMBER - DESIGN HOLD</x:v>
      </x:c>
      <x:c r="T57" s="130" t="n">
        <x:f t="shared" si="8">I57-H57</x:f>
        <x:v>0</x:v>
      </x:c>
      <x:c r="U57" s="106" t="str">
        <x:f t="shared" si="9">IF(ABS(T57)&lt;0.01,"OK","CHECK")</x:f>
        <x:v>OK</x:v>
      </x:c>
      <x:c r="V57" s="106" t="str">
        <x:v>Auto Scheduled</x:v>
      </x:c>
      <x:c r="W57" s="106" t="str">
        <x:v>Prorated</x:v>
      </x:c>
      <x:c r="X57" s="106" t="str">
        <x:v>5-day tender placeholder only. Civil DWG311 says details by others; replace when coordinated design is issued.</x:v>
      </x:c>
    </x:row>
    <x:row r="58" s="3" customFormat="1" ht="52.79999923706055" customHeight="1">
      <x:c r="A58" s="30">
        <x:v>52</x:v>
      </x:c>
      <x:c r="B58" s="30" t="n">
        <x:v>30</x:v>
      </x:c>
      <x:c r="C58" s="106" t="str">
        <x:f>'QS Takeoff'!A30</x:f>
        <x:v>Kerbs, Channels &amp; External Sitework</x:v>
      </x:c>
      <x:c r="D58" s="106" t="str">
        <x:f>'QS Takeoff'!B30</x:f>
        <x:v>ES02</x:v>
      </x:c>
      <x:c r="E58" s="106" t="str">
        <x:f>'QS Takeoff'!C30</x:f>
        <x:v>Carpark formed dish channel / surface channel interface</x:v>
      </x:c>
      <x:c r="F58" s="106" t="n">
        <x:f>'QS Takeoff'!E30</x:f>
        <x:v>1</x:v>
      </x:c>
      <x:c r="G58" s="106" t="str">
        <x:f>'QS Takeoff'!D30</x:f>
        <x:v>LS</x:v>
      </x:c>
      <x:c r="H58" s="185" t="n">
        <x:f>'QS Takeoff'!G30</x:f>
        <x:v>7500</x:v>
      </x:c>
      <x:c r="I58" s="185" t="n">
        <x:f>SUMIF('Resource Build-Up'!$B$7:$B$306,D58,'Resource Build-Up'!$Z$7:$Z$306)</x:f>
        <x:v>7500</x:v>
      </x:c>
      <x:c r="J58" s="186" t="n">
        <x:f ca="1">IFERROR(AGGREGATE(14,6,'Resource Build-Up'!$M$7:$M$306/('Resource Build-Up'!$B$7:$B$306=D58),1),0)</x:f>
        <x:v>16</x:v>
      </x:c>
      <x:c r="K58" s="186" t="n">
        <x:f t="shared" ca="1" si="5">IF(J58=0,"",ROUNDUP(J58/8,0))</x:f>
        <x:v>2</x:v>
      </x:c>
      <x:c r="L58" s="187" t="n">
        <x:v>2</x:v>
      </x:c>
      <x:c r="M58" s="186" t="n">
        <x:f t="shared" si="6">IF(L58&lt;&gt;"",L58,K58)</x:f>
        <x:v>2</x:v>
      </x:c>
      <x:c r="N58" s="188" t="str">
        <x:f t="shared" si="7">IF(M58="","",TEXT(M58,"0")&amp;" days")</x:f>
        <x:v>2 days</x:v>
      </x:c>
      <x:c r="O58" s="106" t="str">
        <x:v>PC duration allowance</x:v>
      </x:c>
      <x:c r="P58" s="106" t="str">
        <x:v>PV01</x:v>
      </x:c>
      <x:c r="Q58" s="106" t="str">
        <x:v>45</x:v>
      </x:c>
      <x:c r="R58" s="106" t="str">
        <x:v>ES02 formed dish-channel/interface PC</x:v>
      </x:c>
      <x:c r="S58" s="190" t="str">
        <x:v>AMBER - RFI HOLD</x:v>
      </x:c>
      <x:c r="T58" s="130" t="n">
        <x:f t="shared" si="8">I58-H58</x:f>
        <x:v>0</x:v>
      </x:c>
      <x:c r="U58" s="106" t="str">
        <x:f t="shared" si="9">IF(ABS(T58)&lt;0.01,"OK","CHECK")</x:f>
        <x:v>OK</x:v>
      </x:c>
      <x:c r="V58" s="106" t="str">
        <x:v>Auto Scheduled</x:v>
      </x:c>
      <x:c r="W58" s="106" t="str">
        <x:v>Prorated</x:v>
      </x:c>
      <x:c r="X58" s="106" t="str">
        <x:v>2-day tender control pending measured length and downstream drainage interface.</x:v>
      </x:c>
    </x:row>
    <x:row r="59" s="3" customFormat="1" ht="52.79999923706055" customHeight="1">
      <x:c r="A59" s="30">
        <x:v>53</x:v>
      </x:c>
      <x:c r="B59" s="30" t="n">
        <x:v>31</x:v>
      </x:c>
      <x:c r="C59" s="106" t="str">
        <x:f>'QS Takeoff'!A31</x:f>
        <x:v>Kerbs, Channels &amp; External Sitework</x:v>
      </x:c>
      <x:c r="D59" s="106" t="str">
        <x:f>'QS Takeoff'!B31</x:f>
        <x:v>ES03</x:v>
      </x:c>
      <x:c r="E59" s="106" t="str">
        <x:f>'QS Takeoff'!C31</x:f>
        <x:v>Allproof level-threshold drainage to flush exterior openings</x:v>
      </x:c>
      <x:c r="F59" s="106" t="n">
        <x:f>'QS Takeoff'!E31</x:f>
        <x:v>44</x:v>
      </x:c>
      <x:c r="G59" s="106" t="str">
        <x:f>'QS Takeoff'!D31</x:f>
        <x:v>lm</x:v>
      </x:c>
      <x:c r="H59" s="185" t="n">
        <x:f>'QS Takeoff'!G31</x:f>
        <x:v>40000</x:v>
      </x:c>
      <x:c r="I59" s="185" t="n">
        <x:f>SUMIF('Resource Build-Up'!$B$7:$B$306,D59,'Resource Build-Up'!$Z$7:$Z$306)</x:f>
        <x:v>40000</x:v>
      </x:c>
      <x:c r="J59" s="186" t="n">
        <x:f ca="1">IFERROR(AGGREGATE(14,6,'Resource Build-Up'!$M$7:$M$306/('Resource Build-Up'!$B$7:$B$306=D59),1),0)</x:f>
        <x:v>56</x:v>
      </x:c>
      <x:c r="K59" s="186" t="n">
        <x:f t="shared" ca="1" si="5">IF(J59=0,"",ROUNDUP(J59/8,0))</x:f>
        <x:v>7</x:v>
      </x:c>
      <x:c r="L59" s="187" t="n">
        <x:v>7</x:v>
      </x:c>
      <x:c r="M59" s="186" t="n">
        <x:f t="shared" si="6">IF(L59&lt;&gt;"",L59,K59)</x:f>
        <x:v>7</x:v>
      </x:c>
      <x:c r="N59" s="188" t="str">
        <x:f t="shared" si="7">IF(M59="","",TEXT(M59,"0")&amp;" days")</x:f>
        <x:v>7 days</x:v>
      </x:c>
      <x:c r="O59" s="106" t="str">
        <x:v>PC duration allowance</x:v>
      </x:c>
      <x:c r="P59" s="106" t="str">
        <x:v>EW07</x:v>
      </x:c>
      <x:c r="Q59" s="106" t="str">
        <x:v>25</x:v>
      </x:c>
      <x:c r="R59" s="106" t="str">
        <x:v>ES03 Allproof threshold drain - 44m supplier order control / 22 door thresholds</x:v>
      </x:c>
      <x:c r="S59" s="190" t="str">
        <x:v>AMBER - PRODUCT SELECTION / CONFIRMED 7-8 WEEK LONG LEAD</x:v>
      </x:c>
      <x:c r="T59" s="130" t="n">
        <x:f t="shared" si="8"/>
        <x:v>0</x:v>
      </x:c>
      <x:c r="U59" s="106" t="str">
        <x:f t="shared" si="9"/>
        <x:v>OK</x:v>
      </x:c>
      <x:c r="V59" s="106" t="str">
        <x:v>Auto Scheduled</x:v>
      </x:c>
      <x:c r="W59" s="106" t="str">
        <x:v>Prorated</x:v>
      </x:c>
      <x:c r="X59" s="106" t="str">
        <x:v>7-day installation control remains provisional. Allproof confirmed 07-Sep-2026: 2m channel/grating + 2 end caps per door, giving 44m + 44 caps, with 7-8 week lead time. Procurement approval/order must occur early; GFN vs Wedge Wire and outlet/downstream interface remain to confirm.</x:v>
      </x:c>
    </x:row>
    <x:row r="60" s="3" customFormat="1" ht="52.79999923706055" customHeight="1">
      <x:c r="A60" s="30">
        <x:v>54</x:v>
      </x:c>
      <x:c r="B60" s="30" t="n">
        <x:v>32</x:v>
      </x:c>
      <x:c r="C60" s="106" t="str">
        <x:f>'QS Takeoff'!A32</x:f>
        <x:v>Kerbs, Channels &amp; External Sitework</x:v>
      </x:c>
      <x:c r="D60" s="106" t="str">
        <x:f>'QS Takeoff'!B32</x:f>
        <x:v>ES04</x:v>
      </x:c>
      <x:c r="E60" s="106" t="str">
        <x:f>'QS Takeoff'!C32</x:f>
        <x:v>OLFP fence opening / reinstatement interface</x:v>
      </x:c>
      <x:c r="F60" s="106" t="n">
        <x:f>'QS Takeoff'!E32</x:f>
        <x:v>1</x:v>
      </x:c>
      <x:c r="G60" s="106" t="str">
        <x:f>'QS Takeoff'!D32</x:f>
        <x:v>LS</x:v>
      </x:c>
      <x:c r="H60" s="185" t="n">
        <x:f>'QS Takeoff'!G32</x:f>
        <x:v>2500</x:v>
      </x:c>
      <x:c r="I60" s="185" t="n">
        <x:f>SUMIF('Resource Build-Up'!$B$7:$B$306,D60,'Resource Build-Up'!$Z$7:$Z$306)</x:f>
        <x:v>2500</x:v>
      </x:c>
      <x:c r="J60" s="186" t="n">
        <x:f ca="1">IFERROR(AGGREGATE(14,6,'Resource Build-Up'!$M$7:$M$306/('Resource Build-Up'!$B$7:$B$306=D60),1),0)</x:f>
        <x:v>8</x:v>
      </x:c>
      <x:c r="K60" s="186" t="n">
        <x:f t="shared" ca="1" si="5">IF(J60=0,"",ROUNDUP(J60/8,0))</x:f>
        <x:v>1</x:v>
      </x:c>
      <x:c r="L60" s="187" t="n">
        <x:v>1</x:v>
      </x:c>
      <x:c r="M60" s="186" t="n">
        <x:f t="shared" si="6">IF(L60&lt;&gt;"",L60,K60)</x:f>
        <x:v>1</x:v>
      </x:c>
      <x:c r="N60" s="188" t="str">
        <x:f t="shared" si="7">IF(M60="","",TEXT(M60,"0")&amp;" days")</x:f>
        <x:v>1 days</x:v>
      </x:c>
      <x:c r="O60" s="106" t="str">
        <x:v>PC duration allowance</x:v>
      </x:c>
      <x:c r="P60" s="106" t="str">
        <x:v>EW04</x:v>
      </x:c>
      <x:c r="Q60" s="106" t="str">
        <x:v>22</x:v>
      </x:c>
      <x:c r="R60" s="106" t="str">
        <x:v>ES04 OLFP fence opening/reinstatement PC</x:v>
      </x:c>
      <x:c r="S60" s="189" t="str">
        <x:v>AMBER - RFI HOLD</x:v>
      </x:c>
      <x:c r="T60" s="130" t="n">
        <x:f t="shared" si="8">I60-H60</x:f>
        <x:v>0</x:v>
      </x:c>
      <x:c r="U60" s="106" t="str">
        <x:f t="shared" si="9">IF(ABS(T60)&lt;0.01,"OK","CHECK")</x:f>
        <x:v>OK</x:v>
      </x:c>
      <x:c r="V60" s="106" t="str">
        <x:v>Auto Scheduled</x:v>
      </x:c>
      <x:c r="W60" s="106" t="str">
        <x:v>Prorated</x:v>
      </x:c>
      <x:c r="X60" s="106" t="str">
        <x:v>1-day interface allowance; remove if fencing is confirmed by others.</x:v>
      </x:c>
    </x:row>
    <x:row r="61" s="3" customFormat="1" ht="52.79999923706055" customHeight="1">
      <x:c r="A61" s="30">
        <x:v>55</x:v>
      </x:c>
      <x:c r="B61" s="30"/>
      <x:c r="C61" s="106"/>
      <x:c r="D61" s="106"/>
      <x:c r="E61" s="106"/>
      <x:c r="F61" s="106"/>
      <x:c r="G61" s="106"/>
      <x:c r="H61" s="185"/>
      <x:c r="I61" s="185" t="n">
        <x:f>SUMIF('Resource Build-Up'!$B$7:$B$306,D61,'Resource Build-Up'!$Z$7:$Z$306)</x:f>
        <x:v>0</x:v>
      </x:c>
      <x:c r="J61" s="186" t="n">
        <x:f ca="1">IFERROR(AGGREGATE(14,6,'Resource Build-Up'!$M$7:$M$306/('Resource Build-Up'!$B$7:$B$306=D61),1),0)</x:f>
        <x:v>0</x:v>
      </x:c>
      <x:c r="K61" s="186" t="str">
        <x:f t="shared" ca="1" si="5">IF(J61=0,"",ROUNDUP(J61/8,0))</x:f>
      </x:c>
      <x:c r="L61" s="187"/>
      <x:c r="M61" s="186" t="str">
        <x:f t="shared" si="6">IF(L61&lt;&gt;"",L61,K61)</x:f>
      </x:c>
      <x:c r="N61" s="188" t="str">
        <x:f t="shared" si="7">IF(M61="","",TEXT(M61,"0")&amp;" days")</x:f>
      </x:c>
      <x:c r="O61" s="106"/>
      <x:c r="P61" s="106"/>
      <x:c r="Q61" s="106"/>
      <x:c r="R61" s="106"/>
      <x:c r="S61" s="190"/>
      <x:c r="T61" s="130" t="n">
        <x:f t="shared" si="8">I61-H61</x:f>
        <x:v>0</x:v>
      </x:c>
      <x:c r="U61" s="106" t="str">
        <x:f t="shared" si="9">IF(ABS(T61)&lt;0.01,"OK","CHECK")</x:f>
        <x:v>OK</x:v>
      </x:c>
      <x:c r="V61" s="106" t="str">
        <x:v>Auto Scheduled</x:v>
      </x:c>
      <x:c r="W61" s="106" t="str">
        <x:v>Prorated</x:v>
      </x:c>
      <x:c r="X61" s="106"/>
    </x:row>
    <x:row r="62" s="3" customFormat="1" ht="52.79999923706055" customHeight="1">
      <x:c r="A62" s="30">
        <x:v>56</x:v>
      </x:c>
      <x:c r="B62" s="30"/>
      <x:c r="C62" s="106"/>
      <x:c r="D62" s="106"/>
      <x:c r="E62" s="106"/>
      <x:c r="F62" s="106"/>
      <x:c r="G62" s="106"/>
      <x:c r="H62" s="185"/>
      <x:c r="I62" s="185" t="n">
        <x:f>SUMIF('Resource Build-Up'!$B$7:$B$306,D62,'Resource Build-Up'!$Z$7:$Z$306)</x:f>
        <x:v>0</x:v>
      </x:c>
      <x:c r="J62" s="186" t="n">
        <x:f ca="1">IFERROR(AGGREGATE(14,6,'Resource Build-Up'!$M$7:$M$306/('Resource Build-Up'!$B$7:$B$306=D62),1),0)</x:f>
        <x:v>0</x:v>
      </x:c>
      <x:c r="K62" s="186" t="str">
        <x:f t="shared" ca="1" si="5">IF(J62=0,"",ROUNDUP(J62/8,0))</x:f>
      </x:c>
      <x:c r="L62" s="187"/>
      <x:c r="M62" s="186" t="str">
        <x:f t="shared" si="6">IF(L62&lt;&gt;"",L62,K62)</x:f>
      </x:c>
      <x:c r="N62" s="188" t="str">
        <x:f t="shared" si="7">IF(M62="","",TEXT(M62,"0")&amp;" days")</x:f>
      </x:c>
      <x:c r="O62" s="106"/>
      <x:c r="P62" s="106"/>
      <x:c r="Q62" s="106"/>
      <x:c r="R62" s="106"/>
      <x:c r="S62" s="190"/>
      <x:c r="T62" s="130" t="n">
        <x:f t="shared" si="8">I62-H62</x:f>
        <x:v>0</x:v>
      </x:c>
      <x:c r="U62" s="106" t="str">
        <x:f t="shared" si="9">IF(ABS(T62)&lt;0.01,"OK","CHECK")</x:f>
        <x:v>OK</x:v>
      </x:c>
      <x:c r="V62" s="106" t="str">
        <x:v>Auto Scheduled</x:v>
      </x:c>
      <x:c r="W62" s="106" t="str">
        <x:v>Prorated</x:v>
      </x:c>
      <x:c r="X62" s="106"/>
    </x:row>
    <x:row r="63" s="3" customFormat="1" ht="52.79999923706055" customHeight="1">
      <x:c r="A63" s="30">
        <x:v>57</x:v>
      </x:c>
      <x:c r="B63" s="30"/>
      <x:c r="C63" s="106"/>
      <x:c r="D63" s="106"/>
      <x:c r="E63" s="106"/>
      <x:c r="F63" s="106"/>
      <x:c r="G63" s="106"/>
      <x:c r="H63" s="185"/>
      <x:c r="I63" s="185" t="n">
        <x:f>SUMIF('Resource Build-Up'!$B$7:$B$306,D63,'Resource Build-Up'!$Z$7:$Z$306)</x:f>
        <x:v>0</x:v>
      </x:c>
      <x:c r="J63" s="186" t="n">
        <x:f ca="1">IFERROR(AGGREGATE(14,6,'Resource Build-Up'!$M$7:$M$306/('Resource Build-Up'!$B$7:$B$306=D63),1),0)</x:f>
        <x:v>0</x:v>
      </x:c>
      <x:c r="K63" s="186" t="str">
        <x:f t="shared" ca="1" si="5">IF(J63=0,"",ROUNDUP(J63/8,0))</x:f>
      </x:c>
      <x:c r="L63" s="187"/>
      <x:c r="M63" s="186" t="str">
        <x:f t="shared" si="6">IF(L63&lt;&gt;"",L63,K63)</x:f>
      </x:c>
      <x:c r="N63" s="188" t="str">
        <x:f t="shared" si="7">IF(M63="","",TEXT(M63,"0")&amp;" days")</x:f>
      </x:c>
      <x:c r="O63" s="106"/>
      <x:c r="P63" s="106"/>
      <x:c r="Q63" s="106"/>
      <x:c r="R63" s="106"/>
      <x:c r="S63" s="189"/>
      <x:c r="T63" s="130" t="n">
        <x:f t="shared" si="8">I63-H63</x:f>
        <x:v>0</x:v>
      </x:c>
      <x:c r="U63" s="106" t="str">
        <x:f t="shared" si="9">IF(ABS(T63)&lt;0.01,"OK","CHECK")</x:f>
        <x:v>OK</x:v>
      </x:c>
      <x:c r="V63" s="106" t="str">
        <x:v>Auto Scheduled</x:v>
      </x:c>
      <x:c r="W63" s="106" t="str">
        <x:v>Prorated</x:v>
      </x:c>
      <x:c r="X63" s="106"/>
    </x:row>
    <x:row r="64" s="3" customFormat="1" ht="52.79999923706055" customHeight="1">
      <x:c r="A64" s="30">
        <x:v>58</x:v>
      </x:c>
      <x:c r="B64" s="30"/>
      <x:c r="C64" s="106"/>
      <x:c r="D64" s="106"/>
      <x:c r="E64" s="106"/>
      <x:c r="F64" s="106"/>
      <x:c r="G64" s="106"/>
      <x:c r="H64" s="185"/>
      <x:c r="I64" s="185" t="n">
        <x:f>SUMIF('Resource Build-Up'!$B$7:$B$306,D64,'Resource Build-Up'!$Z$7:$Z$306)</x:f>
        <x:v>0</x:v>
      </x:c>
      <x:c r="J64" s="186" t="n">
        <x:f ca="1">IFERROR(AGGREGATE(14,6,'Resource Build-Up'!$M$7:$M$306/('Resource Build-Up'!$B$7:$B$306=D64),1),0)</x:f>
        <x:v>0</x:v>
      </x:c>
      <x:c r="K64" s="186" t="str">
        <x:f t="shared" ca="1" si="5">IF(J64=0,"",ROUNDUP(J64/8,0))</x:f>
      </x:c>
      <x:c r="L64" s="187"/>
      <x:c r="M64" s="186" t="str">
        <x:f t="shared" si="6">IF(L64&lt;&gt;"",L64,K64)</x:f>
      </x:c>
      <x:c r="N64" s="188" t="str">
        <x:f t="shared" si="7">IF(M64="","",TEXT(M64,"0")&amp;" days")</x:f>
      </x:c>
      <x:c r="O64" s="106"/>
      <x:c r="P64" s="106"/>
      <x:c r="Q64" s="106"/>
      <x:c r="R64" s="106" t="str">
        <x:v>RW05 Siteworks direct cost removed - Allied retaining drainage in DRN-REF01</x:v>
      </x:c>
      <x:c r="S64" s="189" t="str">
        <x:v>BY SUBCONTRACT / DUPLICATION CLOSED</x:v>
      </x:c>
      <x:c r="T64" s="130" t="n">
        <x:f t="shared" si="8"/>
        <x:v>0</x:v>
      </x:c>
      <x:c r="U64" s="106" t="str">
        <x:f t="shared" si="9"/>
        <x:v>OK</x:v>
      </x:c>
      <x:c r="V64" s="106" t="str">
        <x:v>Auto Scheduled</x:v>
      </x:c>
      <x:c r="W64" s="106" t="str">
        <x:v>Prorated</x:v>
      </x:c>
      <x:c r="X64" s="106" t="str">
        <x:v>No separate Siteworks retaining-drainage task. Jason allocates 3 of the 21 private-drainage labour days to the 108m retaining drainage + 2 Type 1 cesspits.</x:v>
      </x:c>
    </x:row>
    <x:row r="65" s="3" customFormat="1" ht="52.79999923706055" customHeight="1">
      <x:c r="A65" s="30">
        <x:v>59</x:v>
      </x:c>
      <x:c r="B65" s="30"/>
      <x:c r="C65" s="106"/>
      <x:c r="D65" s="106"/>
      <x:c r="E65" s="106"/>
      <x:c r="F65" s="106"/>
      <x:c r="G65" s="106"/>
      <x:c r="H65" s="185"/>
      <x:c r="I65" s="185" t="n">
        <x:f>SUMIF('Resource Build-Up'!$B$7:$B$306,D65,'Resource Build-Up'!$Z$7:$Z$306)</x:f>
        <x:v>0</x:v>
      </x:c>
      <x:c r="J65" s="186" t="n">
        <x:f ca="1">IFERROR(AGGREGATE(14,6,'Resource Build-Up'!$M$7:$M$306/('Resource Build-Up'!$B$7:$B$306=D65),1),0)</x:f>
        <x:v>0</x:v>
      </x:c>
      <x:c r="K65" s="186" t="str">
        <x:f t="shared" ca="1" si="5">IF(J65=0,"",ROUNDUP(J65/8,0))</x:f>
      </x:c>
      <x:c r="L65" s="187"/>
      <x:c r="M65" s="186" t="str">
        <x:f t="shared" si="6">IF(L65&lt;&gt;"",L65,K65)</x:f>
      </x:c>
      <x:c r="N65" s="188" t="str">
        <x:f t="shared" si="7">IF(M65="","",TEXT(M65,"0")&amp;" days")</x:f>
      </x:c>
      <x:c r="O65" s="106"/>
      <x:c r="P65" s="106"/>
      <x:c r="Q65" s="106"/>
      <x:c r="R65" s="106"/>
      <x:c r="S65" s="189"/>
      <x:c r="T65" s="130" t="n">
        <x:f t="shared" si="8">I65-H65</x:f>
        <x:v>0</x:v>
      </x:c>
      <x:c r="U65" s="106" t="str">
        <x:f t="shared" si="9">IF(ABS(T65)&lt;0.01,"OK","CHECK")</x:f>
        <x:v>OK</x:v>
      </x:c>
      <x:c r="V65" s="106" t="str">
        <x:v>Auto Scheduled</x:v>
      </x:c>
      <x:c r="W65" s="106" t="str">
        <x:v>Prorated</x:v>
      </x:c>
      <x:c r="X65" s="106"/>
    </x:row>
    <x:row r="66" s="3" customFormat="1" ht="52.79999923706055" customHeight="1">
      <x:c r="A66" s="30">
        <x:v>60</x:v>
      </x:c>
      <x:c r="B66" s="30" t="n">
        <x:v>33</x:v>
      </x:c>
      <x:c r="C66" s="106" t="str">
        <x:f>'QS Takeoff'!A33</x:f>
        <x:v>Retaining Walls</x:v>
      </x:c>
      <x:c r="D66" s="106" t="str">
        <x:f>'QS Takeoff'!B33</x:f>
        <x:v>RW01</x:v>
      </x:c>
      <x:c r="E66" s="106" t="str">
        <x:f>'QS Takeoff'!C33</x:f>
        <x:v>Keystone retaining wall - principal wall length control</x:v>
      </x:c>
      <x:c r="F66" s="106" t="n">
        <x:f>'QS Takeoff'!E33</x:f>
        <x:v>73.34</x:v>
      </x:c>
      <x:c r="G66" s="106" t="str">
        <x:f>'QS Takeoff'!D33</x:f>
        <x:v>lm</x:v>
      </x:c>
      <x:c r="H66" s="185" t="n">
        <x:f>'QS Takeoff'!G33</x:f>
        <x:v>45000</x:v>
      </x:c>
      <x:c r="I66" s="185" t="n">
        <x:f>SUMIF('Resource Build-Up'!$B$7:$B$306,D66,'Resource Build-Up'!$Z$7:$Z$306)</x:f>
        <x:v>45000</x:v>
      </x:c>
      <x:c r="J66" s="186" t="n">
        <x:f ca="1">IFERROR(AGGREGATE(14,6,'Resource Build-Up'!$M$7:$M$306/('Resource Build-Up'!$B$7:$B$306=D66),1),0)</x:f>
        <x:v>120</x:v>
      </x:c>
      <x:c r="K66" s="186" t="n">
        <x:f t="shared" ca="1" si="5">IF(J66=0,"",ROUNDUP(J66/8,0))</x:f>
        <x:v>15</x:v>
      </x:c>
      <x:c r="L66" s="187" t="n">
        <x:v>15</x:v>
      </x:c>
      <x:c r="M66" s="186" t="n">
        <x:f t="shared" si="6">IF(L66&lt;&gt;"",L66,K66)</x:f>
        <x:v>15</x:v>
      </x:c>
      <x:c r="N66" s="188" t="str">
        <x:f t="shared" si="7">IF(M66="","",TEXT(M66,"0")&amp;" days")</x:f>
        <x:v>15 days</x:v>
      </x:c>
      <x:c r="O66" s="106" t="str">
        <x:v>PC duration allowance</x:v>
      </x:c>
      <x:c r="P66" s="106" t="str">
        <x:v>RW03</x:v>
      </x:c>
      <x:c r="Q66" s="106" t="str">
        <x:v>62</x:v>
      </x:c>
      <x:c r="R66" s="106" t="str">
        <x:v>RW01 principal Keystone wall system PC - 73.34lm</x:v>
      </x:c>
      <x:c r="S66" s="190" t="str">
        <x:v>AMBER - Q-02 sent</x:v>
      </x:c>
      <x:c r="T66" s="130" t="n">
        <x:f t="shared" si="8">I66-H66</x:f>
        <x:v>0</x:v>
      </x:c>
      <x:c r="U66" s="106" t="str">
        <x:f t="shared" si="9">IF(ABS(T66)&lt;0.01,"OK","CHECK")</x:f>
        <x:v>OK</x:v>
      </x:c>
      <x:c r="V66" s="106" t="str">
        <x:v>Auto Scheduled</x:v>
      </x:c>
      <x:c r="W66" s="106" t="str">
        <x:v>Prorated</x:v>
      </x:c>
      <x:c r="X66" s="106" t="str">
        <x:v>15-day tender control pending final height-band/system quote; includes ordinary wall work only.</x:v>
      </x:c>
    </x:row>
    <x:row r="67" s="3" customFormat="1" ht="52.79999923706055" customHeight="1">
      <x:c r="A67" s="30">
        <x:v>61</x:v>
      </x:c>
      <x:c r="B67" s="30" t="n">
        <x:v>34</x:v>
      </x:c>
      <x:c r="C67" s="106" t="str">
        <x:f>'QS Takeoff'!A34</x:f>
        <x:v>Retaining Walls</x:v>
      </x:c>
      <x:c r="D67" s="106" t="str">
        <x:f>'QS Takeoff'!B34</x:f>
        <x:v>RW02</x:v>
      </x:c>
      <x:c r="E67" s="106" t="str">
        <x:f>'QS Takeoff'!C34</x:f>
        <x:v>Keystone retaining wall - low wall length control</x:v>
      </x:c>
      <x:c r="F67" s="106" t="n">
        <x:f>'QS Takeoff'!E34</x:f>
        <x:v>9.59</x:v>
      </x:c>
      <x:c r="G67" s="106" t="str">
        <x:f>'QS Takeoff'!D34</x:f>
        <x:v>lm</x:v>
      </x:c>
      <x:c r="H67" s="185" t="n">
        <x:f>'QS Takeoff'!G34</x:f>
        <x:v>7000</x:v>
      </x:c>
      <x:c r="I67" s="185" t="n">
        <x:f>SUMIF('Resource Build-Up'!$B$7:$B$306,D67,'Resource Build-Up'!$Z$7:$Z$306)</x:f>
        <x:v>7000</x:v>
      </x:c>
      <x:c r="J67" s="186" t="n">
        <x:f ca="1">IFERROR(AGGREGATE(14,6,'Resource Build-Up'!$M$7:$M$306/('Resource Build-Up'!$B$7:$B$306=D67),1),0)</x:f>
        <x:v>24</x:v>
      </x:c>
      <x:c r="K67" s="186" t="n">
        <x:f t="shared" ca="1" si="5">IF(J67=0,"",ROUNDUP(J67/8,0))</x:f>
        <x:v>3</x:v>
      </x:c>
      <x:c r="L67" s="191" t="n">
        <x:v>3</x:v>
      </x:c>
      <x:c r="M67" s="186" t="n">
        <x:f t="shared" ca="1" si="6">IF(L67&lt;&gt;"",L67,K67)</x:f>
        <x:v>3</x:v>
      </x:c>
      <x:c r="N67" s="188" t="str">
        <x:f t="shared" ca="1" si="7">IF(M67="","",TEXT(M67,"0")&amp;" days")</x:f>
        <x:v>3 days</x:v>
      </x:c>
      <x:c r="O67" s="106" t="str">
        <x:v>PC duration allowance</x:v>
      </x:c>
      <x:c r="P67" s="106" t="str">
        <x:v>RW03</x:v>
      </x:c>
      <x:c r="Q67" s="106" t="str">
        <x:v>62</x:v>
      </x:c>
      <x:c r="R67" s="106" t="str">
        <x:v>RW02 low Keystone wall system PC - 9.59lm</x:v>
      </x:c>
      <x:c r="S67" s="189" t="str">
        <x:v>AMBER - Q-02 sent</x:v>
      </x:c>
      <x:c r="T67" s="130" t="n">
        <x:f t="shared" si="8">I67-H67</x:f>
        <x:v>0</x:v>
      </x:c>
      <x:c r="U67" s="106" t="str">
        <x:f t="shared" si="9">IF(ABS(T67)&lt;0.01,"OK","CHECK")</x:f>
        <x:v>OK</x:v>
      </x:c>
      <x:c r="V67" s="106" t="str">
        <x:v>Auto Scheduled</x:v>
      </x:c>
      <x:c r="W67" s="106" t="str">
        <x:v>Prorated</x:v>
      </x:c>
      <x:c r="X67" s="106" t="str">
        <x:v>3-day tender control; may overlap principal wall crew depending final sequence.</x:v>
      </x:c>
    </x:row>
    <x:row r="68" s="3" customFormat="1" ht="52.79999923706055" customHeight="1">
      <x:c r="A68" s="30">
        <x:v>62</x:v>
      </x:c>
      <x:c r="B68" s="30" t="n">
        <x:v>35</x:v>
      </x:c>
      <x:c r="C68" s="106" t="str">
        <x:f>'QS Takeoff'!A35</x:f>
        <x:v>Retaining Walls</x:v>
      </x:c>
      <x:c r="D68" s="106" t="str">
        <x:f>'QS Takeoff'!B35</x:f>
        <x:v>RW03</x:v>
      </x:c>
      <x:c r="E68" s="106" t="str">
        <x:f>'QS Takeoff'!C35</x:f>
        <x:v>PILE1 bridging piles to Keystone over 450mm SW main</x:v>
      </x:c>
      <x:c r="F68" s="106" t="n">
        <x:f>'QS Takeoff'!E35</x:f>
        <x:v>7</x:v>
      </x:c>
      <x:c r="G68" s="106" t="str">
        <x:f>'QS Takeoff'!D35</x:f>
        <x:v>ea</x:v>
      </x:c>
      <x:c r="H68" s="185" t="n">
        <x:f>'QS Takeoff'!G35</x:f>
        <x:v>1668.83595875</x:v>
      </x:c>
      <x:c r="I68" s="185" t="n">
        <x:f>SUMIF('Resource Build-Up'!$B$7:$B$306,D68,'Resource Build-Up'!$Z$7:$Z$306)</x:f>
        <x:v>1668.83595875</x:v>
      </x:c>
      <x:c r="J68" s="186" t="n">
        <x:f ca="1">IFERROR(AGGREGATE(14,6,'Resource Build-Up'!$M$7:$M$306/('Resource Build-Up'!$B$7:$B$306=D68),1),0)</x:f>
        <x:v>7</x:v>
      </x:c>
      <x:c r="K68" s="186" t="n">
        <x:f t="shared" ca="1" si="5">IF(J68=0,"",ROUNDUP(J68/8,0))</x:f>
        <x:v>1</x:v>
      </x:c>
      <x:c r="L68" s="187"/>
      <x:c r="M68" s="186" t="n">
        <x:f t="shared" si="6">IF(L68&lt;&gt;"",L68,K68)</x:f>
        <x:v>1</x:v>
      </x:c>
      <x:c r="N68" s="188" t="str">
        <x:f t="shared" si="7">IF(M68="","",TEXT(M68,"0")&amp;" days")</x:f>
        <x:v>1 days</x:v>
      </x:c>
      <x:c r="O68" s="106" t="str">
        <x:v>RESOURCE BUILD-UP derived - in-house self-perform</x:v>
      </x:c>
      <x:c r="P68" s="106" t="str">
        <x:v>EW01</x:v>
      </x:c>
      <x:c r="Q68" s="106" t="str">
        <x:v>19</x:v>
      </x:c>
      <x:c r="R68" s="106" t="str">
        <x:v>RW03 self-perform: 7 x 500mm PILE1 using same 3t excavator + auger + labour support; 7 productive hours</x:v>
      </x:c>
      <x:c r="S68" s="190" t="str">
        <x:v>AMBER - SELF-PERFORM / TOOLING &amp; GEOTECH CHECK</x:v>
      </x:c>
      <x:c r="T68" s="130" t="n">
        <x:f t="shared" si="8">I68-H68</x:f>
        <x:v>0</x:v>
      </x:c>
      <x:c r="U68" s="106" t="str">
        <x:f t="shared" si="9">IF(ABS(T68)&lt;0.01,"OK","CHECK")</x:f>
        <x:v>OK</x:v>
      </x:c>
      <x:c r="V68" s="106" t="str">
        <x:v>Auto Scheduled</x:v>
      </x:c>
      <x:c r="W68" s="106" t="str">
        <x:v>Prorated</x:v>
      </x:c>
      <x:c r="X68" s="106" t="str">
        <x:v>Derived 1-day tender duration from 7 productive hours and sequenced after EW06 so the same in-house boring rig is not double-booked. Final geotech/service hold point applies.</x:v>
      </x:c>
    </x:row>
    <x:row r="69" s="3" customFormat="1" ht="52.79999923706055" customHeight="1">
      <x:c r="A69" s="30">
        <x:v>63</x:v>
      </x:c>
      <x:c r="B69" s="30" t="n">
        <x:v>36</x:v>
      </x:c>
      <x:c r="C69" s="106" t="str">
        <x:f>'QS Takeoff'!A36</x:f>
        <x:v>Retaining Walls</x:v>
      </x:c>
      <x:c r="D69" s="106" t="str">
        <x:f>'QS Takeoff'!B36</x:f>
        <x:v>RW04</x:v>
      </x:c>
      <x:c r="E69" s="106" t="str">
        <x:f>'QS Takeoff'!C36</x:f>
        <x:v>13MPa no-fines concrete to engineered Keystone gravity wall</x:v>
      </x:c>
      <x:c r="F69" s="106" t="n">
        <x:f>'QS Takeoff'!E36</x:f>
        <x:v>1</x:v>
      </x:c>
      <x:c r="G69" s="106" t="str">
        <x:f>'QS Takeoff'!D36</x:f>
        <x:v>LS</x:v>
      </x:c>
      <x:c r="H69" s="185" t="n">
        <x:f>'QS Takeoff'!G36</x:f>
        <x:v>18000</x:v>
      </x:c>
      <x:c r="I69" s="185" t="n">
        <x:f>SUMIF('Resource Build-Up'!$B$7:$B$306,D69,'Resource Build-Up'!$Z$7:$Z$306)</x:f>
        <x:v>18000</x:v>
      </x:c>
      <x:c r="J69" s="186" t="n">
        <x:f ca="1">IFERROR(AGGREGATE(14,6,'Resource Build-Up'!$M$7:$M$306/('Resource Build-Up'!$B$7:$B$306=D69),1),0)</x:f>
        <x:v>0</x:v>
      </x:c>
      <x:c r="K69" s="186" t="str">
        <x:f t="shared" ca="1" si="5">IF(J69=0,"",ROUNDUP(J69/8,0))</x:f>
      </x:c>
      <x:c r="L69" s="187"/>
      <x:c r="M69" s="186" t="n">
        <x:f t="shared" si="6"/>
        <x:v>0</x:v>
      </x:c>
      <x:c r="N69" s="188" t="str">
        <x:f t="shared" si="7"/>
        <x:v>0 days</x:v>
      </x:c>
      <x:c r="O69" s="106" t="str">
        <x:v>CONCURRENT / EMBEDDED WITH RW01</x:v>
      </x:c>
      <x:c r="P69" s="106"/>
      <x:c r="Q69" s="106"/>
      <x:c r="R69" s="106" t="str">
        <x:v>RW04 no-fines concrete PC</x:v>
      </x:c>
      <x:c r="S69" s="190" t="str">
        <x:v>AMBER - Q-03 sent</x:v>
      </x:c>
      <x:c r="T69" s="130" t="n">
        <x:f t="shared" si="8">I69-H69</x:f>
        <x:v>0</x:v>
      </x:c>
      <x:c r="U69" s="106" t="str">
        <x:f t="shared" si="9">IF(ABS(T69)&lt;0.01,"OK","CHECK")</x:f>
        <x:v>OK</x:v>
      </x:c>
      <x:c r="V69" s="106" t="str">
        <x:v>Auto Scheduled</x:v>
      </x:c>
      <x:c r="W69" s="106" t="str">
        <x:v>Prorated</x:v>
      </x:c>
      <x:c r="X69" s="106" t="str">
        <x:v>No separate critical-path duration assigned; placement occurs within Keystone wall workfront pending supplier methodology.</x:v>
      </x:c>
    </x:row>
    <x:row r="70" s="3" customFormat="1" ht="52.79999923706055" customHeight="1">
      <x:c r="A70" s="30">
        <x:v>64</x:v>
      </x:c>
      <x:c r="B70" s="30" t="n">
        <x:v>37</x:v>
      </x:c>
      <x:c r="C70" s="106" t="str">
        <x:f>'QS Takeoff'!A37</x:f>
        <x:v>Retaining Walls</x:v>
      </x:c>
      <x:c r="D70" s="106" t="str">
        <x:f>'QS Takeoff'!B37</x:f>
        <x:v>RW05</x:v>
      </x:c>
      <x:c r="E70" s="106" t="str">
        <x:f>'QS Takeoff'!C37</x:f>
        <x:v>Retaining wall drainage: 100mm Novaflo, aggregate and filter cloth</x:v>
      </x:c>
      <x:c r="F70" s="106" t="n">
        <x:f>'QS Takeoff'!E37</x:f>
        <x:v>82.93</x:v>
      </x:c>
      <x:c r="G70" s="106" t="str">
        <x:f>'QS Takeoff'!D37</x:f>
        <x:v>lm</x:v>
      </x:c>
      <x:c r="H70" s="185" t="n">
        <x:f>'QS Takeoff'!G37</x:f>
        <x:v>0</x:v>
      </x:c>
      <x:c r="I70" s="185" t="n">
        <x:f>SUMIF('Resource Build-Up'!$B$7:$B$306,D70,'Resource Build-Up'!$Z$7:$Z$306)</x:f>
        <x:v>0</x:v>
      </x:c>
      <x:c r="J70" s="186" t="n">
        <x:f ca="1">IFERROR(AGGREGATE(14,6,'Resource Build-Up'!$M$7:$M$306/('Resource Build-Up'!$B$7:$B$306=D70),1),0)</x:f>
        <x:v>0</x:v>
      </x:c>
      <x:c r="K70" s="186" t="str">
        <x:f t="shared" ca="1" si="5">IF(J70=0,"",ROUNDUP(J70/8,0))</x:f>
      </x:c>
      <x:c r="L70" s="187"/>
      <x:c r="M70" s="186" t="n">
        <x:f t="shared" si="6"/>
        <x:v>0</x:v>
      </x:c>
      <x:c r="N70" s="188" t="str">
        <x:f t="shared" si="7"/>
        <x:v>0 days</x:v>
      </x:c>
      <x:c r="O70" s="106" t="str">
        <x:v>CONCURRENT / EMBEDDED WITH RW01/RW02</x:v>
      </x:c>
      <x:c r="P70" s="106"/>
      <x:c r="Q70" s="106"/>
      <x:c r="R70" s="106" t="str">
        <x:v>RW05 retaining drainage PC - 82.93lm</x:v>
      </x:c>
      <x:c r="S70" s="190" t="str">
        <x:v>AMBER - Q-02 scope confirm</x:v>
      </x:c>
      <x:c r="T70" s="130" t="n">
        <x:f t="shared" si="8">I70-H70</x:f>
        <x:v>0</x:v>
      </x:c>
      <x:c r="U70" s="106" t="str">
        <x:f t="shared" si="9">IF(ABS(T70)&lt;0.01,"OK","CHECK")</x:f>
        <x:v>OK</x:v>
      </x:c>
      <x:c r="V70" s="106" t="str">
        <x:v>Auto Scheduled</x:v>
      </x:c>
      <x:c r="W70" s="106" t="str">
        <x:v>Prorated</x:v>
      </x:c>
      <x:c r="X70" s="106" t="str">
        <x:v>No separate critical-path duration assigned; drainage progresses with retaining construction.</x:v>
      </x:c>
    </x:row>
    <x:row r="71" s="3" customFormat="1" ht="52.79999923706055" customHeight="1">
      <x:c r="A71" s="30">
        <x:v>65</x:v>
      </x:c>
      <x:c r="B71" s="30"/>
      <x:c r="C71" s="106"/>
      <x:c r="D71" s="106"/>
      <x:c r="E71" s="106"/>
      <x:c r="F71" s="106"/>
      <x:c r="G71" s="106"/>
      <x:c r="H71" s="185"/>
      <x:c r="I71" s="185" t="n">
        <x:f>SUMIF('Resource Build-Up'!$B$7:$B$306,D71,'Resource Build-Up'!$Z$7:$Z$306)</x:f>
        <x:v>0</x:v>
      </x:c>
      <x:c r="J71" s="186" t="n">
        <x:f ca="1">IFERROR(AGGREGATE(14,6,'Resource Build-Up'!$M$7:$M$306/('Resource Build-Up'!$B$7:$B$306=D71),1),0)</x:f>
        <x:v>0</x:v>
      </x:c>
      <x:c r="K71" s="186" t="str">
        <x:f t="shared" ref="K71:K77" ca="1" si="10">IF(J71=0,"",ROUNDUP(J71/8,0))</x:f>
      </x:c>
      <x:c r="L71" s="187"/>
      <x:c r="M71" s="186" t="str">
        <x:f t="shared" ref="M71:M77" si="11">IF(L71&lt;&gt;"",L71,K71)</x:f>
      </x:c>
      <x:c r="N71" s="188" t="str">
        <x:f t="shared" ref="N71:N74" si="12">IF(M71="","",TEXT(M71,"0")&amp;" days")</x:f>
      </x:c>
      <x:c r="O71" s="106"/>
      <x:c r="P71" s="106"/>
      <x:c r="Q71" s="106"/>
      <x:c r="R71" s="106"/>
      <x:c r="S71" s="190"/>
      <x:c r="T71" s="130" t="n">
        <x:f t="shared" ref="T71:T77" si="13">I71-H71</x:f>
        <x:v>0</x:v>
      </x:c>
      <x:c r="U71" s="106" t="str">
        <x:f t="shared" ref="U71:U77" si="14">IF(ABS(T71)&lt;0.01,"OK","CHECK")</x:f>
        <x:v>OK</x:v>
      </x:c>
      <x:c r="V71" s="106" t="str">
        <x:v>Auto Scheduled</x:v>
      </x:c>
      <x:c r="W71" s="106" t="str">
        <x:v>Prorated</x:v>
      </x:c>
      <x:c r="X71" s="106"/>
    </x:row>
    <x:row r="72" s="3" customFormat="1" ht="52.79999923706055" customHeight="1">
      <x:c r="A72" s="30" t="n">
        <x:v>66</x:v>
      </x:c>
      <x:c r="B72" s="30" t="str">
        <x:v>REF</x:v>
      </x:c>
      <x:c r="C72" s="106" t="str">
        <x:v>Drainage Interface - By Others</x:v>
      </x:c>
      <x:c r="D72" s="106" t="str">
        <x:v>DRN-REF01</x:v>
      </x:c>
      <x:c r="E72" s="106" t="str">
        <x:v>Jason / Allied private drainage package - 21WD reference</x:v>
      </x:c>
      <x:c r="F72" s="106" t="n">
        <x:v>21</x:v>
      </x:c>
      <x:c r="G72" s="106" t="str">
        <x:v>WD</x:v>
      </x:c>
      <x:c r="H72" s="185" t="n">
        <x:v>0</x:v>
      </x:c>
      <x:c r="I72" s="185" t="n">
        <x:v>0</x:v>
      </x:c>
      <x:c r="J72" s="186" t="n">
        <x:f ca="1"/>
        <x:v>168</x:v>
      </x:c>
      <x:c r="K72" s="186" t="n">
        <x:f t="shared" ca="1" si="10"/>
        <x:v>21</x:v>
      </x:c>
      <x:c r="L72" s="187" t="n">
        <x:v>21</x:v>
      </x:c>
      <x:c r="M72" s="186" t="n">
        <x:f t="shared" si="11"/>
        <x:v>21</x:v>
      </x:c>
      <x:c r="N72" s="188" t="str">
        <x:f t="shared" si="12"/>
        <x:v>21 days</x:v>
      </x:c>
      <x:c r="O72" s="106" t="str">
        <x:v>REFERENCE ONLY - BY OTHERS / LABOUR SPLIT CONFIRMED</x:v>
      </x:c>
      <x:c r="P72" s="106" t="str">
        <x:v>EW02</x:v>
      </x:c>
      <x:c r="Q72" s="106" t="str">
        <x:v>20</x:v>
      </x:c>
      <x:c r="R72" s="106" t="str">
        <x:v>Ref25237 labour split: 10 days private stormwater + 8 days wastewater + 3 days retaining-wall Novacoil</x:v>
      </x:c>
      <x:c r="S72" s="190" t="str">
        <x:v>REFERENCE / BY OTHERS - ALLOCATION CONFIRMED</x:v>
      </x:c>
      <x:c r="T72" s="130" t="n">
        <x:f t="shared" si="13"/>
        <x:v>0</x:v>
      </x:c>
      <x:c r="U72" s="106" t="str">
        <x:f t="shared" si="14"/>
        <x:v>OK</x:v>
      </x:c>
      <x:c r="V72" s="106" t="str">
        <x:v>Auto Scheduled</x:v>
      </x:c>
      <x:c r="W72" s="106" t="str">
        <x:v>Prorated</x:v>
      </x:c>
      <x:c r="X72" s="106" t="str">
        <x:v>Jason clarification 10-Sep-2026. The quote carries one 21-day labour pool; the 10/8/3 allocation is cost/scope allocation, not an evidenced task sequence, so the programme retains one 21WD reference task rather than inventing dependencies. Public Quote1078 duration is still not stated.</x:v>
      </x:c>
    </x:row>
    <x:row r="73" s="3" customFormat="1" ht="52.79999923706055" customHeight="1">
      <x:c r="A73" s="30">
        <x:v>67</x:v>
      </x:c>
      <x:c r="B73" s="30" t="n">
        <x:v>39</x:v>
      </x:c>
      <x:c r="C73" s="106" t="str">
        <x:f>'QS Takeoff'!A39</x:f>
        <x:v>Testing, As-Builts &amp; Compliance</x:v>
      </x:c>
      <x:c r="D73" s="106" t="str">
        <x:f>'QS Takeoff'!B39</x:f>
        <x:v>TC02</x:v>
      </x:c>
      <x:c r="E73" s="106" t="str">
        <x:f>'QS Takeoff'!C39</x:f>
        <x:v>Survey setout / as-built support for Siteworks package</x:v>
      </x:c>
      <x:c r="F73" s="106" t="n">
        <x:f>'QS Takeoff'!E39</x:f>
        <x:v>0</x:v>
      </x:c>
      <x:c r="G73" s="106" t="str">
        <x:f>'QS Takeoff'!D39</x:f>
        <x:v>LS</x:v>
      </x:c>
      <x:c r="H73" s="185" t="n">
        <x:f>'QS Takeoff'!G39</x:f>
        <x:v>0</x:v>
      </x:c>
      <x:c r="I73" s="185" t="n">
        <x:f>SUMIF('Resource Build-Up'!$B$7:$B$306,D73,'Resource Build-Up'!$Z$7:$Z$306)</x:f>
        <x:v>0</x:v>
      </x:c>
      <x:c r="J73" s="186" t="n">
        <x:f ca="1">IFERROR(AGGREGATE(14,6,'Resource Build-Up'!$M$7:$M$306/('Resource Build-Up'!$B$7:$B$306=D73),1),0)</x:f>
        <x:v>0</x:v>
      </x:c>
      <x:c r="K73" s="186" t="str">
        <x:f t="shared" ca="1" si="10">IF(J73=0,"",ROUNDUP(J73/8,0))</x:f>
      </x:c>
      <x:c r="L73" s="187"/>
      <x:c r="M73" s="186" t="n">
        <x:f t="shared" si="11"/>
        <x:v>0</x:v>
      </x:c>
      <x:c r="N73" s="188" t="str">
        <x:f t="shared" si="12"/>
        <x:v>0 days</x:v>
      </x:c>
      <x:c r="O73" s="106" t="str">
        <x:v>INCLUDED IN PG01 / NO STANDALONE COST</x:v>
      </x:c>
      <x:c r="P73" s="106"/>
      <x:c r="Q73" s="106"/>
      <x:c r="R73" s="106" t="str">
        <x:v>TC02 basic survey/setout/as-built support</x:v>
      </x:c>
      <x:c r="S73" s="190" t="str">
        <x:v>AMBER - responsibility confirm</x:v>
      </x:c>
      <x:c r="T73" s="130" t="n">
        <x:f t="shared" si="13">I73-H73</x:f>
        <x:v>0</x:v>
      </x:c>
      <x:c r="U73" s="106" t="str">
        <x:f t="shared" si="14">IF(ABS(T73)&lt;0.01,"OK","CHECK")</x:f>
        <x:v>OK</x:v>
      </x:c>
      <x:c r="V73" s="106" t="str">
        <x:v>Auto Scheduled</x:v>
      </x:c>
      <x:c r="W73" s="106" t="str">
        <x:v>Prorated</x:v>
      </x:c>
      <x:c r="X73" s="106" t="str">
        <x:v>No separate task duration until principal-contractor survey responsibility is confirmed.</x:v>
      </x:c>
    </x:row>
    <x:row r="74" s="3" customFormat="1" ht="52.79999923706055" customHeight="1">
      <x:c r="A74" s="30">
        <x:v>68</x:v>
      </x:c>
      <x:c r="B74" s="30" t="n">
        <x:v>40</x:v>
      </x:c>
      <x:c r="C74" s="106" t="str">
        <x:f>'QS Takeoff'!A40</x:f>
        <x:v>Reinstatement &amp; Handover</x:v>
      </x:c>
      <x:c r="D74" s="106" t="str">
        <x:f>'QS Takeoff'!B40</x:f>
        <x:v>RH01</x:v>
      </x:c>
      <x:c r="E74" s="106" t="str">
        <x:f>'QS Takeoff'!C40</x:f>
        <x:v>Final clean / pavement and Siteworks handover attendance</x:v>
      </x:c>
      <x:c r="F74" s="106" t="n">
        <x:f>'QS Takeoff'!E40</x:f>
        <x:v>1</x:v>
      </x:c>
      <x:c r="G74" s="106" t="str">
        <x:f>'QS Takeoff'!D40</x:f>
        <x:v>LS</x:v>
      </x:c>
      <x:c r="H74" s="185" t="n">
        <x:f>'QS Takeoff'!G40</x:f>
        <x:v>3000</x:v>
      </x:c>
      <x:c r="I74" s="185" t="n">
        <x:f>SUMIF('Resource Build-Up'!$B$7:$B$306,D74,'Resource Build-Up'!$Z$7:$Z$306)</x:f>
        <x:v>3000</x:v>
      </x:c>
      <x:c r="J74" s="186" t="n">
        <x:f ca="1">IFERROR(AGGREGATE(14,6,'Resource Build-Up'!$M$7:$M$306/('Resource Build-Up'!$B$7:$B$306=D74),1),0)</x:f>
        <x:v>16</x:v>
      </x:c>
      <x:c r="K74" s="186" t="n">
        <x:f t="shared" ca="1" si="10">IF(J74=0,"",ROUNDUP(J74/8,0))</x:f>
        <x:v>2</x:v>
      </x:c>
      <x:c r="L74" s="187" t="n">
        <x:v>2</x:v>
      </x:c>
      <x:c r="M74" s="186" t="n">
        <x:f t="shared" si="11">IF(L74&lt;&gt;"",L74,K74)</x:f>
        <x:v>2</x:v>
      </x:c>
      <x:c r="N74" s="188" t="str">
        <x:f t="shared" si="12">IF(M74="","",TEXT(M74,"0")&amp;" days")</x:f>
        <x:v>2 days</x:v>
      </x:c>
      <x:c r="O74" s="106" t="str">
        <x:v>PC duration allowance</x:v>
      </x:c>
      <x:c r="P74" s="106" t="str">
        <x:v>PV05,ES03</x:v>
      </x:c>
      <x:c r="Q74" s="106" t="str">
        <x:v>49;53</x:v>
      </x:c>
      <x:c r="R74" s="106" t="str">
        <x:v>RH01 final clean / handover / minor defects PC</x:v>
      </x:c>
      <x:c r="S74" s="189" t="str">
        <x:v>AMBER - PC / RFI HOLD</x:v>
      </x:c>
      <x:c r="T74" s="130" t="n">
        <x:f t="shared" si="13">I74-H74</x:f>
        <x:v>0</x:v>
      </x:c>
      <x:c r="U74" s="106" t="str">
        <x:f t="shared" si="14">IF(ABS(T74)&lt;0.01,"OK","CHECK")</x:f>
        <x:v>OK</x:v>
      </x:c>
      <x:c r="V74" s="106" t="str">
        <x:v>Auto Scheduled</x:v>
      </x:c>
      <x:c r="W74" s="106" t="str">
        <x:v>Prorated</x:v>
      </x:c>
      <x:c r="X74" s="106" t="str">
        <x:v>Final closeout follows markings, speed-control scope and threshold package completion; actual procurement dates remain award-stage inputs.</x:v>
      </x:c>
    </x:row>
    <x:row r="75" s="3" customFormat="1" ht="52.79999923706055" customHeight="1">
      <x:c r="A75" s="30" t="n">
        <x:v>69</x:v>
      </x:c>
      <x:c r="B75" s="30" t="str">
        <x:v>PRG</x:v>
      </x:c>
      <x:c r="C75" s="106" t="str">
        <x:v>Programme Control</x:v>
      </x:c>
      <x:c r="D75" s="106" t="str">
        <x:v>PRG-RF01</x:v>
      </x:c>
      <x:c r="E75" s="106" t="str">
        <x:v>Early retaining / progressive fill release workfront</x:v>
      </x:c>
      <x:c r="F75" s="106" t="n">
        <x:v>1</x:v>
      </x:c>
      <x:c r="G75" s="106" t="str">
        <x:v>LS</x:v>
      </x:c>
      <x:c r="H75" s="185" t="n">
        <x:v>0</x:v>
      </x:c>
      <x:c r="I75" s="185" t="n">
        <x:v>0</x:v>
      </x:c>
      <x:c r="J75" s="186" t="n">
        <x:f ca="1"/>
        <x:v>0</x:v>
      </x:c>
      <x:c r="K75" s="186">
        <x:f t="shared" ca="1" si="10"/>
      </x:c>
      <x:c r="L75" s="187" t="n">
        <x:v>18</x:v>
      </x:c>
      <x:c r="M75" s="186" t="n">
        <x:f t="shared" si="11">IF(L75&lt;&gt;"",L75,K75)</x:f>
        <x:v>18</x:v>
      </x:c>
      <x:c r="N75" s="188" t="str">
        <x:f>IF(M75="","",TEXT(M75,"0")&amp;" days")</x:f>
        <x:v>18 days</x:v>
      </x:c>
      <x:c r="O75" s="106" t="str">
        <x:v>Board adjudicated</x:v>
      </x:c>
      <x:c r="P75" s="106" t="str">
        <x:v>EW01</x:v>
      </x:c>
      <x:c r="Q75" s="106" t="str">
        <x:v>19</x:v>
      </x:c>
      <x:c r="R75" s="106" t="str">
        <x:v>Zero-cost scheduling control: early retaining excavation/bridging/initial wall and progressive imported fill release; EW02/RW tasks run inside this window.</x:v>
      </x:c>
      <x:c r="S75" s="189" t="str">
        <x:v>N/A</x:v>
      </x:c>
      <x:c r="T75" s="130" t="n">
        <x:f t="shared" si="13"/>
        <x:v>0</x:v>
      </x:c>
      <x:c r="U75" s="106" t="str">
        <x:f t="shared" si="14"/>
        <x:v>OK</x:v>
      </x:c>
      <x:c r="V75" s="106" t="str">
        <x:v>Auto Scheduled</x:v>
      </x:c>
      <x:c r="W75" s="106" t="str">
        <x:v>Prorated</x:v>
      </x:c>
      <x:c r="X75" s="106" t="str">
        <x:v>ERB-08 sequence adjusted for ERB-06 concurrent bulk + precision/retaining workfronts. This row adds no direct cost.</x:v>
      </x:c>
    </x:row>
    <x:row r="76" s="3" customFormat="1" ht="52.79999923706055" customHeight="1">
      <x:c r="A76" s="30" t="n">
        <x:v>70</x:v>
      </x:c>
      <x:c r="B76" s="30" t="str">
        <x:v>PRG</x:v>
      </x:c>
      <x:c r="C76" s="106" t="str">
        <x:v>Programme Control</x:v>
      </x:c>
      <x:c r="D76" s="106" t="str">
        <x:v>PRG-PROOF</x:v>
      </x:c>
      <x:c r="E76" s="106" t="str">
        <x:v>Pavement subgrade re-proof / re-trim after underground interfaces</x:v>
      </x:c>
      <x:c r="F76" s="106" t="n">
        <x:v>1</x:v>
      </x:c>
      <x:c r="G76" s="106" t="str">
        <x:v>LS</x:v>
      </x:c>
      <x:c r="H76" s="185" t="n">
        <x:v>0</x:v>
      </x:c>
      <x:c r="I76" s="185" t="n">
        <x:v>0</x:v>
      </x:c>
      <x:c r="J76" s="186" t="n">
        <x:f ca="1"/>
        <x:v>0</x:v>
      </x:c>
      <x:c r="K76" s="186">
        <x:f t="shared" ca="1" si="10"/>
      </x:c>
      <x:c r="L76" s="187" t="n">
        <x:v>3</x:v>
      </x:c>
      <x:c r="M76" s="186" t="n">
        <x:f t="shared" si="11">IF(L76&lt;&gt;"",L76,K76)</x:f>
        <x:v>3</x:v>
      </x:c>
      <x:c r="N76" s="188" t="str">
        <x:f>IF(M76="","",TEXT(M76,"0")&amp;" days")</x:f>
        <x:v>3 days</x:v>
      </x:c>
      <x:c r="O76" s="106" t="str">
        <x:v>Board adjudicated</x:v>
      </x:c>
      <x:c r="P76" s="106" t="str">
        <x:v>ES01</x:v>
      </x:c>
      <x:c r="Q76" s="106" t="str">
        <x:v>51</x:v>
      </x:c>
      <x:c r="R76" s="106" t="str">
        <x:v>Zero-cost sequencing/hold-point control before pavement base. Physical formation cost remains in EW03/PV01; no duplicate direct cost.</x:v>
      </x:c>
      <x:c r="S76" s="190" t="str">
        <x:v>N/A</x:v>
      </x:c>
      <x:c r="T76" s="130" t="n">
        <x:f t="shared" si="13"/>
        <x:v>0</x:v>
      </x:c>
      <x:c r="U76" s="106" t="str">
        <x:f t="shared" si="14"/>
        <x:v>OK</x:v>
      </x:c>
      <x:c r="V76" s="106" t="str">
        <x:v>Auto Scheduled</x:v>
      </x:c>
      <x:c r="W76" s="106" t="str">
        <x:v>Prorated</x:v>
      </x:c>
      <x:c r="X76" s="106" t="str">
        <x:v>ERB-06/08: service interfaces and geotechnical pavement proof must be explicit before AP40/AP20 and concrete close-up.</x:v>
      </x:c>
    </x:row>
    <x:row r="77" s="3" customFormat="1" ht="52.79999923706055" customHeight="1">
      <x:c r="A77" s="30" t="n">
        <x:v>71</x:v>
      </x:c>
      <x:c r="B77" s="30" t="str">
        <x:v>PRG</x:v>
      </x:c>
      <x:c r="C77" s="106" t="str">
        <x:v>Programme Control</x:v>
      </x:c>
      <x:c r="D77" s="106" t="str">
        <x:v>PRG-CURE</x:v>
      </x:c>
      <x:c r="E77" s="106" t="str">
        <x:v>Concrete cure / protection hold before final markings and closeout</x:v>
      </x:c>
      <x:c r="F77" s="106" t="n">
        <x:v>1</x:v>
      </x:c>
      <x:c r="G77" s="106" t="str">
        <x:v>LS</x:v>
      </x:c>
      <x:c r="H77" s="185" t="n">
        <x:v>0</x:v>
      </x:c>
      <x:c r="I77" s="185" t="n">
        <x:v>0</x:v>
      </x:c>
      <x:c r="J77" s="186" t="n">
        <x:f ca="1"/>
        <x:v>0</x:v>
      </x:c>
      <x:c r="K77" s="186">
        <x:f t="shared" ca="1" si="10"/>
      </x:c>
      <x:c r="L77" s="187" t="n">
        <x:v>5</x:v>
      </x:c>
      <x:c r="M77" s="186" t="n">
        <x:f t="shared" si="11">IF(L77&lt;&gt;"",L77,K77)</x:f>
        <x:v>5</x:v>
      </x:c>
      <x:c r="N77" s="188" t="str">
        <x:f>IF(M77="","",TEXT(M77,"0")&amp;" days")</x:f>
        <x:v>5 days</x:v>
      </x:c>
      <x:c r="O77" s="106" t="str">
        <x:v>Board adjudicated</x:v>
      </x:c>
      <x:c r="P77" s="106" t="str">
        <x:v>PV01</x:v>
      </x:c>
      <x:c r="Q77" s="106" t="str">
        <x:v>45</x:v>
      </x:c>
      <x:c r="R77" s="106" t="str">
        <x:v>Zero productive cost scheduling hold; public crossing/Allproof final work may proceed on separate fronts where practicable.</x:v>
      </x:c>
      <x:c r="S77" s="189" t="str">
        <x:v>N/A</x:v>
      </x:c>
      <x:c r="T77" s="130" t="n">
        <x:f t="shared" si="13"/>
        <x:v>0</x:v>
      </x:c>
      <x:c r="U77" s="106" t="str">
        <x:f t="shared" si="14"/>
        <x:v>OK</x:v>
      </x:c>
      <x:c r="V77" s="106" t="str">
        <x:v>Auto Scheduled</x:v>
      </x:c>
      <x:c r="W77" s="106" t="str">
        <x:v>Prorated</x:v>
      </x:c>
      <x:c r="X77" s="106" t="str">
        <x:v>ERB-06/08: cure/protection is elapsed site working time, not productive crew effort; do not multiply direct production cost.</x:v>
      </x:c>
    </x:row>
    <x:row r="79">
      <x:c r="A79" s="27" t="str">
        <x:v>PROGRAMME RECONCILIATION - HOBSONVILLE TENDER SCENARIO</x:v>
      </x:c>
      <x:c r="B79" s="27"/>
      <x:c r="C79" s="27"/>
      <x:c r="D79" s="27"/>
    </x:row>
    <x:row r="80">
      <x:c r="A80" s="27" t="str">
        <x:v>PROGRAMME RECONCILIATION - REV21 BOARD-ADJUDICATED WORKING BASIS</x:v>
      </x:c>
      <x:c r="B80" s="27"/>
      <x:c r="C80" s="27"/>
      <x:c r="D80" s="27"/>
    </x:row>
    <x:row r="81">
      <x:c r="A81" s="27" t="str">
        <x:v>Derived controlling path</x:v>
      </x:c>
      <x:c r="B81" s="27" t="str">
        <x:v>ESC01 &gt; EW01 &gt; PRG-RF01 &gt; EW03 &gt; ES01 &gt; PRG-PROOF &gt; PV01 &gt; PRG-CURE &gt; PV05 &gt; RH01</x:v>
      </x:c>
      <x:c r="C81" s="27"/>
      <x:c r="D81" s="27"/>
      <x:c r="Q81"/>
      <x:c r="V81" t="str">
        <x:v>Auto Scheduled</x:v>
      </x:c>
      <x:c r="W81" t="str">
        <x:v>Prorated</x:v>
      </x:c>
    </x:row>
    <x:row r="82">
      <x:c r="A82" s="27" t="str">
        <x:v>Concurrent non-controlling workfronts</x:v>
      </x:c>
      <x:c r="B82" s="27" t="str">
        <x:v>RW01/RW02 retaining, EW02/EW09 fill supply/placement, foundations, public crossing, Allproof and DRN-REF01 Jason/Allied 21WD drainage reference can run on separate workfronts where access/release permits.</x:v>
      </x:c>
      <x:c r="C82" s="27" t="str">
        <x:v>AMBER</x:v>
      </x:c>
      <x:c r="D82" s="27" t="str">
        <x:v>ERB-06 concurrency accepted; Jason drainage reference is by others and not added to Siteworks direct cost or critical path.</x:v>
      </x:c>
      <x:c r="Q82"/>
      <x:c r="V82" t="str">
        <x:v>Auto Scheduled</x:v>
      </x:c>
      <x:c r="W82" t="str">
        <x:v>Prorated</x:v>
      </x:c>
    </x:row>
    <x:row r="83">
      <x:c r="A83" s="27" t="str">
        <x:v>Tender dry baseline working days</x:v>
      </x:c>
      <x:c r="B83" s="27" t="str">
        <x:v>AMBER / WORKING - Board programme and Rev29 tender-season weather run reconciled. TPW stamped-RC pavement basis is integrated; Q-05 concrete productivity, final crossing measure, retaining height, 33m2 owner and long-lead release dates remain open.</x:v>
      </x:c>
      <x:c r="C83" s="27" t="str">
        <x:v>BOARD-ADJUDICATED</x:v>
      </x:c>
      <x:c r="D83" s="27" t="str">
        <x:v>Formal ERB sequence + concurrent-workfront adjudication</x:v>
      </x:c>
      <x:c r="Q83"/>
      <x:c r="V83" t="str">
        <x:v>Auto Scheduled</x:v>
      </x:c>
      <x:c r="W83" t="str">
        <x:v>Prorated</x:v>
      </x:c>
    </x:row>
    <x:row r="84">
      <x:c r="A84" s="27" t="str">
        <x:v>Productive activity / site-duration distinction</x:v>
      </x:c>
      <x:c r="B84" s="27" t="str">
        <x:v>Multiple costed QS tasks run within the 55WD site sequence; PRG-RF01/PROOF/CURE are zero-cost scheduling controls.</x:v>
      </x:c>
      <x:c r="C84" s="27" t="str">
        <x:v>AMBER</x:v>
      </x:c>
      <x:c r="D84" s="27" t="str">
        <x:v>Do not convert schedule-control days into duplicate productive crew cost.</x:v>
      </x:c>
      <x:c r="Q84"/>
      <x:c r="V84" t="str">
        <x:v>Auto Scheduled</x:v>
      </x:c>
      <x:c r="W84" t="str">
        <x:v>Prorated</x:v>
      </x:c>
    </x:row>
    <x:row r="85">
      <x:c r="A85" s="27" t="str">
        <x:v>Concurrent non-controlling workfronts</x:v>
      </x:c>
      <x:c r="B85" s="27" t="str">
        <x:v>RW01/RW02 retaining, EW02/EW09 fill supply/placement, foundations, public crossing and Allproof run on separate workfronts where access/release permits.</x:v>
      </x:c>
      <x:c r="C85" s="27" t="str">
        <x:v>AMBER</x:v>
      </x:c>
      <x:c r="D85" s="27" t="str">
        <x:v>ERB-06 concurrency accepted; congestion remains a planning constraint.</x:v>
      </x:c>
      <x:c r="Q85"/>
    </x:row>
    <x:row r="86">
      <x:c r="A86" s="27" t="str">
        <x:v>Programme release status</x:v>
      </x:c>
      <x:c r="B86" s="27" t="str">
        <x:v>AMBER / WORKING - Board programme and Rev21 tender-season weather run reconciled. Actual start/calendar, Q-07 road-control conditions, Q-05 concrete productivity and long-lead release dates remain open.</x:v>
      </x:c>
      <x:c r="C86" s="27" t="str">
        <x:v>AMBER</x:v>
      </x:c>
      <x:c r="D86" s="27" t="str">
        <x:v>No unexplained dry-programme/P&amp;G/weather mismatch remains; listed open items retain firm-up actions.</x:v>
      </x:c>
      <x:c r="Q86"/>
      <x:c r="V86" t="str">
        <x:v>Auto Scheduled</x:v>
      </x:c>
      <x:c r="W86" t="str">
        <x:v>Prorated</x:v>
      </x:c>
    </x:row>
    <x:row r="87">
      <x:c r="A87" s="27" t="str">
        <x:v>Tender-season assumed start</x:v>
      </x:c>
      <x:c r="B87" s="27" t="str">
        <x:v>Rev25 working import prepared</x:v>
      </x:c>
      <x:c r="C87" s="27" t="str">
        <x:v>READY FOR WORKING PROGRAMME TRANSFER</x:v>
      </x:c>
      <x:c r="D87" s="27" t="str">
        <x:v>Includes Jason/Allied 21WD drainage reference by others; set actual Project Start/calendar and procurement dates after award.</x:v>
      </x:c>
      <x:c r="Q87"/>
      <x:c r="V87" t="str">
        <x:v>Auto Scheduled</x:v>
      </x:c>
      <x:c r="W87" t="str">
        <x:v>Prorated</x:v>
      </x:c>
    </x:row>
    <x:row r="88">
      <x:c r="A88" s="27" t="str">
        <x:v>Weekday-only dry baseline finish</x:v>
      </x:c>
      <x:c r="B88" s="27" t="str">
        <x:v>16-Dec-2026</x:v>
      </x:c>
      <x:c r="C88" s="27" t="str">
        <x:v>CALCULATED</x:v>
      </x:c>
      <x:c r="D88" s="27" t="str">
        <x:v>55 weekdays from 01-Oct-2026 before date-specific holidays/shutdowns.</x:v>
      </x:c>
      <x:c r="Q88"/>
      <x:c r="V88" t="str">
        <x:v>Auto Scheduled</x:v>
      </x:c>
      <x:c r="W88" t="str">
        <x:v>Prorated</x:v>
      </x:c>
    </x:row>
    <x:row r="89">
      <x:c r="A89" s="27" t="str">
        <x:v>Weather-adjusted planning duration</x:v>
      </x:c>
      <x:c r="B89" s="27" t="str">
        <x:v>63.829 working days (~64WD)</x:v>
      </x:c>
      <x:c r="C89" s="27" t="str">
        <x:v>AMBER / CURRENT SCENARIO</x:v>
      </x:c>
      <x:c r="D89" s="27" t="str">
        <x:v>Rev21 normal-weather delay 8.829WD; actual contract calendar remains unconfirmed.</x:v>
      </x:c>
      <x:c r="Q89"/>
      <x:c r="V89" t="str">
        <x:v>Auto Scheduled</x:v>
      </x:c>
      <x:c r="W89" t="str">
        <x:v>Prorated</x:v>
      </x:c>
    </x:row>
    <x:row r="90">
      <x:c r="A90" s="27" t="str">
        <x:v>MS Project handoff</x:v>
      </x:c>
      <x:c r="B90" s="27" t="str">
        <x:v>Rev21 Board-working import prepared</x:v>
      </x:c>
      <x:c r="C90" s="27" t="str">
        <x:v>READY FOR WORKING PROGRAMME TRANSFER</x:v>
      </x:c>
      <x:c r="D90" s="27" t="str">
        <x:v>Set actual Project Start/calendar and procurement dates after award; rerun Weather on material changes.</x:v>
      </x:c>
      <x:c r="Q90"/>
      <x:c r="V90" t="str">
        <x:v>Auto Scheduled</x:v>
      </x:c>
      <x:c r="W90" t="str">
        <x:v>Prorated</x:v>
      </x:c>
    </x:row>
  </x:sheetData>
  <x:mergeCells>
    <x:mergeCell ref="A1:X1"/>
    <x:mergeCell ref="A2:X2"/>
    <x:mergeCell ref="A3:X3"/>
    <x:mergeCell ref="A4:X4"/>
    <x:mergeCell ref="A5:X5"/>
  </x:mergeCells>
  <x:pageMargins left="0.7" right="0.7" top="0.75" bottom="0.75" header="0.3" footer="0.3"/>
</x:worksheet>
</file>

<file path=xl/worksheets/sheet11.xml><?xml version="1.0" encoding="utf-8"?>
<x:worksheet xmlns:x="http://schemas.openxmlformats.org/spreadsheetml/2006/main">
  <x:sheetFormatPr defaultRowHeight="15"/>
  <x:cols>
    <x:col min="1" max="1" width="34" hidden="0" customWidth="1"/>
    <x:col min="2" max="2" width="48" hidden="0" customWidth="1"/>
    <x:col min="4" max="4" width="36" hidden="0" customWidth="1"/>
    <x:col min="5" max="5" width="58" hidden="0" customWidth="1"/>
    <x:col min="6" max="6" width="10" hidden="0" customWidth="1"/>
    <x:col min="7" max="7" width="15" hidden="0" customWidth="1"/>
    <x:col min="8" max="8" width="15" hidden="0" customWidth="1"/>
    <x:col min="10" max="10" width="13" hidden="0" customWidth="1"/>
    <x:col min="3" max="3" width="4" hidden="0" customWidth="1"/>
    <x:col min="9" max="9" width="14" hidden="0" customWidth="1"/>
    <x:col min="11" max="11" width="14" hidden="0" customWidth="1"/>
    <x:col min="12" max="12" width="14" hidden="0" customWidth="1"/>
    <x:col min="13" max="13" width="14" hidden="0" customWidth="1"/>
    <x:col min="14" max="14" width="14" hidden="0" customWidth="1"/>
  </x:cols>
  <x:sheetData>
    <x:row r="1" ht="26" customHeight="1">
      <x:c r="A1" s="1313" t="str">
        <x:v>WEATHER RISK — CURRENT LIVE PROJECT BASIS</x:v>
      </x:c>
      <x:c r="B1" s="1313"/>
      <x:c r="C1" s="1313"/>
      <x:c r="D1" s="1313"/>
      <x:c r="E1" s="1313"/>
      <x:c r="F1" s="1313"/>
      <x:c r="G1" s="1313"/>
      <x:c r="H1" s="1313"/>
      <x:c r="I1" s="1313"/>
      <x:c r="J1" s="1313"/>
      <x:c r="K1" s="1117"/>
      <x:c r="L1" s="1117"/>
      <x:c r="M1" s="1117"/>
      <x:c r="N1" s="1117"/>
    </x:row>
    <x:row r="2" ht="38" customHeight="1">
      <x:c r="A2" s="1314" t="str">
        <x:v>This is the only current weather sheet for the estimate. It links the approved NZ Weather Risk Estimating Tool basis to live resources, programme, CA10, tender and cashflow. Historical run tabs are archived below for audit only.</x:v>
      </x:c>
      <x:c r="B2" s="1314"/>
      <x:c r="C2" s="1314"/>
      <x:c r="D2" s="1314"/>
      <x:c r="E2" s="1314"/>
      <x:c r="F2" s="1314"/>
      <x:c r="G2" s="1314"/>
      <x:c r="H2" s="1314"/>
      <x:c r="I2" s="1313"/>
      <x:c r="J2" s="1313"/>
      <x:c r="K2" s="1117"/>
      <x:c r="L2" s="1117"/>
      <x:c r="M2" s="1117"/>
      <x:c r="N2" s="1117"/>
    </x:row>
    <x:row r="3">
      <x:c r="A3" s="1132"/>
      <x:c r="B3" s="1132"/>
      <x:c r="C3" s="1132"/>
      <x:c r="D3" s="1132"/>
      <x:c r="E3" s="1132"/>
      <x:c r="F3" s="1132"/>
      <x:c r="G3" s="1132"/>
      <x:c r="H3" s="1132"/>
      <x:c r="I3" s="1132"/>
      <x:c r="J3" s="1132"/>
      <x:c r="K3" s="1119"/>
      <x:c r="L3" s="1119"/>
      <x:c r="M3" s="1119"/>
      <x:c r="N3" s="1119"/>
    </x:row>
    <x:row r="4">
      <x:c r="A4" s="1315" t="str">
        <x:v>LIVE PROJECT / PROGRAMME INPUTS</x:v>
      </x:c>
      <x:c r="B4" s="1315"/>
      <x:c r="C4" s="1132"/>
      <x:c r="D4" s="1315" t="str">
        <x:v>INTEGRATION / RELEASE CONTROLS</x:v>
      </x:c>
      <x:c r="E4" s="1315"/>
      <x:c r="F4" s="1315"/>
      <x:c r="G4" s="1315"/>
      <x:c r="H4" s="1315"/>
      <x:c r="I4" s="1132"/>
      <x:c r="J4" s="1132"/>
      <x:c r="K4" s="1119"/>
      <x:c r="L4" s="1119"/>
      <x:c r="M4" s="1119"/>
      <x:c r="N4" s="1119"/>
    </x:row>
    <x:row r="5">
      <x:c r="A5" s="1132" t="str">
        <x:v>Project location</x:v>
      </x:c>
      <x:c r="B5" s="1252" t="n">
        <x:f>Summary!$B$4</x:f>
        <x:v>948072.0773853625</x:v>
      </x:c>
      <x:c r="C5" s="1132"/>
      <x:c r="D5" s="1132" t="str">
        <x:v>1</x:v>
      </x:c>
      <x:c r="E5" s="1132" t="str">
        <x:v>Weather tool remains the approved climate/task calculation source; this workbook does not replace NIWA/tool logic.</x:v>
      </x:c>
      <x:c r="F5" s="1132"/>
      <x:c r="G5" s="1132"/>
      <x:c r="H5" s="1132"/>
      <x:c r="I5" s="1132"/>
      <x:c r="J5" s="1132"/>
      <x:c r="K5" s="1119"/>
      <x:c r="L5" s="1119"/>
      <x:c r="M5" s="1119"/>
      <x:c r="N5" s="1119"/>
    </x:row>
    <x:row r="6">
      <x:c r="A6" s="1132" t="str">
        <x:v>Weather station / representative location</x:v>
      </x:c>
      <x:c r="B6" s="1316" t="str">
        <x:v>Auckland / Whenuapai representative</x:v>
      </x:c>
      <x:c r="C6" s="1132"/>
      <x:c r="D6" s="1132" t="str">
        <x:v>2</x:v>
      </x:c>
      <x:c r="E6" s="1132" t="str">
        <x:v>CA10 is formula-linked to Selected Weather Allowance. Do not re-enter a flat weather percentage in Commercial Inputs.</x:v>
      </x:c>
      <x:c r="F6" s="1132"/>
      <x:c r="G6" s="1132"/>
      <x:c r="H6" s="1132"/>
      <x:c r="I6" s="1132"/>
      <x:c r="J6" s="1132"/>
      <x:c r="K6" s="1119"/>
      <x:c r="L6" s="1119"/>
      <x:c r="M6" s="1119"/>
      <x:c r="N6" s="1119"/>
    </x:row>
    <x:row r="7">
      <x:c r="A7" s="1132" t="str">
        <x:v>Assumed construction start</x:v>
      </x:c>
      <x:c r="B7" s="1317" t="n">
        <x:v>46296</x:v>
      </x:c>
      <x:c r="C7" s="1132"/>
      <x:c r="D7" s="1132" t="str">
        <x:v>3</x:v>
      </x:c>
      <x:c r="E7" s="1132" t="str">
        <x:v>Direct productivity applies only to Resource Build-Up Labour/Plant rows tagged Weather Exposed = Yes. Current exposed pool is $50,807.75; PC packages with no labour/plant split affect delay only where they sit on the critical path.</x:v>
      </x:c>
      <x:c r="F7" s="1132"/>
      <x:c r="G7" s="1132"/>
      <x:c r="H7" s="1132"/>
      <x:c r="I7" s="1132"/>
      <x:c r="J7" s="1132"/>
      <x:c r="K7" s="1119"/>
      <x:c r="L7" s="1119"/>
      <x:c r="M7" s="1119"/>
      <x:c r="N7" s="1119"/>
    </x:row>
    <x:row r="8">
      <x:c r="A8" s="1132" t="str">
        <x:v>Baseline working days</x:v>
      </x:c>
      <x:c r="B8" s="1318" t="n">
        <x:v>55</x:v>
      </x:c>
      <x:c r="C8" s="1132"/>
      <x:c r="D8" s="1132" t="str">
        <x:v>4</x:v>
      </x:c>
      <x:c r="E8" s="1132" t="str">
        <x:v>Critical-path delay is not summed across concurrent tasks. Update the external Weather Tool when sequence or critical path changes.</x:v>
      </x:c>
      <x:c r="F8" s="1132"/>
      <x:c r="G8" s="1132"/>
      <x:c r="H8" s="1132"/>
      <x:c r="I8" s="1132"/>
      <x:c r="J8" s="1132"/>
      <x:c r="K8" s="1119"/>
      <x:c r="L8" s="1119"/>
      <x:c r="M8" s="1119"/>
      <x:c r="N8" s="1119"/>
    </x:row>
    <x:row r="9">
      <x:c r="A9" s="1132" t="str">
        <x:v>Working days per week</x:v>
      </x:c>
      <x:c r="B9" s="1319" t="n">
        <x:v>5</x:v>
      </x:c>
      <x:c r="C9" s="1132"/>
      <x:c r="D9" s="1132" t="str">
        <x:v>5</x:v>
      </x:c>
      <x:c r="E9" s="1132" t="str">
        <x:v>Rev16: P&amp;G is decomposed. Daily time-related preliminaries are site supervision only (PG01 supervisor rate x 8h/day). Portable toilet + lockup remain separate weekly billed facilities. Fixed mobilisation, survey, H&amp;S, waste and CAR/TMP are not multiplied by weather-delay days.</x:v>
      </x:c>
      <x:c r="F9" s="1132"/>
      <x:c r="G9" s="1132"/>
      <x:c r="H9" s="1132"/>
      <x:c r="I9" s="1132"/>
      <x:c r="J9" s="1132"/>
      <x:c r="K9" s="1119"/>
      <x:c r="L9" s="1119"/>
      <x:c r="M9" s="1119"/>
      <x:c r="N9" s="1119"/>
    </x:row>
    <x:row r="10">
      <x:c r="A10" s="1132" t="str">
        <x:v>Weather-tool weekday-only base finish</x:v>
      </x:c>
      <x:c r="B10" s="1320" t="n">
        <x:f>IF(OR(B7="",B8=""),"",WORKDAY(B7,B8-1))</x:f>
        <x:v>46372</x:v>
      </x:c>
      <x:c r="C10" s="1132"/>
      <x:c r="D10" s="1132" t="str">
        <x:v>6</x:v>
      </x:c>
      <x:c r="E10" s="1132" t="str">
        <x:v>CA09 dewatering remains separate. Recovery/remediation in this sheet defaults to zero to avoid double counting unless project-specific evidence justifies it.</x:v>
      </x:c>
      <x:c r="F10" s="1132"/>
      <x:c r="G10" s="1132"/>
      <x:c r="H10" s="1132"/>
      <x:c r="I10" s="1132"/>
      <x:c r="J10" s="1132"/>
      <x:c r="K10" s="1119"/>
      <x:c r="L10" s="1119"/>
      <x:c r="M10" s="1119"/>
      <x:c r="N10" s="1119"/>
    </x:row>
    <x:row r="11">
      <x:c r="A11" s="1132" t="str">
        <x:v>Public holiday / entered shutdown adjusted base finish</x:v>
      </x:c>
      <x:c r="B11" s="1320" t="n">
        <x:f>IF(OR(B7="",B8=""),"",WORKDAY(B7,B8-1,$F$55:$F$70))</x:f>
        <x:v>46372</x:v>
      </x:c>
      <x:c r="C11" s="1132"/>
      <x:c r="D11" s="1132" t="str">
        <x:v>7</x:v>
      </x:c>
      <x:c r="E11" s="1132" t="str">
        <x:v>Wind proxy is excluded by default and remains AMBER unless a project-specific wind basis is verified.</x:v>
      </x:c>
      <x:c r="F11" s="1132"/>
      <x:c r="G11" s="1132"/>
      <x:c r="H11" s="1132"/>
      <x:c r="I11" s="1132"/>
      <x:c r="J11" s="1132"/>
      <x:c r="K11" s="1119"/>
      <x:c r="L11" s="1119"/>
      <x:c r="M11" s="1119"/>
      <x:c r="N11" s="1119"/>
    </x:row>
    <x:row r="12">
      <x:c r="A12" s="1132" t="str">
        <x:v>Weather-exposed labour + plant cost</x:v>
      </x:c>
      <x:c r="B12" s="1241" t="n">
        <x:f>SUM('Resource Build-Up'!$AN$7:$AN$306)</x:f>
        <x:v>54070.634014274714</x:v>
      </x:c>
      <x:c r="C12" s="1132"/>
      <x:c r="D12" s="1132" t="str">
        <x:v>8</x:v>
      </x:c>
      <x:c r="E12" s="1132" t="str">
        <x:v>Rerun the Weather Tool when start date, baseline duration, exposed cost mix, work calendar or critical path materially changes.</x:v>
      </x:c>
      <x:c r="F12" s="1132"/>
      <x:c r="G12" s="1132"/>
      <x:c r="H12" s="1132"/>
      <x:c r="I12" s="1132"/>
      <x:c r="J12" s="1132"/>
      <x:c r="K12" s="1119"/>
      <x:c r="L12" s="1119"/>
      <x:c r="M12" s="1119"/>
      <x:c r="N12" s="1119"/>
    </x:row>
    <x:row r="13">
      <x:c r="A13" s="1132" t="str">
        <x:v>Daily time-related preliminaries</x:v>
      </x:c>
      <x:c r="B13" s="1241" t="n">
        <x:f>'Resource Build-Up'!Y22*8</x:f>
        <x:v>584</x:v>
      </x:c>
      <x:c r="C13" s="1132"/>
      <x:c r="D13" s="1132" t="str">
        <x:v>9</x:v>
      </x:c>
      <x:c r="E13" s="1132" t="str">
        <x:v>Entered statutory holidays/shutdowns affect calendar completion only; they are not weather delay.</x:v>
      </x:c>
      <x:c r="F13" s="1132"/>
      <x:c r="G13" s="1132"/>
      <x:c r="H13" s="1132"/>
      <x:c r="I13" s="1132"/>
      <x:c r="J13" s="1132"/>
      <x:c r="K13" s="1119"/>
      <x:c r="L13" s="1119"/>
      <x:c r="M13" s="1119"/>
      <x:c r="N13" s="1119"/>
    </x:row>
    <x:row r="14">
      <x:c r="A14" s="1132" t="str">
        <x:v>Weekly billed hire / facilities</x:v>
      </x:c>
      <x:c r="B14" s="1241" t="n">
        <x:f>'Resource Build-Up'!Y48+'Resource Build-Up'!Y49</x:f>
        <x:v>295</x:v>
      </x:c>
      <x:c r="C14" s="1132"/>
      <x:c r="D14" s="1132"/>
      <x:c r="E14" s="1132"/>
      <x:c r="F14" s="1132"/>
      <x:c r="G14" s="1132"/>
      <x:c r="H14" s="1132"/>
      <x:c r="I14" s="1132"/>
      <x:c r="J14" s="1132"/>
      <x:c r="K14" s="1119"/>
      <x:c r="L14" s="1119"/>
      <x:c r="M14" s="1119"/>
      <x:c r="N14" s="1119"/>
    </x:row>
    <x:row r="15">
      <x:c r="A15" s="1132" t="str">
        <x:v>Baseline billed weeks</x:v>
      </x:c>
      <x:c r="B15" s="1318" t="n">
        <x:f>IF(OR(B8="",B9="",B9=0),0,ROUNDUP(B8/B9,0))</x:f>
        <x:v>11</x:v>
      </x:c>
      <x:c r="C15" s="1132"/>
      <x:c r="D15" s="1321" t="str">
        <x:v>Source / evidence</x:v>
      </x:c>
      <x:c r="E15" s="1321" t="str">
        <x:v>NIWA 1991-2020 climate normals via NZ_Weather_Risk_Estimating_Tool_Rev2; public holiday dates via Employment New Zealand.</x:v>
      </x:c>
      <x:c r="F15" s="1321"/>
      <x:c r="G15" s="1321"/>
      <x:c r="H15" s="1321"/>
      <x:c r="I15" s="1132"/>
      <x:c r="J15" s="1132"/>
      <x:c r="K15" s="1119"/>
      <x:c r="L15" s="1119"/>
      <x:c r="M15" s="1119"/>
      <x:c r="N15" s="1119"/>
    </x:row>
    <x:row r="16">
      <x:c r="A16" s="1132" t="str">
        <x:v>Project-specific recovery / remediation allowance</x:v>
      </x:c>
      <x:c r="B16" s="1322" t="n">
        <x:v>0</x:v>
      </x:c>
      <x:c r="C16" s="1132"/>
      <x:c r="D16" s="1132" t="str">
        <x:v>Holiday source URL</x:v>
      </x:c>
      <x:c r="E16" s="1132" t="str">
        <x:v>https://www.employment.govt.nz/leave-and-holidays/public-holidays/public-holidays-and-anniversary-dates</x:v>
      </x:c>
      <x:c r="F16" s="1132"/>
      <x:c r="G16" s="1132"/>
      <x:c r="H16" s="1132"/>
      <x:c r="I16" s="1132"/>
      <x:c r="J16" s="1132"/>
      <x:c r="K16" s="1119"/>
      <x:c r="L16" s="1119"/>
      <x:c r="M16" s="1119"/>
      <x:c r="N16" s="1119"/>
    </x:row>
    <x:row r="17">
      <x:c r="A17" s="1132"/>
      <x:c r="B17" s="1132"/>
      <x:c r="C17" s="1132"/>
      <x:c r="D17" s="1132"/>
      <x:c r="E17" s="1132"/>
      <x:c r="F17" s="1132"/>
      <x:c r="G17" s="1132"/>
      <x:c r="H17" s="1132"/>
      <x:c r="I17" s="1132"/>
      <x:c r="J17" s="1132"/>
      <x:c r="K17" s="1119"/>
      <x:c r="L17" s="1119"/>
      <x:c r="M17" s="1119"/>
      <x:c r="N17" s="1119"/>
    </x:row>
    <x:row r="18">
      <x:c r="A18" s="1315" t="str">
        <x:v>CURRENT WEATHER RUN RECORD | REV34E CLIENT ISSUE / REV33 TECHNICAL RUN RETAINED</x:v>
      </x:c>
      <x:c r="B18" s="1315"/>
      <x:c r="C18" s="1132"/>
      <x:c r="D18" s="1315" t="str">
        <x:v>WEATHER / TENDER RECONCILIATION</x:v>
      </x:c>
      <x:c r="E18" s="1315"/>
      <x:c r="F18" s="1315"/>
      <x:c r="G18" s="1315"/>
      <x:c r="H18" s="1315"/>
      <x:c r="I18" s="1132"/>
      <x:c r="J18" s="1132"/>
      <x:c r="K18" s="1119"/>
      <x:c r="L18" s="1119"/>
      <x:c r="M18" s="1119"/>
      <x:c r="N18" s="1119"/>
    </x:row>
    <x:row r="19">
      <x:c r="A19" s="1132" t="str">
        <x:v>Approved tool version</x:v>
      </x:c>
      <x:c r="B19" s="1132" t="str">
        <x:v>NZ_Weather_Risk_Estimating_Tool_Rev2.xlsx</x:v>
      </x:c>
      <x:c r="C19" s="1132"/>
      <x:c r="D19" s="1132" t="str">
        <x:v>Current exposed-cost difference vs tool run</x:v>
      </x:c>
      <x:c r="E19" s="1252" t="n">
        <x:f>B12-B23</x:f>
        <x:v>0</x:v>
      </x:c>
      <x:c r="F19" s="1132"/>
      <x:c r="G19" s="1132"/>
      <x:c r="H19" s="1132"/>
      <x:c r="I19" s="1132"/>
      <x:c r="J19" s="1132"/>
      <x:c r="K19" s="1119"/>
      <x:c r="L19" s="1119"/>
      <x:c r="M19" s="1119"/>
      <x:c r="N19" s="1119"/>
    </x:row>
    <x:row r="20">
      <x:c r="A20" s="1132" t="str">
        <x:v>Tool run station</x:v>
      </x:c>
      <x:c r="B20" s="1139" t="str">
        <x:v>Auckland - NIWA 1991-2020 normals; Hobsonville representative</x:v>
      </x:c>
      <x:c r="C20" s="1132"/>
      <x:c r="D20" s="1132" t="str">
        <x:v>Current start vs tool run</x:v>
      </x:c>
      <x:c r="E20" s="1252" t="n">
        <x:f>B7-B21</x:f>
        <x:v>0</x:v>
      </x:c>
      <x:c r="F20" s="1132"/>
      <x:c r="G20" s="1132"/>
      <x:c r="H20" s="1132"/>
      <x:c r="I20" s="1132"/>
      <x:c r="J20" s="1132"/>
      <x:c r="K20" s="1119"/>
      <x:c r="L20" s="1119"/>
      <x:c r="M20" s="1119"/>
      <x:c r="N20" s="1119"/>
    </x:row>
    <x:row r="21">
      <x:c r="A21" s="1132" t="str">
        <x:v>Tool run start date</x:v>
      </x:c>
      <x:c r="B21" s="1317" t="n">
        <x:v>46296</x:v>
      </x:c>
      <x:c r="C21" s="1132"/>
      <x:c r="D21" s="1132" t="str">
        <x:v>Current baseline WD vs tool run</x:v>
      </x:c>
      <x:c r="E21" s="1252" t="n">
        <x:f>B8-B22</x:f>
        <x:v>0</x:v>
      </x:c>
      <x:c r="F21" s="1132"/>
      <x:c r="G21" s="1132"/>
      <x:c r="H21" s="1132"/>
      <x:c r="I21" s="1132"/>
      <x:c r="J21" s="1132"/>
      <x:c r="K21" s="1119"/>
      <x:c r="L21" s="1119"/>
      <x:c r="M21" s="1119"/>
      <x:c r="N21" s="1119"/>
    </x:row>
    <x:row r="22">
      <x:c r="A22" s="1132" t="str">
        <x:v>Tool run baseline working days</x:v>
      </x:c>
      <x:c r="B22" s="1139" t="n">
        <x:v>55</x:v>
      </x:c>
      <x:c r="C22" s="1132"/>
      <x:c r="D22" s="1132" t="str">
        <x:v>Retained manual CA10 PC reference minus live Weather Engine output</x:v>
      </x:c>
      <x:c r="E22" s="1252" t="n">
        <x:f>'Commercial Inputs'!$E$14-B40</x:f>
        <x:v>-204.68890007208756</x:v>
      </x:c>
      <x:c r="F22" s="1132"/>
      <x:c r="G22" s="1132"/>
      <x:c r="H22" s="1132"/>
      <x:c r="I22" s="1132"/>
      <x:c r="J22" s="1132"/>
      <x:c r="K22" s="1119"/>
      <x:c r="L22" s="1119"/>
      <x:c r="M22" s="1119"/>
      <x:c r="N22" s="1119"/>
    </x:row>
    <x:row r="23">
      <x:c r="A23" s="1132" t="str">
        <x:v>Tool run exposed labour + plant cost</x:v>
      </x:c>
      <x:c r="B23" s="1322" t="n">
        <x:v>54070.634014274714</x:v>
      </x:c>
      <x:c r="C23" s="1132"/>
      <x:c r="D23" s="1132" t="str">
        <x:v>Selected wind status</x:v>
      </x:c>
      <x:c r="E23" s="1132" t="str">
        <x:f>IF(B29="Yes","AMBER - included","AMBER - sensitivity only / excluded")</x:f>
        <x:v>AMBER - sensitivity only / excluded</x:v>
      </x:c>
      <x:c r="F23" s="1132"/>
      <x:c r="G23" s="1132"/>
      <x:c r="H23" s="1132"/>
      <x:c r="I23" s="1132"/>
      <x:c r="J23" s="1132"/>
      <x:c r="K23" s="1119"/>
      <x:c r="L23" s="1119"/>
      <x:c r="M23" s="1119"/>
      <x:c r="N23" s="1119"/>
    </x:row>
    <x:row r="24">
      <x:c r="A24" s="1132" t="str">
        <x:v>Rain / wet-ground direct productivity output</x:v>
      </x:c>
      <x:c r="B24" s="1322" t="n">
        <x:v>12458.555943833233</x:v>
      </x:c>
      <x:c r="C24" s="1132"/>
      <x:c r="D24" s="1132"/>
      <x:c r="E24" s="1132"/>
      <x:c r="F24" s="1132"/>
      <x:c r="G24" s="1132"/>
      <x:c r="H24" s="1132"/>
      <x:c r="I24" s="1132"/>
      <x:c r="J24" s="1132"/>
      <x:c r="K24" s="1119"/>
      <x:c r="L24" s="1119"/>
      <x:c r="M24" s="1119"/>
      <x:c r="N24" s="1119"/>
    </x:row>
    <x:row r="25">
      <x:c r="A25" s="1132" t="str">
        <x:v>Direct productivity impact rate</x:v>
      </x:c>
      <x:c r="B25" s="1323" t="n">
        <x:v>0.2304126106704086</x:v>
      </x:c>
      <x:c r="C25" s="1132"/>
      <x:c r="D25" s="1132"/>
      <x:c r="E25" s="1132"/>
      <x:c r="F25" s="1132"/>
      <x:c r="G25" s="1132"/>
      <x:c r="H25" s="1132"/>
      <x:c r="I25" s="1132"/>
      <x:c r="J25" s="1132"/>
      <x:c r="K25" s="1119"/>
      <x:c r="L25" s="1119"/>
      <x:c r="M25" s="1119"/>
      <x:c r="N25" s="1119"/>
    </x:row>
    <x:row r="26">
      <x:c r="A26" s="1132" t="str">
        <x:v>Critical-path weather delay working days</x:v>
      </x:c>
      <x:c r="B26" s="1324" t="n">
        <x:v>8.82899478808023</x:v>
      </x:c>
      <x:c r="C26" s="1132"/>
      <x:c r="D26" s="1132"/>
      <x:c r="E26" s="1132"/>
      <x:c r="F26" s="1132"/>
      <x:c r="G26" s="1132"/>
      <x:c r="H26" s="1132"/>
      <x:c r="I26" s="1132"/>
      <x:c r="J26" s="1132"/>
      <x:c r="K26" s="1119"/>
      <x:c r="L26" s="1119"/>
      <x:c r="M26" s="1119"/>
      <x:c r="N26" s="1119"/>
    </x:row>
    <x:row r="27">
      <x:c r="A27" s="1132" t="str">
        <x:v>Additional billed hire weeks</x:v>
      </x:c>
      <x:c r="B27" s="1324" t="n">
        <x:v>2</x:v>
      </x:c>
      <x:c r="C27" s="1132"/>
      <x:c r="D27" s="1132"/>
      <x:c r="E27" s="1132"/>
      <x:c r="F27" s="1132"/>
      <x:c r="G27" s="1132"/>
      <x:c r="H27" s="1132"/>
      <x:c r="I27" s="1132"/>
      <x:c r="J27" s="1132"/>
      <x:c r="K27" s="1119"/>
      <x:c r="L27" s="1119"/>
      <x:c r="M27" s="1119"/>
      <x:c r="N27" s="1119"/>
    </x:row>
    <x:row r="28">
      <x:c r="A28" s="1132" t="str">
        <x:v>Wind proxy sensitivity - additional cost</x:v>
      </x:c>
      <x:c r="B28" s="1322" t="n">
        <x:v>0</x:v>
      </x:c>
      <x:c r="C28" s="1132"/>
      <x:c r="D28" s="1132"/>
      <x:c r="E28" s="1132"/>
      <x:c r="F28" s="1132"/>
      <x:c r="G28" s="1132"/>
      <x:c r="H28" s="1132"/>
      <x:c r="I28" s="1132"/>
      <x:c r="J28" s="1132"/>
      <x:c r="K28" s="1119"/>
      <x:c r="L28" s="1119"/>
      <x:c r="M28" s="1119"/>
      <x:c r="N28" s="1119"/>
    </x:row>
    <x:row r="29">
      <x:c r="A29" s="1132" t="str">
        <x:v>Include AMBER wind proxy?</x:v>
      </x:c>
      <x:c r="B29" s="1139" t="str">
        <x:v>No</x:v>
      </x:c>
      <x:c r="C29" s="1132"/>
      <x:c r="D29" s="1132"/>
      <x:c r="E29" s="1132"/>
      <x:c r="F29" s="1132"/>
      <x:c r="G29" s="1132"/>
      <x:c r="H29" s="1132"/>
      <x:c r="I29" s="1132"/>
      <x:c r="J29" s="1132"/>
      <x:c r="K29" s="1119"/>
      <x:c r="L29" s="1119"/>
      <x:c r="M29" s="1119"/>
      <x:c r="N29" s="1119"/>
    </x:row>
    <x:row r="30" ht="64" customHeight="1">
      <x:c r="A30" s="1132" t="str">
        <x:v>Tool output confidence</x:v>
      </x:c>
      <x:c r="B30" s="1139" t="str">
        <x:v>AMBER - Current formula-equivalent Rev2 weather basis after Rev17 earthworks-area update and Coast PILE2 scope transfer. NIWA Auckland probabilities/task factors unchanged; local factor 1.00; wind excluded. Critical path remains 55WD.</x:v>
      </x:c>
      <x:c r="C30" s="1132"/>
      <x:c r="D30" s="1132" t="str">
        <x:v>Rev33 rerun basis</x:v>
      </x:c>
      <x:c r="E30" s="1132" t="str">
        <x:v>Rev17 current earthworks area 2,105m2 reduces EW01/EW03 exposure slightly; EW06 PILE2 moved to Coast and removed from Siteworks exposure. Critical path unchanged.</x:v>
      </x:c>
      <x:c r="F30" s="1132"/>
      <x:c r="G30" s="1132"/>
      <x:c r="H30" s="1132"/>
      <x:c r="I30" s="1132"/>
      <x:c r="J30" s="1132"/>
      <x:c r="K30" s="1119"/>
      <x:c r="L30" s="1119"/>
      <x:c r="M30" s="1119"/>
      <x:c r="N30" s="1119"/>
    </x:row>
    <x:row r="31" ht="42" customHeight="1">
      <x:c r="A31" s="1132" t="str">
        <x:v>Tool rerun status</x:v>
      </x:c>
      <x:c r="B31" s="1250" t="str">
        <x:v>CURRENT FOR 01-OCT-2026 / 55WD TENDER SCENARIO. CA10 $18,204.69. Rerun if RFI-15 changes bulk-earthworks quantities, Q-05 changes concrete productivity, or actual start/calendar changes.</x:v>
      </x:c>
      <x:c r="C31" s="1132"/>
      <x:c r="D31" s="1132" t="str">
        <x:v>Current treatment</x:v>
      </x:c>
      <x:c r="E31" s="1132" t="str">
        <x:v>CA10 uses Rev33 formula-equivalent Weather Engine amount $18,204.69.</x:v>
      </x:c>
      <x:c r="F31" s="1132"/>
      <x:c r="G31" s="1132"/>
      <x:c r="H31" s="1132"/>
      <x:c r="I31" s="1132"/>
      <x:c r="J31" s="1132"/>
      <x:c r="K31" s="1119"/>
      <x:c r="L31" s="1119"/>
      <x:c r="M31" s="1119"/>
      <x:c r="N31" s="1119"/>
    </x:row>
    <x:row r="32">
      <x:c r="A32" s="1132"/>
      <x:c r="B32" s="1132"/>
      <x:c r="C32" s="1132"/>
      <x:c r="D32" s="1132"/>
      <x:c r="E32" s="1132"/>
      <x:c r="F32" s="1132"/>
      <x:c r="G32" s="1132"/>
      <x:c r="H32" s="1132"/>
      <x:c r="I32" s="1132"/>
      <x:c r="J32" s="1132"/>
      <x:c r="K32" s="1119"/>
      <x:c r="L32" s="1119"/>
      <x:c r="M32" s="1119"/>
      <x:c r="N32" s="1119"/>
    </x:row>
    <x:row r="33">
      <x:c r="A33" s="1315" t="str">
        <x:v>LIVE WEATHER COST INTEGRATION</x:v>
      </x:c>
      <x:c r="B33" s="1315"/>
      <x:c r="C33" s="1132"/>
      <x:c r="D33" s="1132"/>
      <x:c r="E33" s="1132"/>
      <x:c r="F33" s="1132"/>
      <x:c r="G33" s="1132"/>
      <x:c r="H33" s="1132"/>
      <x:c r="I33" s="1132"/>
      <x:c r="J33" s="1132"/>
      <x:c r="K33" s="1119"/>
      <x:c r="L33" s="1119"/>
      <x:c r="M33" s="1119"/>
      <x:c r="N33" s="1119"/>
    </x:row>
    <x:row r="34">
      <x:c r="A34" s="1132" t="str">
        <x:v>Direct productivity allowance - resource linked</x:v>
      </x:c>
      <x:c r="B34" s="1241" t="n">
        <x:f>IFERROR(B24*(B12/B23),0)</x:f>
        <x:v>12458.555943833233</x:v>
      </x:c>
      <x:c r="C34" s="1132"/>
      <x:c r="D34" s="1132"/>
      <x:c r="E34" s="1132"/>
      <x:c r="F34" s="1132"/>
      <x:c r="G34" s="1132"/>
      <x:c r="H34" s="1132"/>
      <x:c r="I34" s="1132"/>
      <x:c r="J34" s="1132"/>
      <x:c r="K34" s="1119"/>
      <x:c r="L34" s="1119"/>
      <x:c r="M34" s="1119"/>
      <x:c r="N34" s="1119"/>
    </x:row>
    <x:row r="35">
      <x:c r="A35" s="1132" t="str">
        <x:v>Critical-path time-related preliminaries</x:v>
      </x:c>
      <x:c r="B35" s="1241" t="n">
        <x:f>B26*B13</x:f>
        <x:v>5156.132956238855</x:v>
      </x:c>
      <x:c r="C35" s="1132"/>
      <x:c r="D35" s="1132"/>
      <x:c r="E35" s="1132"/>
      <x:c r="F35" s="1132"/>
      <x:c r="G35" s="1132"/>
      <x:c r="H35" s="1132"/>
      <x:c r="I35" s="1132"/>
      <x:c r="J35" s="1132"/>
      <x:c r="K35" s="1119"/>
      <x:c r="L35" s="1119"/>
      <x:c r="M35" s="1119"/>
      <x:c r="N35" s="1119"/>
    </x:row>
    <x:row r="36">
      <x:c r="A36" s="1132" t="str">
        <x:v>Additional billed hire / facilities</x:v>
      </x:c>
      <x:c r="B36" s="1241" t="n">
        <x:f>B27*B14</x:f>
        <x:v>590</x:v>
      </x:c>
      <x:c r="C36" s="1132"/>
      <x:c r="D36" s="1132"/>
      <x:c r="E36" s="1132"/>
      <x:c r="F36" s="1132"/>
      <x:c r="G36" s="1132"/>
      <x:c r="H36" s="1132"/>
      <x:c r="I36" s="1132"/>
      <x:c r="J36" s="1132"/>
      <x:c r="K36" s="1119"/>
      <x:c r="L36" s="1119"/>
      <x:c r="M36" s="1119"/>
      <x:c r="N36" s="1119"/>
    </x:row>
    <x:row r="37">
      <x:c r="A37" s="1132" t="str">
        <x:v>Project recovery / remediation</x:v>
      </x:c>
      <x:c r="B37" s="1241" t="n">
        <x:f>B16</x:f>
        <x:v>0</x:v>
      </x:c>
      <x:c r="C37" s="1132"/>
      <x:c r="D37" s="1132"/>
      <x:c r="E37" s="1132"/>
      <x:c r="F37" s="1132"/>
      <x:c r="G37" s="1132"/>
      <x:c r="H37" s="1132"/>
      <x:c r="I37" s="1132"/>
      <x:c r="J37" s="1132"/>
      <x:c r="K37" s="1119"/>
      <x:c r="L37" s="1119"/>
      <x:c r="M37" s="1119"/>
      <x:c r="N37" s="1119"/>
    </x:row>
    <x:row r="38">
      <x:c r="A38" s="1132" t="str">
        <x:v>Rain + wet-ground allowance</x:v>
      </x:c>
      <x:c r="B38" s="1241" t="n">
        <x:f>SUM(B34:B37)</x:f>
        <x:v>18204.688900072088</x:v>
      </x:c>
      <x:c r="C38" s="1132"/>
      <x:c r="D38" s="1132"/>
      <x:c r="E38" s="1132"/>
      <x:c r="F38" s="1132"/>
      <x:c r="G38" s="1132"/>
      <x:c r="H38" s="1132"/>
      <x:c r="I38" s="1132"/>
      <x:c r="J38" s="1132"/>
      <x:c r="K38" s="1119"/>
      <x:c r="L38" s="1119"/>
      <x:c r="M38" s="1119"/>
      <x:c r="N38" s="1119"/>
    </x:row>
    <x:row r="39">
      <x:c r="A39" s="1132" t="str">
        <x:v>AMBER wind proxy sensitivity</x:v>
      </x:c>
      <x:c r="B39" s="1241" t="n">
        <x:f>B28</x:f>
        <x:v>0</x:v>
      </x:c>
      <x:c r="C39" s="1132"/>
      <x:c r="D39" s="1132"/>
      <x:c r="E39" s="1132"/>
      <x:c r="F39" s="1132"/>
      <x:c r="G39" s="1132"/>
      <x:c r="H39" s="1132"/>
      <x:c r="I39" s="1132"/>
      <x:c r="J39" s="1132"/>
      <x:c r="K39" s="1119"/>
      <x:c r="L39" s="1119"/>
      <x:c r="M39" s="1119"/>
      <x:c r="N39" s="1119"/>
    </x:row>
    <x:row r="40">
      <x:c r="A40" s="1250" t="str">
        <x:v>WEATHER ENGINE OUTPUT -&gt; Commercial Inputs CA10 Engine Amount (audit only)</x:v>
      </x:c>
      <x:c r="B40" s="1325" t="n">
        <x:f>B38+IF(B29="Yes",B39,0)</x:f>
        <x:v>18204.688900072088</x:v>
      </x:c>
      <x:c r="C40" s="1132"/>
      <x:c r="D40" s="1132"/>
      <x:c r="E40" s="1132"/>
      <x:c r="F40" s="1132"/>
      <x:c r="G40" s="1132"/>
      <x:c r="H40" s="1132"/>
      <x:c r="I40" s="1132"/>
      <x:c r="J40" s="1132"/>
      <x:c r="K40" s="1119"/>
      <x:c r="L40" s="1119"/>
      <x:c r="M40" s="1119"/>
      <x:c r="N40" s="1119"/>
    </x:row>
    <x:row r="41">
      <x:c r="A41" s="1132" t="str">
        <x:v>Weather Engine audit output as % of base direct cost</x:v>
      </x:c>
      <x:c r="B41" s="1323" t="n">
        <x:f>IFERROR(B40/'Tender Build-Up'!$B$20,0)</x:f>
        <x:v>0.04179971181177095</x:v>
      </x:c>
      <x:c r="C41" s="1132"/>
      <x:c r="D41" s="1132"/>
      <x:c r="E41" s="1132"/>
      <x:c r="F41" s="1132"/>
      <x:c r="G41" s="1132"/>
      <x:c r="H41" s="1132"/>
      <x:c r="I41" s="1132"/>
      <x:c r="J41" s="1132"/>
      <x:c r="K41" s="1119"/>
      <x:c r="L41" s="1119"/>
      <x:c r="M41" s="1119"/>
      <x:c r="N41" s="1119"/>
    </x:row>
    <x:row r="42" ht="30" customHeight="1">
      <x:c r="A42" s="1132" t="str">
        <x:v>Independent time-related P&amp;G benchmark - daily</x:v>
      </x:c>
      <x:c r="B42" s="1241" t="n">
        <x:v>666</x:v>
      </x:c>
      <x:c r="C42" s="1132"/>
      <x:c r="D42" s="1132" t="str">
        <x:v>Benchmark source</x:v>
      </x:c>
      <x:c r="E42" s="1132" t="str">
        <x:v>Rev2 approved Task Library + exact Activity Allowances formulas + NIWA 1991-2020 Auckland monthly wet-day probabilities</x:v>
      </x:c>
      <x:c r="F42" s="1132"/>
      <x:c r="G42" s="1132"/>
      <x:c r="H42" s="1132"/>
      <x:c r="I42" s="1132"/>
      <x:c r="J42" s="1132"/>
      <x:c r="K42" s="1119"/>
      <x:c r="L42" s="1119"/>
      <x:c r="M42" s="1119"/>
      <x:c r="N42" s="1119"/>
    </x:row>
    <x:row r="43" ht="36" customHeight="1">
      <x:c r="A43" s="1132" t="str">
        <x:v>Weather delay cost at benchmark daily P&amp;G</x:v>
      </x:c>
      <x:c r="B43" s="1241" t="n">
        <x:v>5880.1105288614335</x:v>
      </x:c>
      <x:c r="C43" s="1132"/>
      <x:c r="D43" s="1132" t="str">
        <x:v>Benchmark status</x:v>
      </x:c>
      <x:c r="E43" s="1132" t="str">
        <x:v>AMBER reasonableness check using $666/day independent time-related P&amp;G comparator; selected Rev21 run uses actual $584/day site supervision + weekly facilities.</x:v>
      </x:c>
      <x:c r="F43" s="1132"/>
      <x:c r="G43" s="1132"/>
      <x:c r="H43" s="1132"/>
      <x:c r="I43" s="1132"/>
      <x:c r="J43" s="1132"/>
      <x:c r="K43" s="1119"/>
      <x:c r="L43" s="1119"/>
      <x:c r="M43" s="1119"/>
      <x:c r="N43" s="1119"/>
    </x:row>
    <x:row r="44" ht="44" customHeight="1">
      <x:c r="A44" s="1132" t="str">
        <x:v>Direct rain/wet productivity + independent benchmark</x:v>
      </x:c>
      <x:c r="B44" s="1241" t="n">
        <x:v>18524.237033679092</x:v>
      </x:c>
      <x:c r="C44" s="1132"/>
      <x:c r="D44" s="1132" t="str">
        <x:v>Tender decision</x:v>
      </x:c>
      <x:c r="E44" s="1132" t="str">
        <x:v>CA10 = $18,390.26; direct $12,644.13 + time-related $5,156.13 + hire $590.00. Independent $666/day comparator gives $18,524.24.</x:v>
      </x:c>
      <x:c r="F44" s="1132"/>
      <x:c r="G44" s="1132"/>
      <x:c r="H44" s="1132"/>
      <x:c r="I44" s="1132"/>
      <x:c r="J44" s="1132"/>
      <x:c r="K44" s="1119"/>
      <x:c r="L44" s="1119"/>
      <x:c r="M44" s="1119"/>
      <x:c r="N44" s="1119"/>
    </x:row>
    <x:row r="45" ht="36" customHeight="1">
      <x:c r="A45" s="1132" t="str">
        <x:v>Live CA10 Weather Engine difference vs benchmark</x:v>
      </x:c>
      <x:c r="B45" s="1241" t="n">
        <x:v>-133.977572622578</x:v>
      </x:c>
      <x:c r="C45" s="1132"/>
      <x:c r="D45" s="1132" t="str">
        <x:v>Rerun trigger</x:v>
      </x:c>
      <x:c r="E45" s="1132" t="str">
        <x:v>Confirmed actual start/calendar; material sequence/critical-path/exposed-cost change; approved actual calibration.</x:v>
      </x:c>
      <x:c r="F45" s="1132"/>
      <x:c r="G45" s="1132"/>
      <x:c r="H45" s="1132"/>
      <x:c r="I45" s="1132"/>
      <x:c r="J45" s="1132"/>
      <x:c r="K45" s="1119"/>
      <x:c r="L45" s="1119"/>
      <x:c r="M45" s="1119"/>
      <x:c r="N45" s="1119"/>
    </x:row>
    <x:row r="46">
      <x:c r="A46" s="1132" t="str">
        <x:v>Tender delta vs previous approved</x:v>
      </x:c>
      <x:c r="B46" s="1241" t="n">
        <x:f>B45-B44</x:f>
        <x:v>-18658.21460630167</x:v>
      </x:c>
      <x:c r="C46" s="1132"/>
      <x:c r="D46" s="1132"/>
      <x:c r="E46" s="1132"/>
      <x:c r="F46" s="1132"/>
      <x:c r="G46" s="1132"/>
      <x:c r="H46" s="1132"/>
      <x:c r="I46" s="1132"/>
      <x:c r="J46" s="1132"/>
      <x:c r="K46" s="1119"/>
      <x:c r="L46" s="1119"/>
      <x:c r="M46" s="1119"/>
      <x:c r="N46" s="1119"/>
    </x:row>
    <x:row r="47">
      <x:c r="A47" s="1132" t="str">
        <x:v>Weather-adjusted completion incl. entered non-working dates</x:v>
      </x:c>
      <x:c r="B47" s="1320" t="n">
        <x:f>IF(OR(B11="",B26=""),"",WORKDAY(B11,ROUNDUP(B26,0),$F$55:$F$70))</x:f>
        <x:v>46385</x:v>
      </x:c>
      <x:c r="C47" s="1132"/>
      <x:c r="D47" s="1132"/>
      <x:c r="E47" s="1132"/>
      <x:c r="F47" s="1132"/>
      <x:c r="G47" s="1132"/>
      <x:c r="H47" s="1132"/>
      <x:c r="I47" s="1132"/>
      <x:c r="J47" s="1132"/>
      <x:c r="K47" s="1119"/>
      <x:c r="L47" s="1119"/>
      <x:c r="M47" s="1119"/>
      <x:c r="N47" s="1119"/>
    </x:row>
    <x:row r="48">
      <x:c r="A48" s="1132" t="str">
        <x:v>Elapsed calendar days from assumed start</x:v>
      </x:c>
      <x:c r="B48" s="1318" t="n">
        <x:f>IF(OR(B47="",B7=""),"",B47-B7+1)</x:f>
        <x:v>90</x:v>
      </x:c>
      <x:c r="C48" s="1132"/>
      <x:c r="D48" s="1132"/>
      <x:c r="E48" s="1132"/>
      <x:c r="F48" s="1132"/>
      <x:c r="G48" s="1132"/>
      <x:c r="H48" s="1132"/>
      <x:c r="I48" s="1132"/>
      <x:c r="J48" s="1132"/>
      <x:c r="K48" s="1119"/>
      <x:c r="L48" s="1119"/>
      <x:c r="M48" s="1119"/>
      <x:c r="N48" s="1119"/>
    </x:row>
    <x:row r="49">
      <x:c r="A49" s="1132"/>
      <x:c r="B49" s="1132"/>
      <x:c r="C49" s="1132"/>
      <x:c r="D49" s="1132"/>
      <x:c r="E49" s="1132"/>
      <x:c r="F49" s="1132"/>
      <x:c r="G49" s="1132"/>
      <x:c r="H49" s="1132"/>
      <x:c r="I49" s="1132"/>
      <x:c r="J49" s="1132"/>
      <x:c r="K49" s="1119"/>
      <x:c r="L49" s="1119"/>
      <x:c r="M49" s="1119"/>
      <x:c r="N49" s="1119"/>
    </x:row>
    <x:row r="50">
      <x:c r="A50" s="1132" t="str">
        <x:v>TENDER WEATHER INPUT PACKAGE</x:v>
      </x:c>
      <x:c r="B50" s="1132"/>
      <x:c r="C50" s="1132"/>
      <x:c r="D50" s="1132"/>
      <x:c r="E50" s="1132"/>
      <x:c r="F50" s="1132"/>
      <x:c r="G50" s="1132"/>
      <x:c r="H50" s="1132"/>
      <x:c r="I50" s="1132"/>
      <x:c r="J50" s="1132"/>
      <x:c r="K50" s="1119"/>
      <x:c r="L50" s="1119"/>
      <x:c r="M50" s="1119"/>
      <x:c r="N50" s="1119"/>
    </x:row>
    <x:row r="51">
      <x:c r="A51" s="1132" t="str">
        <x:v>Programme controlling path</x:v>
      </x:c>
      <x:c r="B51" s="1132" t="str">
        <x:v>ESC01 &gt; EW01 &gt; EW02 &gt; EW03 &gt; ES01 &gt; PV01 &gt; PV02</x:v>
      </x:c>
      <x:c r="C51" s="1132"/>
      <x:c r="D51" s="1132"/>
      <x:c r="E51" s="1132"/>
      <x:c r="F51" s="1132"/>
      <x:c r="G51" s="1132"/>
      <x:c r="H51" s="1132"/>
      <x:c r="I51" s="1132"/>
      <x:c r="J51" s="1132"/>
      <x:c r="K51" s="1119"/>
      <x:c r="L51" s="1119"/>
      <x:c r="M51" s="1119"/>
      <x:c r="N51" s="1119"/>
    </x:row>
    <x:row r="52">
      <x:c r="A52" s="1132" t="str">
        <x:v>Derived critical-path working days</x:v>
      </x:c>
      <x:c r="B52" s="1132" t="n">
        <x:v>39</x:v>
      </x:c>
      <x:c r="C52" s="1132"/>
      <x:c r="D52" s="1132"/>
      <x:c r="E52" s="1132"/>
      <x:c r="F52" s="1132"/>
      <x:c r="G52" s="1132"/>
      <x:c r="H52" s="1132"/>
      <x:c r="I52" s="1132"/>
      <x:c r="J52" s="1132"/>
      <x:c r="K52" s="1119"/>
      <x:c r="L52" s="1119"/>
      <x:c r="M52" s="1119"/>
      <x:c r="N52" s="1119"/>
    </x:row>
    <x:row r="53">
      <x:c r="A53" s="1132" t="str">
        <x:v>Tender baseline working days</x:v>
      </x:c>
      <x:c r="B53" s="1132" t="n">
        <x:v>40</x:v>
      </x:c>
      <x:c r="C53" s="1132"/>
      <x:c r="D53" s="1132"/>
      <x:c r="E53" s="1132"/>
      <x:c r="F53" s="1315" t="str">
        <x:v>NON-WORKING DATE REGISTER - affects calendar span, not weather probability</x:v>
      </x:c>
      <x:c r="G53" s="1315"/>
      <x:c r="H53" s="1315"/>
      <x:c r="I53" s="1132"/>
      <x:c r="J53" s="1315" t="str">
        <x:v>Weather Task Type - approved Rev2 library</x:v>
      </x:c>
      <x:c r="K53" s="1119"/>
      <x:c r="L53" s="1119"/>
      <x:c r="M53" s="1119"/>
      <x:c r="N53" s="1119"/>
    </x:row>
    <x:row r="54">
      <x:c r="A54" s="1132" t="str">
        <x:v>Weather-sensitive critical-path scope</x:v>
      </x:c>
      <x:c r="B54" s="1132" t="str">
        <x:v>ESC / site strip / bulk fill / final trim / service trenching / external concrete / public crossing</x:v>
      </x:c>
      <x:c r="C54" s="1132"/>
      <x:c r="D54" s="1132"/>
      <x:c r="E54" s="1132"/>
      <x:c r="F54" s="1135" t="str">
        <x:v>Non-working date</x:v>
      </x:c>
      <x:c r="G54" s="1135" t="str">
        <x:v>Type / reason</x:v>
      </x:c>
      <x:c r="H54" s="1135" t="str">
        <x:v>Evidence / note</x:v>
      </x:c>
      <x:c r="I54" s="1132"/>
      <x:c r="J54" s="1321" t="str">
        <x:v>Erosion &amp; sediment controls</x:v>
      </x:c>
      <x:c r="K54" s="1119"/>
      <x:c r="L54" s="1119"/>
      <x:c r="M54" s="1119"/>
      <x:c r="N54" s="1119"/>
    </x:row>
    <x:row r="55">
      <x:c r="A55" s="1132" t="str">
        <x:v>Tender-season assumed start / finish</x:v>
      </x:c>
      <x:c r="B55" s="1132" t="str">
        <x:v>01-Oct-2026 to 25-Nov-2026 weekday-only</x:v>
      </x:c>
      <x:c r="C55" s="1132"/>
      <x:c r="D55" s="1132"/>
      <x:c r="E55" s="1132"/>
      <x:c r="F55" s="1320"/>
      <x:c r="G55" s="1132" t="str">
        <x:v>Project non-working date / shutdown - enter if applicable</x:v>
      </x:c>
      <x:c r="H55" s="1132" t="str">
        <x:v>Estimator / contract calendar evidence</x:v>
      </x:c>
      <x:c r="I55" s="1132"/>
      <x:c r="J55" s="1321" t="str">
        <x:v>Bulk earthworks</x:v>
      </x:c>
      <x:c r="K55" s="1119"/>
      <x:c r="L55" s="1119"/>
      <x:c r="M55" s="1119"/>
      <x:c r="N55" s="1119"/>
    </x:row>
    <x:row r="56">
      <x:c r="A56" s="1132" t="str">
        <x:v>Elapsed calendar span</x:v>
      </x:c>
      <x:c r="B56" s="1132" t="str">
        <x:v>56 calendar days inclusive</x:v>
      </x:c>
      <x:c r="C56" s="1132"/>
      <x:c r="D56" s="1132"/>
      <x:c r="E56" s="1132"/>
      <x:c r="F56" s="1320"/>
      <x:c r="G56" s="1132"/>
      <x:c r="H56" s="1132"/>
      <x:c r="I56" s="1132"/>
      <x:c r="J56" s="1321" t="str">
        <x:v>Detailed earthworks / trim subgrade</x:v>
      </x:c>
      <x:c r="K56" s="1119"/>
      <x:c r="L56" s="1119"/>
      <x:c r="M56" s="1119"/>
      <x:c r="N56" s="1119"/>
    </x:row>
    <x:row r="57">
      <x:c r="A57" s="1132" t="str">
        <x:v>Holiday treatment</x:v>
      </x:c>
      <x:c r="B57" s="1132" t="str">
        <x:v>No date-specific holidays/shutdowns entered while start remains unconfirmed; add and rerun if 01-Oct-2026 becomes actual start.</x:v>
      </x:c>
      <x:c r="C57" s="1132"/>
      <x:c r="D57" s="1132"/>
      <x:c r="E57" s="1132"/>
      <x:c r="F57" s="1320"/>
      <x:c r="G57" s="1132"/>
      <x:c r="H57" s="1132"/>
      <x:c r="I57" s="1132"/>
      <x:c r="J57" s="1321" t="str">
        <x:v>Cut to fill / cartage</x:v>
      </x:c>
      <x:c r="K57" s="1119"/>
      <x:c r="L57" s="1119"/>
      <x:c r="M57" s="1119"/>
      <x:c r="N57" s="1119"/>
    </x:row>
    <x:row r="58">
      <x:c r="A58" s="1132"/>
      <x:c r="B58" s="1132"/>
      <x:c r="C58" s="1132"/>
      <x:c r="D58" s="1132"/>
      <x:c r="E58" s="1132"/>
      <x:c r="F58" s="1320"/>
      <x:c r="G58" s="1132"/>
      <x:c r="H58" s="1132"/>
      <x:c r="I58" s="1132"/>
      <x:c r="J58" s="1321" t="str">
        <x:v>Building platform / pad prep</x:v>
      </x:c>
      <x:c r="K58" s="1119"/>
      <x:c r="L58" s="1119"/>
      <x:c r="M58" s="1119"/>
      <x:c r="N58" s="1119"/>
    </x:row>
    <x:row r="59">
      <x:c r="A59" s="1132"/>
      <x:c r="B59" s="1132"/>
      <x:c r="C59" s="1132"/>
      <x:c r="D59" s="1132"/>
      <x:c r="E59" s="1132"/>
      <x:c r="F59" s="1320"/>
      <x:c r="G59" s="1132"/>
      <x:c r="H59" s="1132"/>
      <x:c r="I59" s="1132"/>
      <x:c r="J59" s="1321" t="str">
        <x:v>Drainage trenching</x:v>
      </x:c>
      <x:c r="K59" s="1119"/>
      <x:c r="L59" s="1119"/>
      <x:c r="M59" s="1119"/>
      <x:c r="N59" s="1119"/>
    </x:row>
    <x:row r="60">
      <x:c r="A60" s="1132"/>
      <x:c r="B60" s="1132"/>
      <x:c r="C60" s="1132"/>
      <x:c r="D60" s="1132"/>
      <x:c r="E60" s="1132"/>
      <x:c r="F60" s="1320"/>
      <x:c r="G60" s="1132"/>
      <x:c r="H60" s="1132"/>
      <x:c r="I60" s="1132"/>
      <x:c r="J60" s="1321" t="str">
        <x:v>Manholes / chambers</x:v>
      </x:c>
      <x:c r="K60" s="1119"/>
      <x:c r="L60" s="1119"/>
      <x:c r="M60" s="1119"/>
      <x:c r="N60" s="1119"/>
    </x:row>
    <x:row r="61">
      <x:c r="A61" s="1132"/>
      <x:c r="B61" s="1132"/>
      <x:c r="C61" s="1132"/>
      <x:c r="D61" s="1132"/>
      <x:c r="E61" s="1132"/>
      <x:c r="F61" s="1320"/>
      <x:c r="G61" s="1132"/>
      <x:c r="H61" s="1132"/>
      <x:c r="I61" s="1132"/>
      <x:c r="J61" s="1321" t="str">
        <x:v>Service trenches / ducting</x:v>
      </x:c>
      <x:c r="K61" s="1119"/>
      <x:c r="L61" s="1119"/>
      <x:c r="M61" s="1119"/>
      <x:c r="N61" s="1119"/>
    </x:row>
    <x:row r="62">
      <x:c r="A62" s="1132"/>
      <x:c r="B62" s="1132"/>
      <x:c r="C62" s="1132"/>
      <x:c r="D62" s="1132"/>
      <x:c r="E62" s="1132"/>
      <x:c r="F62" s="1317"/>
      <x:c r="G62" s="1139"/>
      <x:c r="H62" s="1139"/>
      <x:c r="I62" s="1132"/>
      <x:c r="J62" s="1321" t="str">
        <x:v>Retaining wall excavation</x:v>
      </x:c>
      <x:c r="K62" s="1119"/>
      <x:c r="L62" s="1119"/>
      <x:c r="M62" s="1119"/>
      <x:c r="N62" s="1119"/>
    </x:row>
    <x:row r="63">
      <x:c r="A63" s="1132"/>
      <x:c r="B63" s="1132"/>
      <x:c r="C63" s="1132"/>
      <x:c r="D63" s="1132"/>
      <x:c r="E63" s="1132"/>
      <x:c r="F63" s="1317"/>
      <x:c r="G63" s="1139"/>
      <x:c r="H63" s="1139"/>
      <x:c r="I63" s="1132"/>
      <x:c r="J63" s="1321" t="str">
        <x:v>Retaining wall installation</x:v>
      </x:c>
      <x:c r="K63" s="1119"/>
      <x:c r="L63" s="1119"/>
      <x:c r="M63" s="1119"/>
      <x:c r="N63" s="1119"/>
    </x:row>
    <x:row r="64">
      <x:c r="A64" s="1132"/>
      <x:c r="B64" s="1132"/>
      <x:c r="C64" s="1132"/>
      <x:c r="D64" s="1132"/>
      <x:c r="E64" s="1132"/>
      <x:c r="F64" s="1317"/>
      <x:c r="G64" s="1139"/>
      <x:c r="H64" s="1139"/>
      <x:c r="I64" s="1132"/>
      <x:c r="J64" s="1321" t="str">
        <x:v>External concrete placing</x:v>
      </x:c>
      <x:c r="K64" s="1119"/>
      <x:c r="L64" s="1119"/>
      <x:c r="M64" s="1119"/>
      <x:c r="N64" s="1119"/>
    </x:row>
    <x:row r="65">
      <x:c r="A65" s="1132"/>
      <x:c r="B65" s="1132"/>
      <x:c r="C65" s="1132"/>
      <x:c r="D65" s="1132"/>
      <x:c r="E65" s="1132"/>
      <x:c r="F65" s="1317"/>
      <x:c r="G65" s="1139"/>
      <x:c r="H65" s="1139"/>
      <x:c r="I65" s="1132"/>
      <x:c r="J65" s="1321" t="str">
        <x:v>External concrete finishing</x:v>
      </x:c>
      <x:c r="K65" s="1119"/>
      <x:c r="L65" s="1119"/>
      <x:c r="M65" s="1119"/>
      <x:c r="N65" s="1119"/>
    </x:row>
    <x:row r="66">
      <x:c r="A66" s="1132"/>
      <x:c r="B66" s="1132"/>
      <x:c r="C66" s="1132"/>
      <x:c r="D66" s="1132"/>
      <x:c r="E66" s="1132"/>
      <x:c r="F66" s="1317"/>
      <x:c r="G66" s="1139"/>
      <x:c r="H66" s="1139"/>
      <x:c r="I66" s="1132"/>
      <x:c r="J66" s="1321" t="str">
        <x:v>Kerb &amp; channel</x:v>
      </x:c>
      <x:c r="K66" s="1119"/>
      <x:c r="L66" s="1119"/>
      <x:c r="M66" s="1119"/>
      <x:c r="N66" s="1119"/>
    </x:row>
    <x:row r="67">
      <x:c r="A67" s="1132"/>
      <x:c r="B67" s="1132"/>
      <x:c r="C67" s="1132"/>
      <x:c r="D67" s="1132"/>
      <x:c r="E67" s="1132"/>
      <x:c r="F67" s="1317"/>
      <x:c r="G67" s="1139"/>
      <x:c r="H67" s="1139"/>
      <x:c r="I67" s="1132"/>
      <x:c r="J67" s="1321" t="str">
        <x:v>Subbase / pavement prep</x:v>
      </x:c>
      <x:c r="K67" s="1119"/>
      <x:c r="L67" s="1119"/>
      <x:c r="M67" s="1119"/>
      <x:c r="N67" s="1119"/>
    </x:row>
    <x:row r="68">
      <x:c r="A68" s="1132"/>
      <x:c r="B68" s="1132"/>
      <x:c r="C68" s="1132"/>
      <x:c r="D68" s="1132"/>
      <x:c r="E68" s="1132"/>
      <x:c r="F68" s="1317"/>
      <x:c r="G68" s="1139"/>
      <x:c r="H68" s="1139"/>
      <x:c r="I68" s="1132"/>
      <x:c r="J68" s="1321" t="str">
        <x:v>Asphalt / sealing</x:v>
      </x:c>
      <x:c r="K68" s="1119"/>
      <x:c r="L68" s="1119"/>
      <x:c r="M68" s="1119"/>
      <x:c r="N68" s="1119"/>
    </x:row>
    <x:row r="69">
      <x:c r="A69" s="1132"/>
      <x:c r="B69" s="1132"/>
      <x:c r="C69" s="1132"/>
      <x:c r="D69" s="1132"/>
      <x:c r="E69" s="1132"/>
      <x:c r="F69" s="1317"/>
      <x:c r="G69" s="1139"/>
      <x:c r="H69" s="1139"/>
      <x:c r="I69" s="1132"/>
      <x:c r="J69" s="1321" t="str">
        <x:v>Landscaping / topsoil / grassing</x:v>
      </x:c>
      <x:c r="K69" s="1119"/>
      <x:c r="L69" s="1119"/>
      <x:c r="M69" s="1119"/>
      <x:c r="N69" s="1119"/>
    </x:row>
    <x:row r="70">
      <x:c r="A70" s="1132"/>
      <x:c r="B70" s="1132"/>
      <x:c r="C70" s="1132"/>
      <x:c r="D70" s="1132"/>
      <x:c r="E70" s="1132"/>
      <x:c r="F70" s="1317"/>
      <x:c r="G70" s="1139"/>
      <x:c r="H70" s="1139"/>
      <x:c r="I70" s="1132"/>
      <x:c r="J70" s="1321" t="str">
        <x:v>Site establishment / temp fencing</x:v>
      </x:c>
      <x:c r="K70" s="1119"/>
      <x:c r="L70" s="1119"/>
      <x:c r="M70" s="1119"/>
      <x:c r="N70" s="1119"/>
    </x:row>
    <x:row r="71">
      <x:c r="A71" s="1132"/>
      <x:c r="B71" s="1132"/>
      <x:c r="C71" s="1132"/>
      <x:c r="D71" s="1132"/>
      <x:c r="E71" s="1132"/>
      <x:c r="F71" s="1132"/>
      <x:c r="G71" s="1132"/>
      <x:c r="H71" s="1132"/>
      <x:c r="I71" s="1132"/>
      <x:c r="J71" s="1321" t="str">
        <x:v>External painting / coatings</x:v>
      </x:c>
      <x:c r="K71" s="1119"/>
      <x:c r="L71" s="1119"/>
      <x:c r="M71" s="1119"/>
      <x:c r="N71" s="1119"/>
    </x:row>
    <x:row r="72">
      <x:c r="A72" s="1132"/>
      <x:c r="B72" s="1132"/>
      <x:c r="C72" s="1132"/>
      <x:c r="D72" s="1132"/>
      <x:c r="E72" s="1132"/>
      <x:c r="F72" s="1132"/>
      <x:c r="G72" s="1132"/>
      <x:c r="H72" s="1132"/>
      <x:c r="I72" s="1132"/>
      <x:c r="J72" s="1132"/>
      <x:c r="K72" s="1119"/>
      <x:c r="L72" s="1119"/>
      <x:c r="M72" s="1119"/>
      <x:c r="N72" s="1119"/>
    </x:row>
    <x:row r="73">
      <x:c r="A73" s="1140" t="str">
        <x:v>QS Code</x:v>
      </x:c>
      <x:c r="B73" s="1140" t="str">
        <x:v>Weather task type</x:v>
      </x:c>
      <x:c r="C73" s="1140" t="str">
        <x:v>Start</x:v>
      </x:c>
      <x:c r="D73" s="1140" t="str">
        <x:v>Finish</x:v>
      </x:c>
      <x:c r="E73" s="1140" t="str">
        <x:v>Critical path?</x:v>
      </x:c>
      <x:c r="F73" s="1140" t="str">
        <x:v>Workdays</x:v>
      </x:c>
      <x:c r="G73" s="1140" t="str">
        <x:v>Exposed labour $</x:v>
      </x:c>
      <x:c r="H73" s="1140" t="str">
        <x:v>Exposed plant $</x:v>
      </x:c>
      <x:c r="I73" s="1140" t="str">
        <x:v>Avg wet probability</x:v>
      </x:c>
      <x:c r="J73" s="1140" t="str">
        <x:v>Rain/wet impact</x:v>
      </x:c>
      <x:c r="K73" s="1140" t="str">
        <x:v>Rain direct $</x:v>
      </x:c>
      <x:c r="L73" s="1140" t="str">
        <x:v>Rain CP delay WD</x:v>
      </x:c>
      <x:c r="M73" s="1140" t="str">
        <x:v>Wind direct $</x:v>
      </x:c>
      <x:c r="N73" s="1140" t="str">
        <x:v>Wind CP delay WD</x:v>
      </x:c>
    </x:row>
    <x:row r="74">
      <x:c r="A74" s="1132" t="str">
        <x:v>ESC01</x:v>
      </x:c>
      <x:c r="B74" s="1132" t="str">
        <x:v>Erosion &amp; sediment controls</x:v>
      </x:c>
      <x:c r="C74" s="1320" t="n">
        <x:v>46296</x:v>
      </x:c>
      <x:c r="D74" s="1320" t="n">
        <x:v>46300</x:v>
      </x:c>
      <x:c r="E74" s="1132" t="str">
        <x:v>Yes</x:v>
      </x:c>
      <x:c r="F74" s="1132" t="n">
        <x:v>3</x:v>
      </x:c>
      <x:c r="G74" s="1241" t="n">
        <x:v>2084.491344860896</x:v>
      </x:c>
      <x:c r="H74" s="1241" t="n">
        <x:v>1767.5593360804926</x:v>
      </x:c>
      <x:c r="I74" s="1326" t="n">
        <x:v>0.3721198156682028</x:v>
      </x:c>
      <x:c r="J74" s="1326" t="n">
        <x:v>0.13154435483870966</x:v>
      </x:c>
      <x:c r="K74" s="1241" t="n">
        <x:v>506.71552163044714</x:v>
      </x:c>
      <x:c r="L74" s="1331" t="n">
        <x:v>0.394633064516129</x:v>
      </x:c>
      <x:c r="M74" s="1241" t="n">
        <x:v>0</x:v>
      </x:c>
      <x:c r="N74" s="1331" t="n">
        <x:v>0.04516129032258065</x:v>
      </x:c>
    </x:row>
    <x:row r="75">
      <x:c r="A75" s="1132" t="str">
        <x:v>EW01</x:v>
      </x:c>
      <x:c r="B75" s="1132" t="str">
        <x:v>Bulk earthworks</x:v>
      </x:c>
      <x:c r="C75" s="1320" t="n">
        <x:v>46301</x:v>
      </x:c>
      <x:c r="D75" s="1320" t="n">
        <x:v>46304</x:v>
      </x:c>
      <x:c r="E75" s="1132" t="str">
        <x:v>Yes</x:v>
      </x:c>
      <x:c r="F75" s="1132" t="n">
        <x:v>4</x:v>
      </x:c>
      <x:c r="G75" s="1241" t="n">
        <x:v>999.875</x:v>
      </x:c>
      <x:c r="H75" s="1241" t="n">
        <x:v>3946.875</x:v>
      </x:c>
      <x:c r="I75" s="1326" t="n">
        <x:v>0.3721198156682028</x:v>
      </x:c>
      <x:c r="J75" s="1326" t="n">
        <x:v>0.28467165898617514</x:v>
      </x:c>
      <x:c r="K75" s="1241" t="n">
        <x:v>1408.199529089862</x:v>
      </x:c>
      <x:c r="L75" s="1331" t="n">
        <x:v>1.1386866359447005</x:v>
      </x:c>
      <x:c r="M75" s="1241" t="n">
        <x:v>94.94568548387096</x:v>
      </x:c>
      <x:c r="N75" s="1331" t="n">
        <x:v>0.07677419354838709</x:v>
      </x:c>
    </x:row>
    <x:row r="76">
      <x:c r="A76" s="1132" t="str">
        <x:v>EW02</x:v>
      </x:c>
      <x:c r="B76" s="1132" t="str">
        <x:v>Bulk earthworks</x:v>
      </x:c>
      <x:c r="C76" s="1320" t="n">
        <x:v>46307</x:v>
      </x:c>
      <x:c r="D76" s="1320" t="n">
        <x:v>46317</x:v>
      </x:c>
      <x:c r="E76" s="1132" t="str">
        <x:v>Yes</x:v>
      </x:c>
      <x:c r="F76" s="1132" t="n">
        <x:v>9</x:v>
      </x:c>
      <x:c r="G76" s="1241" t="n">
        <x:v>2616.933333333333</x:v>
      </x:c>
      <x:c r="H76" s="1241" t="n">
        <x:v>17905.333333333332</x:v>
      </x:c>
      <x:c r="I76" s="1326" t="n">
        <x:v>0.3721198156682028</x:v>
      </x:c>
      <x:c r="J76" s="1326" t="n">
        <x:v>0.28467165898617514</x:v>
      </x:c>
      <x:c r="K76" s="1241" t="n">
        <x:v>5842.107698156682</x:v>
      </x:c>
      <x:c r="L76" s="1331" t="n">
        <x:v>2.5620449308755764</x:v>
      </x:c>
      <x:c r="M76" s="1241" t="n">
        <x:v>393.89511827956983</x:v>
      </x:c>
      <x:c r="N76" s="1331" t="n">
        <x:v>0.17274193548387096</x:v>
      </x:c>
    </x:row>
    <x:row r="77">
      <x:c r="A77" s="1132" t="str">
        <x:v>EW03</x:v>
      </x:c>
      <x:c r="B77" s="1132" t="str">
        <x:v>Detailed earthworks / trim subgrade</x:v>
      </x:c>
      <x:c r="C77" s="1320" t="n">
        <x:v>46318</x:v>
      </x:c>
      <x:c r="D77" s="1320" t="n">
        <x:v>46322</x:v>
      </x:c>
      <x:c r="E77" s="1132" t="str">
        <x:v>Yes</x:v>
      </x:c>
      <x:c r="F77" s="1132" t="n">
        <x:v>3</x:v>
      </x:c>
      <x:c r="G77" s="1241" t="n">
        <x:v>666.5833333333335</x:v>
      </x:c>
      <x:c r="H77" s="1241" t="n">
        <x:v>1929.5833333333335</x:v>
      </x:c>
      <x:c r="I77" s="1326" t="n">
        <x:v>0.3721198156682028</x:v>
      </x:c>
      <x:c r="J77" s="1326" t="n">
        <x:v>0.35165322580645164</x:v>
      </x:c>
      <x:c r="K77" s="1241" t="n">
        <x:v>912.9503830645162</x:v>
      </x:c>
      <x:c r="L77" s="1331" t="n">
        <x:v>1.054959677419355</x:v>
      </x:c>
      <x:c r="M77" s="1241" t="n">
        <x:v>60.298064516129045</x:v>
      </x:c>
      <x:c r="N77" s="1331" t="n">
        <x:v>0.06967741935483872</x:v>
      </x:c>
    </x:row>
    <x:row r="78">
      <x:c r="A78" s="1132" t="str">
        <x:v>ES01</x:v>
      </x:c>
      <x:c r="B78" s="1132" t="str">
        <x:v>Service trenches / ducting</x:v>
      </x:c>
      <x:c r="C78" s="1320" t="n">
        <x:v>46323</x:v>
      </x:c>
      <x:c r="D78" s="1320" t="n">
        <x:v>46329</x:v>
      </x:c>
      <x:c r="E78" s="1132" t="str">
        <x:v>Yes</x:v>
      </x:c>
      <x:c r="F78" s="1132" t="n">
        <x:v>5</x:v>
      </x:c>
      <x:c r="G78" s="1241" t="n">
        <x:v>0</x:v>
      </x:c>
      <x:c r="H78" s="1241" t="n">
        <x:v>0</x:v>
      </x:c>
      <x:c r="I78" s="1326" t="n">
        <x:v>0.3477163338453661</x:v>
      </x:c>
      <x:c r="J78" s="1326" t="n">
        <x:v>0.1669038402457757</x:v>
      </x:c>
      <x:c r="K78" s="1241" t="n">
        <x:v>0</x:v>
      </x:c>
      <x:c r="L78" s="1331" t="n">
        <x:v>0.8345192012288785</x:v>
      </x:c>
      <x:c r="M78" s="1241" t="n">
        <x:v>0</x:v>
      </x:c>
      <x:c r="N78" s="1331" t="n">
        <x:v>0.04903225806451614</x:v>
      </x:c>
    </x:row>
    <x:row r="79">
      <x:c r="A79" s="1132" t="str">
        <x:v>PV01</x:v>
      </x:c>
      <x:c r="B79" s="1132" t="str">
        <x:v>External concrete placing</x:v>
      </x:c>
      <x:c r="C79" s="1320" t="n">
        <x:v>46330</x:v>
      </x:c>
      <x:c r="D79" s="1320" t="n">
        <x:v>46343</x:v>
      </x:c>
      <x:c r="E79" s="1132" t="str">
        <x:v>Yes</x:v>
      </x:c>
      <x:c r="F79" s="1132" t="n">
        <x:v>10</x:v>
      </x:c>
      <x:c r="G79" s="1241" t="n">
        <x:v>19848.4</x:v>
      </x:c>
      <x:c r="H79" s="1241" t="n">
        <x:v>0</x:v>
      </x:c>
      <x:c r="I79" s="1326" t="n">
        <x:v>0.3111111111111111</x:v>
      </x:c>
      <x:c r="J79" s="1326" t="n">
        <x:v>0.1890777777777778</x:v>
      </x:c>
      <x:c r="K79" s="1241" t="n">
        <x:v>3752.891364444445</x:v>
      </x:c>
      <x:c r="L79" s="1331" t="n">
        <x:v>1.890777777777778</x:v>
      </x:c>
      <x:c r="M79" s="1241" t="n">
        <x:v>262.4399555555556</x:v>
      </x:c>
      <x:c r="N79" s="1331" t="n">
        <x:v>0.13222222222222224</x:v>
      </x:c>
    </x:row>
    <x:row r="80">
      <x:c r="A80" s="1132" t="str">
        <x:v>PV02</x:v>
      </x:c>
      <x:c r="B80" s="1132" t="str">
        <x:v>External concrete placing</x:v>
      </x:c>
      <x:c r="C80" s="1320" t="n">
        <x:v>46344</x:v>
      </x:c>
      <x:c r="D80" s="1320" t="n">
        <x:v>46350</x:v>
      </x:c>
      <x:c r="E80" s="1132" t="str">
        <x:v>Yes</x:v>
      </x:c>
      <x:c r="F80" s="1132" t="n">
        <x:v>5</x:v>
      </x:c>
      <x:c r="G80" s="1241" t="n">
        <x:v>0</x:v>
      </x:c>
      <x:c r="H80" s="1241" t="n">
        <x:v>0</x:v>
      </x:c>
      <x:c r="I80" s="1326" t="n">
        <x:v>0.3111111111111111</x:v>
      </x:c>
      <x:c r="J80" s="1326" t="n">
        <x:v>0.1890777777777778</x:v>
      </x:c>
      <x:c r="K80" s="1241" t="n">
        <x:v>0</x:v>
      </x:c>
      <x:c r="L80" s="1331" t="n">
        <x:v>0.945388888888889</x:v>
      </x:c>
      <x:c r="M80" s="1241" t="n">
        <x:v>0</x:v>
      </x:c>
      <x:c r="N80" s="1331" t="n">
        <x:v>0.06611111111111112</x:v>
      </x:c>
    </x:row>
    <x:row r="81">
      <x:c r="A81" s="1132" t="str">
        <x:v>EW06</x:v>
      </x:c>
      <x:c r="B81" s="1132" t="str">
        <x:v>Bored piles / drilled holes</x:v>
      </x:c>
      <x:c r="C81" s="1320" t="n">
        <x:v>46318</x:v>
      </x:c>
      <x:c r="D81" s="1320" t="n">
        <x:v>46321</x:v>
      </x:c>
      <x:c r="E81" s="1132" t="str">
        <x:v>No</x:v>
      </x:c>
      <x:c r="F81" s="1132" t="n">
        <x:v>0</x:v>
      </x:c>
      <x:c r="G81" s="1241" t="n">
        <x:v>0</x:v>
      </x:c>
      <x:c r="H81" s="1241" t="n">
        <x:v>0</x:v>
      </x:c>
      <x:c r="I81" s="1326" t="n">
        <x:v>0.3721198156682028</x:v>
      </x:c>
      <x:c r="J81" s="1326" t="n">
        <x:v>0.2688565668202765</x:v>
      </x:c>
      <x:c r="K81" s="1241" t="n">
        <x:v>0</x:v>
      </x:c>
      <x:c r="L81" s="1331" t="n">
        <x:v>0</x:v>
      </x:c>
      <x:c r="M81" s="1241" t="n">
        <x:v>0</x:v>
      </x:c>
      <x:c r="N81" s="1331" t="n">
        <x:v>0</x:v>
      </x:c>
    </x:row>
    <x:row r="82">
      <x:c r="A82" s="1132" t="str">
        <x:v>RW03</x:v>
      </x:c>
      <x:c r="B82" s="1132" t="str">
        <x:v>Bored piles / drilled holes</x:v>
      </x:c>
      <x:c r="C82" s="1320" t="n">
        <x:v>46322</x:v>
      </x:c>
      <x:c r="D82" s="1320" t="n">
        <x:v>46322</x:v>
      </x:c>
      <x:c r="E82" s="1132" t="str">
        <x:v>No</x:v>
      </x:c>
      <x:c r="F82" s="1132" t="n">
        <x:v>1</x:v>
      </x:c>
      <x:c r="G82" s="1241" t="n">
        <x:v>266</x:v>
      </x:c>
      <x:c r="H82" s="1241" t="n">
        <x:v>840</x:v>
      </x:c>
      <x:c r="I82" s="1326" t="n">
        <x:v>0.3721198156682028</x:v>
      </x:c>
      <x:c r="J82" s="1326" t="n">
        <x:v>0.2688565668202765</x:v>
      </x:c>
      <x:c r="K82" s="1241" t="n">
        <x:v>297.3553629032258</x:v>
      </x:c>
      <x:c r="L82" s="1331" t="n">
        <x:v>0</x:v>
      </x:c>
      <x:c r="M82" s="1241" t="n">
        <x:v>21.22806451612903</x:v>
      </x:c>
      <x:c r="N82" s="1331" t="n">
        <x:v>0</x:v>
      </x:c>
    </x:row>
    <x:row r="83">
      <x:c r="A83" s="1135" t="str">
        <x:v>TOTAL / RUN OUTPUT</x:v>
      </x:c>
      <x:c r="B83" s="1135" t="str"/>
      <x:c r="C83" s="1135" t="str"/>
      <x:c r="D83" s="1135" t="str"/>
      <x:c r="E83" s="1135" t="str"/>
      <x:c r="F83" s="1135" t="n">
        <x:v>40</x:v>
      </x:c>
      <x:c r="G83" s="1328" t="n">
        <x:v>24397.791666666664</x:v>
      </x:c>
      <x:c r="H83" s="1328" t="n">
        <x:v>24621.791666666664</x:v>
      </x:c>
      <x:c r="I83" s="1135"/>
      <x:c r="J83" s="1135"/>
      <x:c r="K83" s="1328" t="n">
        <x:v>12213.504337658731</x:v>
      </x:c>
      <x:c r="L83" s="1333" t="n">
        <x:v>8.821010176651304</x:v>
      </x:c>
      <x:c r="M83" s="1328" t="n">
        <x:v>832.8068883512544</x:v>
      </x:c>
      <x:c r="N83" s="1333" t="n">
        <x:v>0.611720430107527</x:v>
      </x:c>
    </x:row>
    <x:row r="84">
      <x:c r="A84" s="1132"/>
      <x:c r="B84" s="1132"/>
      <x:c r="C84" s="1132"/>
      <x:c r="D84" s="1132"/>
      <x:c r="E84" s="1132"/>
      <x:c r="F84" s="1132"/>
      <x:c r="G84" s="1132"/>
      <x:c r="H84" s="1132"/>
      <x:c r="I84" s="1132"/>
      <x:c r="J84" s="1132"/>
      <x:c r="K84" s="1119"/>
      <x:c r="L84" s="1119"/>
      <x:c r="M84" s="1119"/>
      <x:c r="N84" s="1119"/>
    </x:row>
    <x:row r="85">
      <x:c r="A85" s="1140" t="str">
        <x:v>Weather activity run conclusion</x:v>
      </x:c>
      <x:c r="B85" s="1140" t="str"/>
      <x:c r="C85" s="1132"/>
      <x:c r="D85" s="1132"/>
      <x:c r="E85" s="1132"/>
      <x:c r="F85" s="1132"/>
      <x:c r="G85" s="1132"/>
      <x:c r="H85" s="1132"/>
      <x:c r="I85" s="1132"/>
      <x:c r="J85" s="1132"/>
      <x:c r="K85" s="1119"/>
      <x:c r="L85" s="1119"/>
      <x:c r="M85" s="1119"/>
      <x:c r="N85" s="1119"/>
    </x:row>
    <x:row r="86">
      <x:c r="A86" s="1132" t="str">
        <x:v>Rain / wet-ground direct productivity</x:v>
      </x:c>
      <x:c r="B86" s="1241" t="n">
        <x:v>12696.214627405276</x:v>
      </x:c>
      <x:c r="C86" s="1132"/>
      <x:c r="D86" s="1132"/>
      <x:c r="E86" s="1132"/>
      <x:c r="F86" s="1132"/>
      <x:c r="G86" s="1132"/>
      <x:c r="H86" s="1132"/>
      <x:c r="I86" s="1132"/>
      <x:c r="J86" s="1132"/>
      <x:c r="K86" s="1119"/>
      <x:c r="L86" s="1119"/>
      <x:c r="M86" s="1119"/>
      <x:c r="N86" s="1119"/>
    </x:row>
    <x:row r="87">
      <x:c r="A87" s="1132" t="str">
        <x:v>Critical-path rain / wet-ground delay WD</x:v>
      </x:c>
      <x:c r="B87" s="1331" t="n">
        <x:v>8.821010176651304</x:v>
      </x:c>
      <x:c r="C87" s="1132"/>
      <x:c r="D87" s="1132"/>
      <x:c r="E87" s="1132"/>
      <x:c r="F87" s="1132"/>
      <x:c r="G87" s="1132"/>
      <x:c r="H87" s="1132"/>
      <x:c r="I87" s="1132"/>
      <x:c r="J87" s="1132"/>
      <x:c r="K87" s="1119"/>
      <x:c r="L87" s="1119"/>
      <x:c r="M87" s="1119"/>
      <x:c r="N87" s="1119"/>
    </x:row>
    <x:row r="88">
      <x:c r="A88" s="1132" t="str">
        <x:v>Time-related prelims using current AMBER $1,625/day proxy</x:v>
      </x:c>
      <x:c r="B88" s="1241" t="n">
        <x:v>14334.141537058369</x:v>
      </x:c>
      <x:c r="C88" s="1132"/>
      <x:c r="D88" s="1132"/>
      <x:c r="E88" s="1132"/>
      <x:c r="F88" s="1132"/>
      <x:c r="G88" s="1132"/>
      <x:c r="H88" s="1132"/>
      <x:c r="I88" s="1132"/>
      <x:c r="J88" s="1132"/>
      <x:c r="K88" s="1119"/>
      <x:c r="L88" s="1119"/>
      <x:c r="M88" s="1119"/>
      <x:c r="N88" s="1119"/>
    </x:row>
    <x:row r="89">
      <x:c r="A89" s="1132" t="str">
        <x:v>Additional billed hire / facilities</x:v>
      </x:c>
      <x:c r="B89" s="1241" t="n">
        <x:v>0</x:v>
      </x:c>
      <x:c r="C89" s="1132"/>
      <x:c r="D89" s="1132"/>
      <x:c r="E89" s="1132"/>
      <x:c r="F89" s="1132"/>
      <x:c r="G89" s="1132"/>
      <x:c r="H89" s="1132"/>
      <x:c r="I89" s="1132"/>
      <x:c r="J89" s="1132"/>
      <x:c r="K89" s="1119"/>
      <x:c r="L89" s="1119"/>
      <x:c r="M89" s="1119"/>
      <x:c r="N89" s="1119"/>
    </x:row>
    <x:row r="90">
      <x:c r="A90" s="1132" t="str">
        <x:v>Modelled rain + wet-ground allowance (NOT YET PROMOTED)</x:v>
      </x:c>
      <x:c r="B90" s="1241" t="n">
        <x:v>27030.356164463643</x:v>
      </x:c>
      <x:c r="C90" s="1132"/>
      <x:c r="D90" s="1132"/>
      <x:c r="E90" s="1132"/>
      <x:c r="F90" s="1132"/>
      <x:c r="G90" s="1132"/>
      <x:c r="H90" s="1132"/>
      <x:c r="I90" s="1132"/>
      <x:c r="J90" s="1132"/>
      <x:c r="K90" s="1119"/>
      <x:c r="L90" s="1119"/>
      <x:c r="M90" s="1119"/>
      <x:c r="N90" s="1119"/>
    </x:row>
    <x:row r="91">
      <x:c r="A91" s="1119" t="str">
        <x:v>AMBER wind proxy sensitivity (excluded)</x:v>
      </x:c>
      <x:c r="B91" s="1334" t="n">
        <x:v>1861.24347437276</x:v>
      </x:c>
      <x:c r="C91" s="1119"/>
      <x:c r="D91" s="1119"/>
      <x:c r="E91" s="1119"/>
      <x:c r="F91" s="1119"/>
      <x:c r="G91" s="1119"/>
      <x:c r="H91" s="1119"/>
      <x:c r="I91" s="1119"/>
      <x:c r="J91" s="1119"/>
      <x:c r="K91" s="1119"/>
      <x:c r="L91" s="1119"/>
      <x:c r="M91" s="1119"/>
      <x:c r="N91" s="1119"/>
    </x:row>
  </x:sheetData>
  <x:mergeCells>
    <x:mergeCell ref="A1:H1"/>
    <x:mergeCell ref="A2:H2"/>
    <x:mergeCell ref="A4:B4"/>
    <x:mergeCell ref="A18:B18"/>
    <x:mergeCell ref="A33:B33"/>
    <x:mergeCell ref="D4:H4"/>
    <x:mergeCell ref="E15:H15"/>
    <x:mergeCell ref="E16:H16"/>
    <x:mergeCell ref="D18:H18"/>
    <x:mergeCell ref="F53:H53"/>
    <x:mergeCell ref="E5:H5"/>
    <x:mergeCell ref="E6:H6"/>
    <x:mergeCell ref="E7:H7"/>
    <x:mergeCell ref="E8:H8"/>
    <x:mergeCell ref="E9:H9"/>
    <x:mergeCell ref="E10:H10"/>
    <x:mergeCell ref="E11:H11"/>
    <x:mergeCell ref="E12:H12"/>
    <x:mergeCell ref="E13:H13"/>
  </x:mergeCells>
  <x:dataValidations count="1">
    <x:dataValidation type="list" sqref="B29">
      <x:formula1>"Yes,No"</x:formula1>
    </x:dataValidation>
  </x:dataValidations>
  <x:pageMargins left="0.7" right="0.7" top="0.75" bottom="0.75" header="0.3" footer="0.3"/>
</x:worksheet>
</file>

<file path=xl/worksheets/sheet12.xml><?xml version="1.0" encoding="utf-8"?>
<x:worksheet xmlns:x="http://schemas.openxmlformats.org/spreadsheetml/2006/main">
  <x:sheetFormatPr defaultRowHeight="15"/>
  <x:cols>
    <x:col min="4" max="4" width="14" hidden="0" customWidth="1"/>
    <x:col min="5" max="5" width="68" hidden="0" customWidth="1"/>
    <x:col min="6" max="6" width="18" hidden="0" customWidth="1"/>
    <x:col min="7" max="7" width="34" hidden="0" customWidth="1"/>
    <x:col min="1" max="1" width="29" hidden="0" customWidth="1"/>
    <x:col min="2" max="2" width="52" hidden="0" customWidth="1"/>
    <x:col min="3" max="3" width="48" hidden="0" customWidth="1"/>
    <x:col min="8" max="8" width="18" hidden="0" customWidth="1"/>
    <x:col min="9" max="9" width="31" hidden="0" customWidth="1"/>
    <x:col min="10" max="10" width="18" hidden="0" customWidth="1"/>
    <x:col min="11" max="11" width="14" hidden="0" customWidth="1"/>
    <x:col min="12" max="12" width="17" hidden="0" customWidth="1"/>
    <x:col min="13" max="13" width="12" hidden="0" customWidth="1"/>
    <x:col min="14" max="14" width="18" hidden="0" customWidth="1"/>
    <x:col min="15" max="15" width="18" hidden="0" customWidth="1"/>
    <x:col min="16" max="16" width="18" hidden="0" customWidth="1"/>
    <x:col min="17" max="17" width="15" hidden="0" customWidth="1"/>
    <x:col min="18" max="18" width="18" hidden="0" customWidth="1"/>
    <x:col min="19" max="19" width="17" hidden="0" customWidth="1"/>
    <x:col min="20" max="20" width="18" hidden="0" customWidth="1"/>
    <x:col min="21" max="21" width="24" hidden="0" customWidth="1"/>
    <x:col min="22" max="22" width="25" hidden="0" customWidth="1"/>
    <x:col min="23" max="23" width="14" hidden="0" customWidth="1"/>
    <x:col min="24" max="24" width="24" hidden="0" customWidth="1"/>
    <x:col min="25" max="25" width="18" hidden="0" customWidth="1"/>
    <x:col min="26" max="26" width="14" hidden="0" customWidth="1"/>
    <x:col min="27" max="27" width="58" hidden="0" customWidth="1"/>
    <x:col min="28" max="28" width="48" hidden="0" customWidth="1"/>
    <x:col min="29" max="29" width="42" hidden="0" customWidth="1"/>
  </x:cols>
  <x:sheetData>
    <x:row r="1" ht="28" customHeight="1">
      <x:c r="A1" s="671" t="str">
        <x:v>RISK TRUTH ENGINE - MASTER ESTIMATE WORKBOOK REV4</x:v>
      </x:c>
      <x:c r="B1" s="671"/>
      <x:c r="C1" s="671"/>
      <x:c r="D1" s="671"/>
      <x:c r="E1" s="671"/>
      <x:c r="F1" s="671"/>
      <x:c r="G1" s="671"/>
      <x:c r="H1" s="671"/>
      <x:c r="I1" s="671"/>
      <x:c r="J1" s="671"/>
      <x:c r="K1" s="671"/>
      <x:c r="L1" s="671"/>
      <x:c r="M1" s="671"/>
      <x:c r="N1" s="671"/>
      <x:c r="O1" s="671"/>
      <x:c r="P1" s="671"/>
      <x:c r="Q1" s="671"/>
      <x:c r="R1" s="671"/>
      <x:c r="S1" s="671"/>
      <x:c r="T1" s="671"/>
      <x:c r="U1" s="671"/>
      <x:c r="V1" s="671"/>
      <x:c r="W1" s="671"/>
      <x:c r="X1" s="671"/>
      <x:c r="Y1" s="671"/>
      <x:c r="Z1" s="671"/>
      <x:c r="AA1" s="671"/>
      <x:c r="AB1" s="671"/>
      <x:c r="AC1" s="671"/>
    </x:row>
    <x:row r="2" ht="36" customHeight="1">
      <x:c r="A2" s="674" t="str">
        <x:v>Permanent risk-control and reconciliation module. Record tender baseline before residual exposure. Quantifiable physical consequences return to Resource Build-Up / QS Takeoff; specialist engines remain separate. CA01/CA02 receive residual cross-cutting provisions only and are never default project-value percentages.</x:v>
      </x:c>
      <x:c r="B2" s="674"/>
      <x:c r="C2" s="674"/>
      <x:c r="D2" s="674"/>
      <x:c r="E2" s="674"/>
      <x:c r="F2" s="674"/>
      <x:c r="G2" s="674"/>
      <x:c r="H2" s="674"/>
      <x:c r="I2" s="674"/>
      <x:c r="J2" s="674"/>
      <x:c r="K2" s="674"/>
      <x:c r="L2" s="674"/>
      <x:c r="M2" s="674"/>
      <x:c r="N2" s="674"/>
      <x:c r="O2" s="674"/>
      <x:c r="P2" s="674"/>
      <x:c r="Q2" s="674"/>
      <x:c r="R2" s="674"/>
      <x:c r="S2" s="674"/>
      <x:c r="T2" s="674"/>
      <x:c r="U2" s="674"/>
      <x:c r="V2" s="674"/>
      <x:c r="W2" s="674"/>
      <x:c r="X2" s="674"/>
      <x:c r="Y2" s="674"/>
      <x:c r="Z2" s="674"/>
      <x:c r="AA2" s="674"/>
      <x:c r="AB2" s="674"/>
      <x:c r="AC2" s="674"/>
    </x:row>
    <x:row r="4">
      <x:c r="A4" s="678" t="str">
        <x:v>RISK TRUTH / RELEASE CONTROL</x:v>
      </x:c>
      <x:c r="B4" s="678" t="str">
        <x:v>Value / Status</x:v>
      </x:c>
      <x:c r="D4" s="678" t="str">
        <x:v>INTEGRATION RULES</x:v>
      </x:c>
      <x:c r="E4" s="678"/>
      <x:c r="F4" s="678"/>
      <x:c r="G4" s="678"/>
      <x:c r="I4" s="719" t="str">
        <x:v>RISK TRUTH COMMERCIAL RECALC</x:v>
      </x:c>
      <x:c r="J4" s="719" t="str">
        <x:v>Value</x:v>
      </x:c>
    </x:row>
    <x:row r="5">
      <x:c r="A5" s="681" t="str">
        <x:v>Previous approved tender total (optional)</x:v>
      </x:c>
      <x:c r="B5" s="596" t="n">
        <x:v>0</x:v>
      </x:c>
      <x:c r="D5" s="681" t="str">
        <x:v>1</x:v>
      </x:c>
      <x:c r="E5" s="27" t="str">
        <x:v>Likelihood / impact prioritise management; they never create dollars automatically.</x:v>
      </x:c>
      <x:c r="I5" s="722" t="str">
        <x:v>Subtotal before commercial adjustments</x:v>
      </x:c>
      <x:c r="J5" s="487" t="n">
        <x:f>'Tender Build-Up'!$B$40</x:f>
        <x:v>474995.6273853625</x:v>
      </x:c>
    </x:row>
    <x:row r="6">
      <x:c r="A6" s="681" t="str">
        <x:v>Current live tender total</x:v>
      </x:c>
      <x:c r="B6" s="682" t="n">
        <x:f>'Tender Build-Up'!$B$47</x:f>
        <x:v>614700.2236751751</x:v>
      </x:c>
      <x:c r="D6" s="681" t="str">
        <x:v>2</x:v>
      </x:c>
      <x:c r="E6" s="27" t="str">
        <x:v>Every exposure identifies where the risk is already treated before any residual is considered.</x:v>
      </x:c>
      <x:c r="I6" s="722" t="str">
        <x:v>CA17 overhead</x:v>
      </x:c>
      <x:c r="J6" s="487" t="n">
        <x:f>IF('Commercial Inputs'!$F$21&lt;&gt;"Yes",0,IF('Commercial Inputs'!$C$21="Markup %",J5*N('Commercial Inputs'!$D$21),IF('Commercial Inputs'!$C$21="Fixed Amount",N('Commercial Inputs'!$E$21),0)))</x:f>
        <x:v>47499.56273853625</x:v>
      </x:c>
    </x:row>
    <x:row r="7">
      <x:c r="A7" s="681" t="str">
        <x:v>Previous approved CA01 (optional)</x:v>
      </x:c>
      <x:c r="B7" s="682" t="n">
        <x:v>0</x:v>
      </x:c>
      <x:c r="D7" s="681" t="str">
        <x:v>3</x:v>
      </x:c>
      <x:c r="E7" s="27" t="str">
        <x:v>Quantifiable physical work returns to Resource Build-Up / QS Takeoff.</x:v>
      </x:c>
      <x:c r="I7" s="722" t="str">
        <x:v>CA19 bonds</x:v>
      </x:c>
      <x:c r="J7" s="487" t="n">
        <x:f>IF('Commercial Inputs'!$F$23&lt;&gt;"Yes",0,IF('Commercial Inputs'!$C$23="%",J5*N('Commercial Inputs'!$D$23),IF('Commercial Inputs'!$C$23="PC Sum",N('Commercial Inputs'!$E$23),0)))</x:f>
        <x:v>0</x:v>
      </x:c>
    </x:row>
    <x:row r="8">
      <x:c r="A8" s="681" t="str">
        <x:v>Previous approved CA02 (optional)</x:v>
      </x:c>
      <x:c r="B8" s="682" t="n">
        <x:v>0</x:v>
      </x:c>
      <x:c r="D8" s="681" t="str">
        <x:v>4</x:v>
      </x:c>
      <x:c r="E8" s="27" t="str">
        <x:v>CA01 / CA02 receive residual cross-cutting provisions only when a more direct cost location is not truthful.</x:v>
      </x:c>
      <x:c r="I8" s="722" t="str">
        <x:v>CA20 retention finance</x:v>
      </x:c>
      <x:c r="J8" s="487" t="n">
        <x:f>IF('Commercial Inputs'!$F$24&lt;&gt;"Yes",0,IF('Commercial Inputs'!$C$24="%",J5*N('Commercial Inputs'!$D$24),IF('Commercial Inputs'!$C$24="PC Sum",N('Commercial Inputs'!$E$24),0)))</x:f>
        <x:v>0</x:v>
      </x:c>
    </x:row>
    <x:row r="9">
      <x:c r="A9" s="681" t="str">
        <x:v>Risk Truth CA01 design/scope residual total</x:v>
      </x:c>
      <x:c r="B9" s="682" t="n">
        <x:f>SUMIFS($T$41:$T$61,$R$41:$R$61,"CA01",$S$41:$S$61,"Yes")</x:f>
        <x:v>0</x:v>
      </x:c>
      <x:c r="D9" s="681" t="str">
        <x:v>5</x:v>
      </x:c>
      <x:c r="E9" s="27" t="str">
        <x:v>Weather remains Weather Risk -&gt; CA10. Dewatering remains CA09 unless separately changed.</x:v>
      </x:c>
      <x:c r="I9" s="722" t="str">
        <x:v>CA18 profit</x:v>
      </x:c>
      <x:c r="J9" s="487" t="n">
        <x:f>IF('Commercial Inputs'!$F$22&lt;&gt;"Yes",0,IF('Commercial Inputs'!$C$22="Margin %",(J5+J6+J7+J8)/(1-N('Commercial Inputs'!$D$22))-(J5+J6+J7+J8),IF('Commercial Inputs'!$C$22="Markup %",(J5+J6+J7+J8)*N('Commercial Inputs'!$D$22),IF('Commercial Inputs'!$C$22="Fixed Amount",N('Commercial Inputs'!$E$22),0))))</x:f>
        <x:v>92205.03355127631</x:v>
      </x:c>
    </x:row>
    <x:row r="10">
      <x:c r="A10" s="681" t="str">
        <x:v>Risk Truth CA02 construction/execution residual total</x:v>
      </x:c>
      <x:c r="B10" s="682" t="n">
        <x:f>SUMIFS($T$41:$T$61,$R$41:$R$61,"CA02",$S$41:$S$61,"Yes")</x:f>
        <x:v>0</x:v>
      </x:c>
      <x:c r="D10" s="681" t="str">
        <x:v>6</x:v>
      </x:c>
      <x:c r="E10" s="27" t="str">
        <x:v>Any RED exposure, unproven duplicate or incomplete programme dependency blocks final release.</x:v>
      </x:c>
      <x:c r="I10" s="722" t="str">
        <x:v>Recalculated tender total</x:v>
      </x:c>
      <x:c r="J10" s="487" t="n">
        <x:f>SUM(J5:J9)</x:f>
        <x:v>614700.2236751751</x:v>
      </x:c>
    </x:row>
    <x:row r="11">
      <x:c r="A11" s="681" t="str">
        <x:v>Risk Truth recalculated tender total</x:v>
      </x:c>
      <x:c r="B11" s="682" t="n">
        <x:f>$J$10</x:f>
        <x:v>614700.2236751751</x:v>
      </x:c>
      <x:c r="D11" s="681" t="str">
        <x:v>7</x:v>
      </x:c>
      <x:c r="E11" s="27" t="str">
        <x:v>One cost can have several contributing risks, but only one PRIMARY cost-treatment owner.</x:v>
      </x:c>
    </x:row>
    <x:row r="12">
      <x:c r="A12" s="681" t="str">
        <x:v>Live CA01 feed -&gt; Commercial Inputs</x:v>
      </x:c>
      <x:c r="B12" s="682" t="n">
        <x:f>$B$9</x:f>
        <x:v>0</x:v>
      </x:c>
      <x:c r="D12" s="681" t="str">
        <x:v>8</x:v>
      </x:c>
      <x:c r="E12" s="27" t="str">
        <x:v>Actual outcomes are retained later for estimate-v-actual calibration; historic tender assumptions are not overwritten.</x:v>
      </x:c>
    </x:row>
    <x:row r="13">
      <x:c r="A13" s="681" t="str">
        <x:v>Live CA02 feed -&gt; Commercial Inputs</x:v>
      </x:c>
      <x:c r="B13" s="682" t="n">
        <x:f>$B$10</x:f>
        <x:v>0</x:v>
      </x:c>
      <x:c r="D13" t="str">
        <x:v>9</x:v>
      </x:c>
      <x:c r="E13" s="27" t="str">
        <x:v>CA16 Management Reserve is a separate PROVIDED/AMBER tender-adjudication commercial provision. It does not feed CA01/CA02, is not a Risk Truth contingency, and does not close RED exposures.</x:v>
      </x:c>
    </x:row>
    <x:row r="14">
      <x:c r="A14" s="681" t="str">
        <x:v>Current Risk Truth residual total</x:v>
      </x:c>
      <x:c r="B14" s="682" t="n">
        <x:f>$B$9+$B$10</x:f>
        <x:v>0</x:v>
      </x:c>
      <x:c r="D14" s="678"/>
      <x:c r="E14" s="678"/>
      <x:c r="F14" s="678"/>
      <x:c r="G14" s="678"/>
    </x:row>
    <x:row r="15">
      <x:c r="A15" s="681" t="str">
        <x:v>Risk Truth release gate</x:v>
      </x:c>
      <x:c r="B15" s="683" t="str">
        <x:f>IF(OR(B16&gt;0,B17&gt;0,B18&lt;&gt;"OK",LEFT(B19,3)="RED"),"HOLD - RED ITEMS / INTEGRATION CHECK","PASS")</x:f>
        <x:v>HOLD - RED ITEMS / INTEGRATION CHECK</x:v>
      </x:c>
      <x:c r="D15" s="27"/>
      <x:c r="E15" s="682"/>
      <x:c r="F15" s="27"/>
      <x:c r="G15" s="27"/>
    </x:row>
    <x:row r="16">
      <x:c r="A16" s="681" t="str">
        <x:v>RED risk count</x:v>
      </x:c>
      <x:c r="B16" s="683" t="n">
        <x:f>COUNTIF($K$25:$K$39,"RED")</x:f>
        <x:v>4</x:v>
      </x:c>
      <x:c r="D16" s="27"/>
      <x:c r="E16" s="682"/>
      <x:c r="F16" s="27"/>
      <x:c r="G16" s="27"/>
    </x:row>
    <x:row r="17">
      <x:c r="A17" s="681" t="str">
        <x:v>RED exposure count</x:v>
      </x:c>
      <x:c r="B17" s="683" t="n">
        <x:f>COUNTIF($Z$41:$Z$61,"RED")</x:f>
        <x:v>3</x:v>
      </x:c>
      <x:c r="D17" s="27"/>
      <x:c r="E17" s="682"/>
      <x:c r="F17" s="27"/>
      <x:c r="G17" s="27"/>
    </x:row>
    <x:row r="18">
      <x:c r="A18" s="681" t="str">
        <x:v>Duplicate-cost gate</x:v>
      </x:c>
      <x:c r="B18" s="683" t="str">
        <x:f>IF(OR(COUNTIF($X$41:$X$61,"RED - RESIDUAL NOT DISTINCT")&gt;0,COUNTIF($X$41:$X$61,"RED - UNDECLARED OVERLAP")&gt;0),"RED","OK")</x:f>
        <x:v>OK</x:v>
      </x:c>
      <x:c r="D18" s="27"/>
      <x:c r="E18" s="682"/>
      <x:c r="F18" s="27"/>
      <x:c r="G18" s="27"/>
    </x:row>
    <x:row r="19">
      <x:c r="A19" s="681" t="str">
        <x:v>Programme dependency gate</x:v>
      </x:c>
      <x:c r="B19" s="684" t="str">
        <x:f>IF(COUNTIF('Programme Export'!$U$7:$U$77,"CHECK")&gt;0,"RED - PROGRAMME COST RECONCILIATION","OK")</x:f>
        <x:v>OK</x:v>
      </x:c>
      <x:c r="D19" s="27"/>
      <x:c r="E19" s="682"/>
      <x:c r="F19" s="27"/>
      <x:c r="G19" s="27"/>
    </x:row>
    <x:row r="20">
      <x:c r="A20" s="681" t="str">
        <x:v>Tender delta vs previous approved</x:v>
      </x:c>
      <x:c r="B20" s="682" t="str">
        <x:f>IF(B5=0,"",B6-B5)</x:f>
      </x:c>
      <x:c r="D20" s="27"/>
      <x:c r="E20" s="682"/>
      <x:c r="F20" s="27"/>
      <x:c r="G20" s="27"/>
    </x:row>
    <x:row r="21">
      <x:c r="A21" s="681" t="str">
        <x:v>Current tender equals Risk Truth recalculation?</x:v>
      </x:c>
      <x:c r="B21" s="682" t="str">
        <x:f>IF(ABS(B6-B11)&lt;0.01,"YES","NO")</x:f>
        <x:v>YES</x:v>
      </x:c>
      <x:c r="D21" s="27"/>
      <x:c r="E21" s="682"/>
      <x:c r="F21" s="27"/>
      <x:c r="G21" s="27"/>
    </x:row>
    <x:row r="22">
      <x:c r="A22" s="681" t="str">
        <x:v>Risk Truth calculation difference</x:v>
      </x:c>
      <x:c r="B22" s="682" t="n">
        <x:f>B6-B11</x:f>
        <x:v>0</x:v>
      </x:c>
      <x:c r="D22"/>
      <x:c r="E22"/>
      <x:c r="F22"/>
      <x:c r="G22"/>
    </x:row>
    <x:row r="24">
      <x:c r="A24" s="678" t="str">
        <x:v>Risk ID</x:v>
      </x:c>
      <x:c r="B24" s="678" t="str">
        <x:v>Risk Description</x:v>
      </x:c>
      <x:c r="C24" s="678" t="str">
        <x:v>Primary Class</x:v>
      </x:c>
      <x:c r="D24" s="678" t="str">
        <x:v>Likelihood</x:v>
      </x:c>
      <x:c r="E24" s="678" t="str">
        <x:v>Impact</x:v>
      </x:c>
      <x:c r="F24" s="678" t="str">
        <x:v>Rating</x:v>
      </x:c>
      <x:c r="G24" s="678" t="str">
        <x:v>Current Response</x:v>
      </x:c>
      <x:c r="H24" s="678" t="str">
        <x:v>Owner</x:v>
      </x:c>
      <x:c r="I24" s="678" t="str">
        <x:v>RFI / Action</x:v>
      </x:c>
      <x:c r="J24" s="678" t="str">
        <x:v>Tender Baseline</x:v>
      </x:c>
      <x:c r="K24" s="678" t="str">
        <x:v>Overall Status</x:v>
      </x:c>
    </x:row>
    <x:row r="25">
      <x:c r="A25" s="27" t="str">
        <x:v>RT01</x:v>
      </x:c>
      <x:c r="B25" s="27" t="str">
        <x:v>Earthworks mass balance, topsoil and disposal classification</x:v>
      </x:c>
      <x:c r="C25" s="27" t="str">
        <x:v>D/E - Unknown extent / missing information</x:v>
      </x:c>
      <x:c r="D25" s="27" t="str">
        <x:v>High</x:v>
      </x:c>
      <x:c r="E25" s="27" t="str">
        <x:v>High</x:v>
      </x:c>
      <x:c r="F25" s="27" t="str">
        <x:v>Critical</x:v>
      </x:c>
      <x:c r="G25" s="27" t="str">
        <x:v>Latest Arch Rev17 now states 1,310m3 fill /113m3 cut /2,105m2 earthworks area, conflicting materially with Yodha RevB 1,033m3 fill /110m3 cut /923m3 net import. Live tender remains on Yodha volumes; Rev17 area 2,105m2 is adopted for surface strip/trim only.</x:v>
      </x:c>
      <x:c r="H25" s="27" t="str">
        <x:v>Estimator / TPW / Yodha</x:v>
      </x:c>
      <x:c r="I25" s="27" t="str">
        <x:v>RFI-15: reconcile governing bulk earthworks quantities. Do not scale EW02/EW09 live until resolved.</x:v>
      </x:c>
      <x:c r="J25" s="27" t="str">
        <x:v>Current live EW02=1,033m3 and EW09=923m3. Rev17 implied net import=1,197m3. Non-additive direct sensitivity +$23,314.55 before Weather/OH/profit.</x:v>
      </x:c>
      <x:c r="K25" s="27" t="str">
        <x:v>RED</x:v>
      </x:c>
    </x:row>
    <x:row r="26">
      <x:c r="A26" s="27" t="str">
        <x:v>RT02</x:v>
      </x:c>
      <x:c r="B26" s="27" t="str">
        <x:v>Keystone retaining geometry, no-fines quantity and drilling package</x:v>
      </x:c>
      <x:c r="C26" s="27" t="str">
        <x:v>E - Missing / contradictory design</x:v>
      </x:c>
      <x:c r="D26" s="27" t="str">
        <x:v>High</x:v>
      </x:c>
      <x:c r="E26" s="27" t="str">
        <x:v>High</x:v>
      </x:c>
      <x:c r="F26" s="27" t="str">
        <x:v>Critical</x:v>
      </x:c>
      <x:c r="G26" s="27" t="str">
        <x:v>Arch Rev17 now expressly shows Keystone maximum 1.8m and stepped heights, aligning with DHC structural and Citi supplier takeoff. Q-02 blocks and Q-03 no-fines supply are strongly corroborated. Civil DWG301 max 1.5m remains the sole design contradiction; placement/method remains AMBER.</x:v>
      </x:c>
      <x:c r="H26" s="27" t="str">
        <x:v>Estimator / Designer</x:v>
      </x:c>
      <x:c r="I26" s="27" t="str">
        <x:v>RFI-16: confirm Civil DWG301 1.5m note is superseded or issue coordinated retaining profile. No generic uplift is required because Q1020 already includes bands to 1.8m.</x:v>
      </x:c>
      <x:c r="J26" s="27" t="str">
        <x:v>RW01/RW02/RW04 remain current PCs/allowances; RW03 self-perform; RW05 by Allied. Latest Rev17 strengthens 1.8m tender basis but does not itself erase the cross-discipline conflict.</x:v>
      </x:c>
      <x:c r="K26" s="27" t="str">
        <x:v>RED</x:v>
      </x:c>
    </x:row>
    <x:row r="27">
      <x:c r="A27" s="27" t="str">
        <x:v>RT03</x:v>
      </x:c>
      <x:c r="B27" s="27" t="str">
        <x:v>Foundation excavation F1-F7 lengths and PILE2 trade boundary</x:v>
      </x:c>
      <x:c r="C27" s="27" t="str">
        <x:v>E - Missing information</x:v>
      </x:c>
      <x:c r="D27" s="27" t="str">
        <x:v>High</x:v>
      </x:c>
      <x:c r="E27" s="27" t="str">
        <x:v>High</x:v>
      </x:c>
      <x:c r="F27" s="27" t="str">
        <x:v>Critical</x:v>
      </x:c>
      <x:c r="G27" s="27" t="str">
        <x:v>Karl/Coast 11-Sep closes the trade boundary: formal quote includes excavation of 15 P2 piles; later clarification excludes footing excavation, bulk excavation and hardfill to 350mm below FFL. Siteworks EW06 is therefore removed; EW05/EW07 retained.</x:v>
      </x:c>
      <x:c r="H27" s="27" t="str">
        <x:v>Estimator</x:v>
      </x:c>
      <x:c r="I27" s="27" t="str">
        <x:v>No external RFI required for duplicate boundary. Complete final F1-F7 visual takeoff / pad working-space method before award.</x:v>
      </x:c>
      <x:c r="J27" s="27" t="str">
        <x:v>Siteworks foundation-excavation baseline now EW05 $2,500 + EW07 $12,500 = $15,000. Coast $210,606 carries P2 pile excavation once.</x:v>
      </x:c>
      <x:c r="K27" s="27" t="str">
        <x:v>AMBER</x:v>
      </x:c>
    </x:row>
    <x:row r="28">
      <x:c r="A28" s="27" t="str">
        <x:v>RT04</x:v>
      </x:c>
      <x:c r="B28" s="27" t="str">
        <x:v>Dry service trench design and trade boundary</x:v>
      </x:c>
      <x:c r="C28" s="27" t="str">
        <x:v>E - Missing information</x:v>
      </x:c>
      <x:c r="D28" s="27" t="str">
        <x:v>High</x:v>
      </x:c>
      <x:c r="E28" s="27" t="str">
        <x:v>Medium</x:v>
      </x:c>
      <x:c r="F28" s="27" t="str">
        <x:v>High</x:v>
      </x:c>
      <x:c r="G28" s="27" t="str">
        <x:v>$15k ES01 PC integrated pending coordinated service design</x:v>
      </x:c>
      <x:c r="H28" s="27" t="str">
        <x:v>Estimator</x:v>
      </x:c>
      <x:c r="I28" s="27" t="str">
        <x:v>Coordinated service design / RFI-08</x:v>
      </x:c>
      <x:c r="J28" s="27" t="str">
        <x:v>ES01 $15,000 PC baseline integrated to avoid omission; design by others remains unresolved.</x:v>
      </x:c>
      <x:c r="K28" s="27" t="str">
        <x:v>AMBER</x:v>
      </x:c>
    </x:row>
    <x:row r="29">
      <x:c r="A29" s="27" t="str">
        <x:v>RT05</x:v>
      </x:c>
      <x:c r="B29" s="27" t="str">
        <x:v>Allproof threshold product, lineal metres and downstream drainage interface</x:v>
      </x:c>
      <x:c r="C29" s="27" t="str">
        <x:v>D/E - Unknown extent / missing information</x:v>
      </x:c>
      <x:c r="D29" s="27" t="str">
        <x:v>High</x:v>
      </x:c>
      <x:c r="E29" s="27" t="str">
        <x:v>Medium</x:v>
      </x:c>
      <x:c r="F29" s="27" t="str">
        <x:v>High</x:v>
      </x:c>
      <x:c r="G29" s="27" t="str">
        <x:v>Supplier ordering quantity now defined as 44m + 44 end caps. $40k ES03 PC retained; GFN versus Wedge Wire selection and outlets/downstream connection remain AMBER.</x:v>
      </x:c>
      <x:c r="H29" s="27" t="str">
        <x:v>Estimator</x:v>
      </x:c>
      <x:c r="I29" s="27" t="str">
        <x:v>Close RFI-02/RFI-04: confirm grate selection and outlet/downstream interface; manage confirmed 7-8 week lead time</x:v>
      </x:c>
      <x:c r="J29" s="27" t="str">
        <x:v>ES03 $40,000 PC remains integrated once. Supplier quantity is now evidenced at 44m + 44 caps; material sensitivity ranges from GFN to Wedge Wire pending product selection.</x:v>
      </x:c>
      <x:c r="K29" s="27" t="str">
        <x:v>AMBER</x:v>
      </x:c>
    </x:row>
    <x:row r="30">
      <x:c r="A30" s="27" t="str">
        <x:v>RT06</x:v>
      </x:c>
      <x:c r="B30" s="27" t="str">
        <x:v>Pavement AP40 thickness conflict: DWG311 150mm vs generic CBR note 100mm</x:v>
      </x:c>
      <x:c r="C30" s="27" t="str">
        <x:v>A/C - Known conflict / evidence-supported uncertainty</x:v>
      </x:c>
      <x:c r="D30" s="27" t="str">
        <x:v>Medium</x:v>
      </x:c>
      <x:c r="E30" s="27" t="str">
        <x:v>Low</x:v>
      </x:c>
      <x:c r="F30" s="27" t="str">
        <x:v>Medium</x:v>
      </x:c>
      <x:c r="G30" s="27" t="str">
        <x:v>150mm AP40 retained pending RFI; no extra risk cost</x:v>
      </x:c>
      <x:c r="H30" s="27" t="str">
        <x:v>Estimator</x:v>
      </x:c>
      <x:c r="I30" s="27" t="str">
        <x:v>RFI-11</x:v>
      </x:c>
      <x:c r="J30" s="27" t="str">
        <x:v>PV01 includes 150mm AP40 baseline; no extra risk cost</x:v>
      </x:c>
      <x:c r="K30" s="27" t="str">
        <x:v>AMBER</x:v>
      </x:c>
    </x:row>
    <x:row r="31">
      <x:c r="A31" s="27" t="str">
        <x:v>RT07</x:v>
      </x:c>
      <x:c r="B31" s="27" t="str">
        <x:v>Public VX203 vs private ROW/JOAL crossing footprint split and TTM scope</x:v>
      </x:c>
      <x:c r="C31" s="27" t="str">
        <x:v>E - Missing information</x:v>
      </x:c>
      <x:c r="D31" s="27" t="str">
        <x:v>High</x:v>
      </x:c>
      <x:c r="E31" s="27" t="str">
        <x:v>Medium</x:v>
      </x:c>
      <x:c r="F31" s="27" t="str">
        <x:v>High</x:v>
      </x:c>
      <x:c r="G31" s="27" t="str">
        <x:v>Traffic Safe Q-07 quoted core remains integrated. Allied drainage allocation is now separate: public/private piped drainage is subcontract scope and does not replace Siteworks ES02/ES03 surface/threshold interfaces.</x:v>
      </x:c>
      <x:c r="H31" s="27" t="str">
        <x:v>Estimator</x:v>
      </x:c>
      <x:c r="I31" s="27" t="str">
        <x:v>Confirm final public crossing measure/Q-05 and Traffic Safe excluded authority/FAF/extra-shift costs. Keep drainage subcontract and crossing work separated.</x:v>
      </x:c>
      <x:c r="J31" s="27" t="str">
        <x:v>PV02 $18,250 PC + Siteworks ES02/ES03 interfaces remain. Allied general drainage is only in the subcontract overlay; no duplication with current Siteworks general-drainage exclusions.</x:v>
      </x:c>
      <x:c r="K31" s="27" t="str">
        <x:v>AMBER</x:v>
      </x:c>
    </x:row>
    <x:row r="32">
      <x:c r="A32" s="27" t="str">
        <x:v>RT08</x:v>
      </x:c>
      <x:c r="B32" s="27" t="str">
        <x:v>Site-specific erosion and sediment control - measured layout / remaining procurement and maintenance uncertainty</x:v>
      </x:c>
      <x:c r="C32" s="27" t="str">
        <x:v>A/C - Known measured scope / evidence-supported uncertainty</x:v>
      </x:c>
      <x:c r="D32" s="27" t="str">
        <x:v>Medium</x:v>
      </x:c>
      <x:c r="E32" s="27" t="str">
        <x:v>Medium</x:v>
      </x:c>
      <x:c r="F32" s="27" t="str">
        <x:v>Medium</x:v>
      </x:c>
      <x:c r="G32" s="27" t="str">
        <x:v>Stamped RC DWG231/DWG241 close the layout gap. ESC01 now carries 226.3lm measured main fence + 8.0lm return allowance, 49m2 stabilised entrance, normal physical maintenance and removal as direct resources.</x:v>
      </x:c>
      <x:c r="H32" s="27" t="str">
        <x:v>Estimator</x:v>
      </x:c>
      <x:c r="I32" s="27" t="str">
        <x:v>Confirm return positions at setout, 50-150mm washed aggregate delivered product and site-engineer acceptance before earthworks.</x:v>
      </x:c>
      <x:c r="J32" s="27" t="str">
        <x:v>ESC01 measured first-principles baseline approx $7,750.14; no second residual ESC addition.</x:v>
      </x:c>
      <x:c r="K32" s="27" t="str">
        <x:v>AMBER</x:v>
      </x:c>
    </x:row>
    <x:row r="33">
      <x:c r="A33" s="27" t="str">
        <x:v>RT09</x:v>
      </x:c>
      <x:c r="B33" s="27" t="str">
        <x:v>OLFP swale length, earthworks duplication and fence interface</x:v>
      </x:c>
      <x:c r="C33" s="27" t="str">
        <x:v>D/E - Unknown extent / missing information</x:v>
      </x:c>
      <x:c r="D33" s="27" t="str">
        <x:v>Medium</x:v>
      </x:c>
      <x:c r="E33" s="27" t="str">
        <x:v>Medium</x:v>
      </x:c>
      <x:c r="F33" s="27" t="str">
        <x:v>Medium</x:v>
      </x:c>
      <x:c r="G33" s="27" t="str">
        <x:v>Primary 94.08lm OLFP control remains AMBER after Board challenge. EW04 shaping PC + ES04 fence-interface PC stay integrated with duplication control pending source/extent confirmation.</x:v>
      </x:c>
      <x:c r="H33" s="27" t="str">
        <x:v>Estimator</x:v>
      </x:c>
      <x:c r="I33" s="27" t="str">
        <x:v>RFI-12 / fence interface closeout</x:v>
      </x:c>
      <x:c r="J33" s="27" t="str">
        <x:v>EW04 $3,000 + ES04 $2,500 PC baseline integrated; 94.08lm swale measured with duplication control.</x:v>
      </x:c>
      <x:c r="K33" s="27" t="str">
        <x:v>AMBER</x:v>
      </x:c>
    </x:row>
    <x:row r="34">
      <x:c r="A34" s="27" t="str">
        <x:v>RT10</x:v>
      </x:c>
      <x:c r="B34" s="27" t="str">
        <x:v>Construction plant clearance to existing overhead power lines</x:v>
      </x:c>
      <x:c r="C34" s="27" t="str">
        <x:v>C - Evidence-supported uncertainty</x:v>
      </x:c>
      <x:c r="D34" s="27" t="str">
        <x:v>Medium</x:v>
      </x:c>
      <x:c r="E34" s="27" t="str">
        <x:v>High</x:v>
      </x:c>
      <x:c r="F34" s="27" t="str">
        <x:v>High</x:v>
      </x:c>
      <x:c r="G34" s="27" t="str">
        <x:v>Normal spotter/exclusion-zone/site controls are included within itemised PG01; abnormal utility shutdown/relocation excluded pending instruction</x:v>
      </x:c>
      <x:c r="H34" s="27" t="str">
        <x:v>PM / Estimator</x:v>
      </x:c>
      <x:c r="I34" s="27" t="str">
        <x:v>Method / site plan review</x:v>
      </x:c>
      <x:c r="J34" s="27" t="str">
        <x:v>No allowance added yet; quantify direct temporary controls if required</x:v>
      </x:c>
      <x:c r="K34" s="27" t="str">
        <x:v>AMBER</x:v>
      </x:c>
    </x:row>
    <x:row r="35">
      <x:c r="A35" s="27" t="str">
        <x:v>RT11</x:v>
      </x:c>
      <x:c r="B35" s="27" t="str">
        <x:v>Tender programme baseline / time-related cost reconciliation</x:v>
      </x:c>
      <x:c r="C35" s="27" t="str">
        <x:v>C/E - Evidence-supported programme assumption / missing final start inputs</x:v>
      </x:c>
      <x:c r="D35" s="27" t="str">
        <x:v>Medium</x:v>
      </x:c>
      <x:c r="E35" s="27" t="str">
        <x:v>High</x:v>
      </x:c>
      <x:c r="F35" s="27" t="str">
        <x:v>High</x:v>
      </x:c>
      <x:c r="G35" s="27" t="str">
        <x:v>Formal ERB adjudication establishes a 55WD dry tender baseline with explicit retained-zone release, service interface, pavement re-proof and cure controls. Rev29 weather is separately modelled; PV01 remains a 10WD programme hold pending Q-05.</x:v>
      </x:c>
      <x:c r="H35" s="27" t="str">
        <x:v>Estimator / PM</x:v>
      </x:c>
      <x:c r="I35" s="27" t="str">
        <x:v>Confirm actual start/calendar, Q-07 working-window conditions and Q-05 concrete workfront productivity before contract programme issue.</x:v>
      </x:c>
      <x:c r="J35" s="27" t="str">
        <x:v>PG01 base supervision/facilities cost to 55WD dry programme; CA10 separately models 8.829 normal-weather delay WD.</x:v>
      </x:c>
      <x:c r="K35" s="27" t="str">
        <x:v>AMBER</x:v>
      </x:c>
    </x:row>
    <x:row r="36">
      <x:c r="A36" s="27" t="str">
        <x:v>RT12</x:v>
      </x:c>
      <x:c r="B36" s="27" t="str">
        <x:v>Weather exposure / time-related P&amp;G basis</x:v>
      </x:c>
      <x:c r="C36" s="27" t="str">
        <x:v>C - Evidence-supported uncertainty</x:v>
      </x:c>
      <x:c r="D36" s="27" t="str">
        <x:v>Medium</x:v>
      </x:c>
      <x:c r="E36" s="27" t="str">
        <x:v>Medium</x:v>
      </x:c>
      <x:c r="F36" s="27" t="str">
        <x:v>Medium</x:v>
      </x:c>
      <x:c r="G36" s="27" t="str">
        <x:v>Current Weather Risk formula-equivalent Rev2 basis: direct productivity $12,458.56; critical-path delay 8.829WD; time-related $5,156.13; additional hire $590.00; total CA10 $18,204.69.</x:v>
      </x:c>
      <x:c r="H36" s="27" t="str">
        <x:v>Estimator / PM</x:v>
      </x:c>
      <x:c r="I36" s="27" t="str">
        <x:v>Confirm actual start/calendar and rerun on any material sequence/critical-path/Q-05/exposed-cost change; keep CA09 dewatering separate.</x:v>
      </x:c>
      <x:c r="J36" s="27" t="str">
        <x:v>PG01 base supervision/facilities cost to 55WD dry programme; CA10 separately models 8.829 normal-weather delay WD at $18,204.69.</x:v>
      </x:c>
      <x:c r="K36" s="27" t="str">
        <x:v>AMBER</x:v>
      </x:c>
    </x:row>
    <x:row r="37">
      <x:c r="A37" t="str">
        <x:v>RT15</x:v>
      </x:c>
      <x:c r="B37" t="str">
        <x:v>Ground / geotechnical conditions outside investigated tender baseline</x:v>
      </x:c>
      <x:c r="C37" t="str">
        <x:v>C - Evidence-supported baseline / residual subsurface variability</x:v>
      </x:c>
      <x:c r="D37" t="str">
        <x:v>Medium</x:v>
      </x:c>
      <x:c r="E37" t="str">
        <x:v>High</x:v>
      </x:c>
      <x:c r="F37" t="str">
        <x:v>High</x:v>
      </x:c>
      <x:c r="G37" t="str">
        <x:v>Gibb Ritchie AK26-051AB Rev0 provides a favourable normal construction baseline: approx. 0.3-0.4m topsoil over residual East Coast Bays Formation soils; soils predominantly very stiff to hard; normal earthworks plant expected to excavate readily; groundwater not encountered in April 2026. Current estimate includes normal earthworks resources, EW08 incidental disposal PC, CA09 $3,000 construction-water control and TC01 $4,600 geotechnical monitoring/testing.</x:v>
      </x:c>
      <x:c r="H37" t="str">
        <x:v>Estimator / PM</x:v>
      </x:c>
      <x:c r="I37" t="str">
        <x:v>Treat materially different subsurface conditions as outside baseline: rock/hard bands requiring ripping/breaking, unexpected soft/organic/unsuitable ground requiring undercut/remediation, contamination/managed material, buried obstructions and groundwater materially beyond CA09. Reprice actual consequence if encountered/identified.</x:v>
      </x:c>
      <x:c r="J37" t="str">
        <x:v>Normal conditions are ALREADY IN BASE / NO ADD. Abnormal latent conditions are explicitly qualified rather than assigned an unsupported contingency. Management Reserve is not allocated specifically to this risk.</x:v>
      </x:c>
      <x:c r="K37" t="str">
        <x:v>AMBER</x:v>
      </x:c>
    </x:row>
    <x:row r="38">
      <x:c r="A38" t="str">
        <x:v>RT13</x:v>
      </x:c>
      <x:c r="B38" t="str">
        <x:v>PV01 concrete placing productivity / programme-cost reconciliation</x:v>
      </x:c>
      <x:c r="C38" t="str">
        <x:v>C/E - Evidence-supported mismatch / quote pending</x:v>
      </x:c>
      <x:c r="D38" t="str">
        <x:v>High</x:v>
      </x:c>
      <x:c r="E38" t="str">
        <x:v>High</x:v>
      </x:c>
      <x:c r="F38" t="str">
        <x:v>High</x:v>
      </x:c>
      <x:c r="G38" t="str">
        <x:v>Current direct labour build now uses Rev29 provisional PV01 478.35m2 at 3m2/hr with a 3-person crew, implying 159.45 workfront hours (~19.9 eight-hour workfront days), while accepted PV01 programme remains 10WD including base preparation. Do not force either number to agree. Q-05 Formcon quote remains required.</x:v>
      </x:c>
      <x:c r="H38" t="str">
        <x:v>Estimator / PM</x:v>
      </x:c>
      <x:c r="I38" t="str">
        <x:v>Q-05 Formcon placement/finish quote + confirm crew, pour sequence, base-prep split and duration</x:v>
      </x:c>
      <x:c r="J38" t="str">
        <x:v>Rev29 PV01 direct cost is integrated; 10WD programme control retained pending like-for-like Q-05 reconciliation.</x:v>
      </x:c>
      <x:c r="K38" t="str">
        <x:v>RED</x:v>
      </x:c>
    </x:row>
    <x:row r="39" ht="57" customHeight="1">
      <x:c r="A39" s="27" t="str">
        <x:v>RT14</x:v>
      </x:c>
      <x:c r="B39" s="27" t="str">
        <x:v>Pavement / external concrete revision and package ownership conflict</x:v>
      </x:c>
      <x:c r="C39" s="27" t="str">
        <x:v>A/E - Document conflict / missing package allocation</x:v>
      </x:c>
      <x:c r="D39" s="27" t="str">
        <x:v>High</x:v>
      </x:c>
      <x:c r="E39" s="27" t="str">
        <x:v>High</x:v>
      </x:c>
      <x:c r="F39" s="27" t="str">
        <x:v>Critical</x:v>
      </x:c>
      <x:c r="G39" s="27" t="str">
        <x:v>Rhys/TPW issued current Architectural Rev17. It confirms 568m2 concrete carpark including all paths and shows revised concrete stairs/ramps/landing at A15, but does not expressly allocate that work to Siteworks or Coast/building and no longer prints the prior 33m2 separate-area figure.</x:v>
      </x:c>
      <x:c r="H39" s="27" t="str">
        <x:v>Estimator / TPW</x:v>
      </x:c>
      <x:c r="I39" s="27" t="str">
        <x:v>568m2 pavement quantity remains closed. Confirm owner of ramp/entry/stairs; if Siteworks, remeasure Rev17 A15 and price current build-up.</x:v>
      </x:c>
      <x:c r="J39" s="27" t="str">
        <x:v>PV01 478.35m2 + PV04 89.65m2 = 568m2 live. Prior 33m2 retained as reference only / $0 current direct.</x:v>
      </x:c>
      <x:c r="K39" s="27" t="str">
        <x:v>RED</x:v>
      </x:c>
      <x:c r="AA39" t="str">
        <x:v>Construction Intelligence 08-Sep-2026 adds current NZ waste-levy component evidence, but surplus/topsoil/unsuitable quantity and receiving-facility class remain unresolved.</x:v>
      </x:c>
      <x:c r="AB39" t="str">
        <x:v>Replace EW08/EW09 PCs only after Q-06/Q-10 scope-normalised supplier returns; confirm levy is included once only.</x:v>
      </x:c>
      <x:c r="AC39" t="str">
        <x:v>3Bears Construction Intelligence Register / current NZ waste levy evidence + Yodha RevB</x:v>
      </x:c>
    </x:row>
    <x:row r="40" ht="50" customHeight="1">
      <x:c r="A40" s="678" t="str">
        <x:v>Exposure ID</x:v>
      </x:c>
      <x:c r="B40" s="678" t="str">
        <x:v>Risk ID</x:v>
      </x:c>
      <x:c r="C40" s="678" t="str">
        <x:v>Exposure / Cost Consequence</x:v>
      </x:c>
      <x:c r="D40" s="678" t="str">
        <x:v>Affected Driver</x:v>
      </x:c>
      <x:c r="E40" s="678" t="str">
        <x:v>Affected Cost Ref</x:v>
      </x:c>
      <x:c r="F40" s="678" t="str">
        <x:v>Existing Treatment</x:v>
      </x:c>
      <x:c r="G40" s="678" t="str">
        <x:v>Existing Baseline Amount</x:v>
      </x:c>
      <x:c r="H40" s="678" t="str">
        <x:v>Residual Exposure</x:v>
      </x:c>
      <x:c r="I40" s="678" t="str">
        <x:v>Calculation Mode</x:v>
      </x:c>
      <x:c r="J40" s="678" t="str">
        <x:v>Residual Qty</x:v>
      </x:c>
      <x:c r="K40" s="678" t="str">
        <x:v>Unit</x:v>
      </x:c>
      <x:c r="L40" s="678" t="str">
        <x:v>Unit Rate / Impact</x:v>
      </x:c>
      <x:c r="M40" s="678" t="str">
        <x:v>Probability</x:v>
      </x:c>
      <x:c r="N40" s="678" t="str">
        <x:v>Modelled Residual</x:v>
      </x:c>
      <x:c r="O40" s="678" t="str">
        <x:v>Selected Tender Provision</x:v>
      </x:c>
      <x:c r="P40" s="678" t="str">
        <x:v>Cost Treatment Owner</x:v>
      </x:c>
      <x:c r="Q40" s="678" t="str">
        <x:v>Residual Distinct?</x:v>
      </x:c>
      <x:c r="R40" s="678" t="str">
        <x:v>Integration Target</x:v>
      </x:c>
      <x:c r="S40" s="678" t="str">
        <x:v>Include New Risk Cost?</x:v>
      </x:c>
      <x:c r="T40" s="678" t="str">
        <x:v>Risk Truth Addition</x:v>
      </x:c>
      <x:c r="U40" s="678" t="str">
        <x:v>Overlap Group</x:v>
      </x:c>
      <x:c r="V40" s="678" t="str">
        <x:v>Embedded Variability / Response?</x:v>
      </x:c>
      <x:c r="W40" s="678" t="str">
        <x:v>Evidence Status</x:v>
      </x:c>
      <x:c r="X40" s="678" t="str">
        <x:v>Duplication Check</x:v>
      </x:c>
      <x:c r="Y40" s="678" t="str">
        <x:v>Integration Complete?</x:v>
      </x:c>
      <x:c r="Z40" s="678" t="str">
        <x:v>Final Status</x:v>
      </x:c>
      <x:c r="AA40" s="678" t="str">
        <x:v>Sensitivity / Basis</x:v>
      </x:c>
      <x:c r="AB40" s="678" t="str">
        <x:v>Firm-Up / Rerun Action</x:v>
      </x:c>
      <x:c r="AC40" s="678" t="str">
        <x:v>Source / Reference</x:v>
      </x:c>
    </x:row>
    <x:row r="41">
      <x:c r="A41" s="27" t="str">
        <x:v>RT01-001</x:v>
      </x:c>
      <x:c r="B41" s="27" t="str">
        <x:v>RT01</x:v>
      </x:c>
      <x:c r="C41" s="27" t="str">
        <x:v>Export/import/topsoil/tip consequences outside current core earthworks baseline</x:v>
      </x:c>
      <x:c r="D41" s="27" t="str">
        <x:v>Quantity / Scope</x:v>
      </x:c>
      <x:c r="E41" s="27" t="str">
        <x:v>EW08/EW09/EW10</x:v>
      </x:c>
      <x:c r="F41" s="27" t="str">
        <x:v>EW01-EW03 direct work + EW08/EW09 PC sums</x:v>
      </x:c>
      <x:c r="G41" s="682" t="str">
        <x:v>EW01/EW02/EW03 + EW08/EW09 current live treatment</x:v>
      </x:c>
      <x:c r="H41" s="27" t="n">
        <x:v>116065.18333333332</x:v>
      </x:c>
      <x:c r="I41" s="27" t="str">
        <x:v>Rev17 bulk-volume conflict: fill +277m3 and implied import +274m3 versus current Yodha control</x:v>
      </x:c>
      <x:c r="J41" s="685" t="str">
        <x:v>RFI Hold</x:v>
      </x:c>
      <x:c r="K41" s="685" t="n">
        <x:v>274</x:v>
      </x:c>
      <x:c r="L41" s="682" t="str">
        <x:v>m3</x:v>
      </x:c>
      <x:c r="M41" s="687"/>
      <x:c r="N41" s="682"/>
      <x:c r="O41" s="686" t="n">
        <x:v>0</x:v>
      </x:c>
      <x:c r="P41" s="685"/>
      <x:c r="Q41" s="685" t="str">
        <x:v>Primary</x:v>
      </x:c>
      <x:c r="R41" s="685" t="str">
        <x:v>Yes</x:v>
      </x:c>
      <x:c r="S41" s="685" t="str">
        <x:v>EW02/EW09 direct QS if resolved</x:v>
      </x:c>
      <x:c r="T41" s="682" t="str">
        <x:v>No</x:v>
      </x:c>
      <x:c r="U41" s="27" t="n">
        <x:v>0</x:v>
      </x:c>
      <x:c r="V41" s="685" t="str">
        <x:v>EARTHWORKS-MASSBAL</x:v>
      </x:c>
      <x:c r="W41" s="685" t="str">
        <x:v>No</x:v>
      </x:c>
      <x:c r="X41" s="683" t="str">
        <x:v>RED - CONTRADICTORY CURRENT DOCUMENTS</x:v>
      </x:c>
      <x:c r="Y41" s="685" t="str">
        <x:v>OK</x:v>
      </x:c>
      <x:c r="Z41" s="683" t="str">
        <x:v>No</x:v>
      </x:c>
      <x:c r="AA41" s="27" t="str">
        <x:v>RED</x:v>
      </x:c>
      <x:c r="AB41" s="27" t="str">
        <x:v>Direct-only non-additive sensitivity +$23,314.55: EW02 +$5,503.07, EW09 +$17,811.48. Programme/Weather not included.</x:v>
      </x:c>
      <x:c r="AC41" s="27" t="str">
        <x:v>TPW/Yodha to reconcile Rev17 A1 site calculations with Yodha Infrastructure RevB. Rerun Programme and Weather if Rev17 volumes govern.</x:v>
      </x:c>
      <x:c r="AD41" t="str">
        <x:v>Yodha Infrastructure RevB + Architectural A1 Rev17 / Rhys TPW 11-Sep-2026</x:v>
      </x:c>
    </x:row>
    <x:row r="42">
      <x:c r="A42" s="27" t="str">
        <x:v>RT02-001</x:v>
      </x:c>
      <x:c r="B42" s="27" t="str">
        <x:v>RT02</x:v>
      </x:c>
      <x:c r="C42" s="27" t="str">
        <x:v>Retaining blocks, no-fines, excavation and drainage remain supplier/design dependent; PILE1 drilling now self-performed and integrated</x:v>
      </x:c>
      <x:c r="D42" s="27" t="str">
        <x:v>Quantity / Scope</x:v>
      </x:c>
      <x:c r="E42" s="27" t="str">
        <x:v>RW01-RW05</x:v>
      </x:c>
      <x:c r="F42" s="27" t="str">
        <x:v>RW01/RW02/RW04/RW05 PCs + RW03 in-house/first-principles resources</x:v>
      </x:c>
      <x:c r="G42" s="682" t="n">
        <x:f>SUM('QS Takeoff'!G33:G37)</x:f>
        <x:v>71668.83595875</x:v>
      </x:c>
      <x:c r="H42" s="27" t="str">
        <x:v>Final governing design profile and no-fines placement/method only; block material quantity and no-fines supply rate/volume are substantially corroborated</x:v>
      </x:c>
      <x:c r="I42" s="27" t="str">
        <x:v>Already in Base / No Add</x:v>
      </x:c>
      <x:c r="J42" s="685"/>
      <x:c r="K42" s="685"/>
      <x:c r="L42" s="682"/>
      <x:c r="M42" s="687"/>
      <x:c r="N42" s="682" t="n">
        <x:v>0</x:v>
      </x:c>
      <x:c r="O42" s="686"/>
      <x:c r="P42" s="685" t="str">
        <x:v>Primary</x:v>
      </x:c>
      <x:c r="Q42" s="685" t="str">
        <x:v>Yes</x:v>
      </x:c>
      <x:c r="R42" s="685" t="str">
        <x:v>RW01-RW05 direct QS</x:v>
      </x:c>
      <x:c r="S42" s="685" t="str">
        <x:v>No</x:v>
      </x:c>
      <x:c r="T42" s="682" t="n">
        <x:v>0</x:v>
      </x:c>
      <x:c r="U42" s="27" t="str">
        <x:v>RETAINING-SYSTEM</x:v>
      </x:c>
      <x:c r="V42" s="685" t="str">
        <x:v>No</x:v>
      </x:c>
      <x:c r="W42" s="685" t="str">
        <x:v>AMBER SUPPLY / RED DESIGN AUTHORITY</x:v>
      </x:c>
      <x:c r="X42" s="683" t="str">
        <x:v>OK</x:v>
      </x:c>
      <x:c r="Y42" s="685" t="str">
        <x:v>Yes</x:v>
      </x:c>
      <x:c r="Z42" s="683" t="str">
        <x:v>RED</x:v>
      </x:c>
      <x:c r="AA42" s="27" t="str">
        <x:v>82.93lm vector vs Citi 84.0lm. Citi bands reach 1.8m. DHC S303 no-fines volume = 47.98m3; Allied quote = 50m3 @ $295/m3 + variable fuel. Existing RW04 $18k remains conservative pending placement.</x:v>
      </x:c>
      <x:c r="AB42" s="27" t="str">
        <x:v>Close RFI-16 design authority. Confirm placement/pump method and refresh fuel surcharge at order; do not add generic height/no-fines uplifts.</x:v>
      </x:c>
      <x:c r="AC42" s="27" t="str">
        <x:v>DHC S303/S304 + Citi Q1020/Bryn bands + Allied Quote 11092026SX3BEARS + Allied fuel surcharge calculator</x:v>
      </x:c>
    </x:row>
    <x:row r="43">
      <x:c r="A43" s="27" t="str">
        <x:v>RT03-001</x:v>
      </x:c>
      <x:c r="B43" s="27" t="str">
        <x:v>RT03</x:v>
      </x:c>
      <x:c r="C43" s="27" t="str">
        <x:v>Foundation F1-F7 excavation extent remains incomplete; PILE2 drilling is now priced in-house</x:v>
      </x:c>
      <x:c r="D43" s="27" t="str">
        <x:v>Quantity / Method</x:v>
      </x:c>
      <x:c r="E43" s="27" t="str">
        <x:v>EW05/EW06/EW07</x:v>
      </x:c>
      <x:c r="F43" s="27" t="str">
        <x:v>EW05/EW07 Siteworks baseline; EW06 PILE2 transferred to Coast</x:v>
      </x:c>
      <x:c r="G43" s="682" t="n">
        <x:v>15000</x:v>
      </x:c>
      <x:c r="H43" s="27" t="str">
        <x:v>Final measured F1-F7 strip/thickening/wing-footing lengths and pad working-space/method only</x:v>
      </x:c>
      <x:c r="I43" s="27" t="str">
        <x:v>Already in Base / No Add</x:v>
      </x:c>
      <x:c r="J43" s="685"/>
      <x:c r="K43" s="685"/>
      <x:c r="L43" s="682"/>
      <x:c r="M43" s="687"/>
      <x:c r="N43" s="682" t="n">
        <x:v>0</x:v>
      </x:c>
      <x:c r="O43" s="686"/>
      <x:c r="P43" s="685" t="str">
        <x:v>Primary</x:v>
      </x:c>
      <x:c r="Q43" s="685" t="str">
        <x:v>Yes</x:v>
      </x:c>
      <x:c r="R43" s="685" t="str">
        <x:v>EW05/EW07 direct QS</x:v>
      </x:c>
      <x:c r="S43" s="685" t="str">
        <x:v>No</x:v>
      </x:c>
      <x:c r="T43" s="682" t="n">
        <x:v>0</x:v>
      </x:c>
      <x:c r="U43" s="27" t="str">
        <x:v>FOUNDATION-EXC</x:v>
      </x:c>
      <x:c r="V43" s="685" t="str">
        <x:v>No</x:v>
      </x:c>
      <x:c r="W43" s="685" t="str">
        <x:v>AMBER</x:v>
      </x:c>
      <x:c r="X43" s="683" t="str">
        <x:v>OK</x:v>
      </x:c>
      <x:c r="Y43" s="685" t="str">
        <x:v>Yes</x:v>
      </x:c>
      <x:c r="Z43" s="683" t="str">
        <x:v>AMBER</x:v>
      </x:c>
      <x:c r="AA43" s="27" t="str">
        <x:v>Karl confirms footing/bulk excavation excluded from Coast while formal quote includes 15 P2 excavation. Duplicate removed by zeroing EW06 Siteworks cost.</x:v>
      </x:c>
      <x:c r="AB43" s="27" t="str">
        <x:v>Complete final F1-F7 takeoff and construction method; no further Coast overlap deduction.</x:v>
      </x:c>
      <x:c r="AC43" s="27" t="str">
        <x:v>Coast quote 09-Sep + Karl clarification 11-Sep + DHC Structural Rev B</x:v>
      </x:c>
    </x:row>
    <x:row r="44">
      <x:c r="A44" s="27" t="str">
        <x:v>RT04-001</x:v>
      </x:c>
      <x:c r="B44" s="27" t="str">
        <x:v>RT04</x:v>
      </x:c>
      <x:c r="C44" s="27" t="str">
        <x:v>Service trench excavation/backfill/material scope cannot be quantified</x:v>
      </x:c>
      <x:c r="D44" s="27" t="str">
        <x:v>Quantity / Responsibility</x:v>
      </x:c>
      <x:c r="E44" s="27" t="str">
        <x:v>ES01</x:v>
      </x:c>
      <x:c r="F44" s="27" t="str">
        <x:v>ES01 $15k PC</x:v>
      </x:c>
      <x:c r="G44" s="682" t="n">
        <x:f>'QS Takeoff'!G29</x:f>
        <x:v>15000</x:v>
      </x:c>
      <x:c r="H44" s="27" t="str">
        <x:v>Final measured service layout and materials</x:v>
      </x:c>
      <x:c r="I44" s="27" t="str">
        <x:v>Already in Base / No Add</x:v>
      </x:c>
      <x:c r="J44" s="685"/>
      <x:c r="K44" s="685"/>
      <x:c r="L44" s="682"/>
      <x:c r="M44" s="687"/>
      <x:c r="N44" s="682" t="n">
        <x:f>IF(I44="Already in Base / No Add",0,IF(I44="Unit Rate Delta",IF(OR(J44="",L44=""),"",J44*L44),IF(I44="Probability x Impact",IF(OR(M44="",L44=""),"",M44*L44),IF(I44="Fixed Allowance",O44,IF(I44="Specialist Engine",O44,IF(I44="By Others / Excluded",0,""))))))</x:f>
        <x:v>0</x:v>
      </x:c>
      <x:c r="O44" s="686"/>
      <x:c r="P44" s="685" t="str">
        <x:v>Primary</x:v>
      </x:c>
      <x:c r="Q44" s="685" t="str">
        <x:v>Yes</x:v>
      </x:c>
      <x:c r="R44" s="685" t="str">
        <x:v>ES01 direct QS</x:v>
      </x:c>
      <x:c r="S44" s="685" t="str">
        <x:v>No</x:v>
      </x:c>
      <x:c r="T44" s="682" t="n">
        <x:f>IF(S44="Yes",N(O44),0)</x:f>
        <x:v>0</x:v>
      </x:c>
      <x:c r="U44" s="27" t="str">
        <x:v>SERVICES</x:v>
      </x:c>
      <x:c r="V44" s="685" t="str">
        <x:v>No</x:v>
      </x:c>
      <x:c r="W44" s="685" t="str">
        <x:v>AMBER</x:v>
      </x:c>
      <x:c r="X44" s="683" t="str">
        <x:f>IF(AND(S44="Yes",N(O44)&gt;0,Q44&lt;&gt;"Yes"),"RED - RESIDUAL NOT DISTINCT",IF(AND(COUNTIF($E$41:$E$61,E44)&gt;1,U44=""),"RED - UNDECLARED OVERLAP",IF(COUNTIF($E$41:$E$61,E44)&gt;1,"DECLARED OVERLAP","OK")))</x:f>
        <x:v>OK</x:v>
      </x:c>
      <x:c r="Y44" s="685" t="str">
        <x:v>Yes</x:v>
      </x:c>
      <x:c r="Z44" s="683" t="str">
        <x:v>AMBER</x:v>
      </x:c>
      <x:c r="AA44" s="27" t="str">
        <x:v>Design by others; PC accepted for working tender</x:v>
      </x:c>
      <x:c r="AB44" s="27" t="str">
        <x:v>Obtain coordinated dry-service design and close RFI-08; replace ES01 PC with measured trench quantities/resources when issued.</x:v>
      </x:c>
      <x:c r="AC44" s="27" t="str">
        <x:v>Civil DWG311 - typical service trench details by others / RFI-08</x:v>
      </x:c>
    </x:row>
    <x:row r="45">
      <x:c r="A45" s="27" t="str">
        <x:v>RT05-001</x:v>
      </x:c>
      <x:c r="B45" s="27" t="str">
        <x:v>RT05</x:v>
      </x:c>
      <x:c r="C45" s="27" t="str">
        <x:v>Threshold drainage quantity is supplier-defined; product selection and outlet/interface remain unresolved</x:v>
      </x:c>
      <x:c r="D45" s="27" t="str">
        <x:v>Quantity / Scope / Lead Time</x:v>
      </x:c>
      <x:c r="E45" s="27" t="str">
        <x:v>ES03</x:v>
      </x:c>
      <x:c r="F45" s="27" t="str">
        <x:v>ES03 $40k PC retained + PlaceMakers/Allproof quoted unit rates + supplier ordering rule</x:v>
      </x:c>
      <x:c r="G45" s="682" t="n">
        <x:v>40000</x:v>
      </x:c>
      <x:c r="H45" s="27" t="str">
        <x:v>GFN vs Wedge Wire selection, outlets/downstream connection and final installation allocation</x:v>
      </x:c>
      <x:c r="I45" s="27" t="str">
        <x:v>Already in Base / No Add</x:v>
      </x:c>
      <x:c r="J45" s="685"/>
      <x:c r="K45" s="685"/>
      <x:c r="L45" s="682"/>
      <x:c r="M45" s="687"/>
      <x:c r="N45" s="682" t="n">
        <x:f>IF(I45="Already in Base / No Add",0,IF(I45="Unit Rate Delta",IF(OR(J45="",L45=""),"",J45*L45),IF(I45="Probability x Impact",IF(OR(M45="",L45=""),"",M45*L45),IF(I45="Fixed Allowance",O45,IF(I45="Specialist Engine",O45,IF(I45="By Others / Excluded",0,""))))))</x:f>
        <x:v>0</x:v>
      </x:c>
      <x:c r="O45" s="686"/>
      <x:c r="P45" s="685" t="str">
        <x:v>Primary</x:v>
      </x:c>
      <x:c r="Q45" s="685" t="str">
        <x:v>Yes</x:v>
      </x:c>
      <x:c r="R45" s="685" t="str">
        <x:v>ES03 direct QS</x:v>
      </x:c>
      <x:c r="S45" s="685" t="str">
        <x:v>No</x:v>
      </x:c>
      <x:c r="T45" s="682" t="n">
        <x:f>IF(S45="Yes",N(O45),0)</x:f>
        <x:v>0</x:v>
      </x:c>
      <x:c r="U45" s="27" t="str">
        <x:v>THRESHOLD-DRAIN</x:v>
      </x:c>
      <x:c r="V45" s="685" t="str">
        <x:v>No</x:v>
      </x:c>
      <x:c r="W45" s="685" t="str">
        <x:v>AMBER</x:v>
      </x:c>
      <x:c r="X45" s="683" t="str">
        <x:v>OK</x:v>
      </x:c>
      <x:c r="Y45" s="685" t="str">
        <x:v>Yes</x:v>
      </x:c>
      <x:c r="Z45" s="683" t="str">
        <x:v>AMBER</x:v>
      </x:c>
      <x:c r="AA45" s="27" t="str">
        <x:v>22 doors x 2m = 44m; 44 end caps. PlaceMakers material sensitivity GFN $19,280.36, Wedge Wire $37,686.88; 7-day two-person install labour sensitivity $4,592.00.</x:v>
      </x:c>
      <x:c r="AB45" s="27" t="str">
        <x:v>Confirm grate selection and downstream drainage interface, then replace ES03 PC with final direct resources. Procurement lead time confirmed at 7-8 weeks.</x:v>
      </x:c>
      <x:c r="AC45" s="27" t="str">
        <x:v>Arch A5/A12 + Allproof technical + PlaceMakers Estimate 413360 + Allproof Quote 547748 + Tracey clarification 07-Sep-2026</x:v>
      </x:c>
    </x:row>
    <x:row r="46">
      <x:c r="A46" s="27" t="str">
        <x:v>RT06-001</x:v>
      </x:c>
      <x:c r="B46" s="27" t="str">
        <x:v>RT06</x:v>
      </x:c>
      <x:c r="C46" s="27" t="str">
        <x:v>Potential AP40 reduction if 100mm base is accepted instead of 150mm</x:v>
      </x:c>
      <x:c r="D46" s="27" t="str">
        <x:v>Quantity</x:v>
      </x:c>
      <x:c r="E46" s="27" t="str">
        <x:v>PV01</x:v>
      </x:c>
      <x:c r="F46" s="27" t="str">
        <x:v>150mm AP40 included in current PV01</x:v>
      </x:c>
      <x:c r="G46" s="682" t="n">
        <x:v>68991.2064375</x:v>
      </x:c>
      <x:c r="H46" s="27" t="str">
        <x:v>Current baseline is conservative; confirmation may reduce direct cost</x:v>
      </x:c>
      <x:c r="I46" s="27" t="str">
        <x:v>Already in Base / No Add</x:v>
      </x:c>
      <x:c r="J46" s="685"/>
      <x:c r="K46" s="685"/>
      <x:c r="L46" s="682"/>
      <x:c r="M46" s="687"/>
      <x:c r="N46" s="682" t="n">
        <x:f>IF(I46="Already in Base / No Add",0,IF(I46="Unit Rate Delta",IF(OR(J46="",L46=""),"",J46*L46),IF(I46="Probability x Impact",IF(OR(M46="",L46=""),"",M46*L46),IF(I46="Fixed Allowance",O46,IF(I46="Specialist Engine",O46,IF(I46="By Others / Excluded",0,""))))))</x:f>
        <x:v>0</x:v>
      </x:c>
      <x:c r="O46" s="686"/>
      <x:c r="P46" s="685" t="str">
        <x:v>Primary</x:v>
      </x:c>
      <x:c r="Q46" s="685" t="str">
        <x:v>N/A</x:v>
      </x:c>
      <x:c r="R46" s="685" t="str">
        <x:v>PV01 direct QS</x:v>
      </x:c>
      <x:c r="S46" s="685" t="str">
        <x:v>No</x:v>
      </x:c>
      <x:c r="T46" s="682" t="n">
        <x:f>IF(S46="Yes",N(O46),0)</x:f>
        <x:v>0</x:v>
      </x:c>
      <x:c r="U46" s="27" t="str">
        <x:v>PAVEMENT-BASE</x:v>
      </x:c>
      <x:c r="V46" s="685" t="str">
        <x:v>Yes</x:v>
      </x:c>
      <x:c r="W46" s="685" t="str">
        <x:v>AMBER</x:v>
      </x:c>
      <x:c r="X46" s="683" t="str">
        <x:f>IF(AND(S46="Yes",N(O46)&gt;0,Q46&lt;&gt;"Yes"),"RED - RESIDUAL NOT DISTINCT",IF(AND(COUNTIF($E$41:$E$61,E46)&gt;1,U46=""),"RED - UNDECLARED OVERLAP",IF(COUNTIF($E$41:$E$61,E46)&gt;1,"DECLARED OVERLAP","OK")))</x:f>
        <x:v>OK</x:v>
      </x:c>
      <x:c r="Y46" s="685" t="str">
        <x:v>Yes</x:v>
      </x:c>
      <x:c r="Z46" s="683" t="str">
        <x:f>IF(LEFT(X46,3)="RED","RED",IF(OR(W46="RED",I46="RFI Hold",AND(I46="Unit Rate Delta",ISBLANK(J46))),"RED",IF(OR(W46="AMBER",LEFT(V46,5)="CHECK"),"AMBER","GREEN")))</x:f>
        <x:v>AMBER</x:v>
      </x:c>
      <x:c r="AA46" s="27" t="str">
        <x:v>Approx 49.7t AP40 material difference before haul/place/compact</x:v>
      </x:c>
      <x:c r="AB46" s="27" t="str">
        <x:v>Close RFI-11 on whether DWG311 150mm AP40 governs or generic CBR table permits 100mm; adjust PV01 direct quantity only once if confirmed.</x:v>
      </x:c>
      <x:c r="AC46" s="27" t="str">
        <x:v>Civil DWG301/311 + Geotech AK26-051AB CBR 5-6%</x:v>
      </x:c>
    </x:row>
    <x:row r="47">
      <x:c r="A47" s="27" t="str">
        <x:v>RT07-001</x:v>
      </x:c>
      <x:c r="B47" s="27" t="str">
        <x:v>RT07</x:v>
      </x:c>
      <x:c r="C47" s="27" t="str">
        <x:v>Public crossing and private access cannot be separately priced yet</x:v>
      </x:c>
      <x:c r="D47" s="27" t="str">
        <x:v>Quantity / Method</x:v>
      </x:c>
      <x:c r="E47" s="27" t="str">
        <x:v>PV02/PV03</x:v>
      </x:c>
      <x:c r="F47" s="27" t="str">
        <x:v>PV02 $18.25k PC + PG01 Traffic Safe quoted core $3,938.40</x:v>
      </x:c>
      <x:c r="G47" s="682" t="n">
        <x:v>22188.4</x:v>
      </x:c>
      <x:c r="H47" s="27" t="str">
        <x:v>Final crossing quantity, concrete placing, authority fees/FAF and any extra traffic shift only</x:v>
      </x:c>
      <x:c r="I47" s="27" t="str">
        <x:v>Already in Base / No Add</x:v>
      </x:c>
      <x:c r="J47" s="685"/>
      <x:c r="K47" s="685"/>
      <x:c r="L47" s="682"/>
      <x:c r="M47" s="687"/>
      <x:c r="N47" s="682" t="n">
        <x:f>IF(I47="Already in Base / No Add",0,IF(I47="Unit Rate Delta",IF(OR(J47="",L47=""),"",J47*L47),IF(I47="Probability x Impact",IF(OR(M47="",L47=""),"",M47*L47),IF(I47="Fixed Allowance",O47,IF(I47="Specialist Engine",O47,IF(I47="By Others / Excluded",0,""))))))</x:f>
        <x:v>0</x:v>
      </x:c>
      <x:c r="O47" s="686"/>
      <x:c r="P47" s="685" t="str">
        <x:v>Primary</x:v>
      </x:c>
      <x:c r="Q47" s="685" t="str">
        <x:v>Yes</x:v>
      </x:c>
      <x:c r="R47" s="685" t="str">
        <x:v>PV02/PV03 direct QS</x:v>
      </x:c>
      <x:c r="S47" s="685" t="str">
        <x:v>No</x:v>
      </x:c>
      <x:c r="T47" s="682" t="n">
        <x:f>IF(S47="Yes",N(O47),0)</x:f>
        <x:v>0</x:v>
      </x:c>
      <x:c r="U47" s="27" t="str">
        <x:v>VEHICLE-ACCESS</x:v>
      </x:c>
      <x:c r="V47" s="685" t="str">
        <x:v>No</x:v>
      </x:c>
      <x:c r="W47" s="685" t="str">
        <x:v>AMBER</x:v>
      </x:c>
      <x:c r="X47" s="683" t="str">
        <x:f>IF(AND(S47="Yes",N(O47)&gt;0,Q47&lt;&gt;"Yes"),"RED - RESIDUAL NOT DISTINCT",IF(AND(COUNTIF($E$41:$E$61,E47)&gt;1,U47=""),"RED - UNDECLARED OVERLAP",IF(COUNTIF($E$41:$E$61,E47)&gt;1,"DECLARED OVERLAP","OK")))</x:f>
        <x:v>OK</x:v>
      </x:c>
      <x:c r="Y47" s="685" t="str">
        <x:v>Yes</x:v>
      </x:c>
      <x:c r="Z47" s="683" t="str">
        <x:v>AMBER</x:v>
      </x:c>
      <x:c r="AA47" s="27" t="str">
        <x:v>Public crossing primary 37.7665m2; independent 40-44m2 control. Q-07 now quoted for one Stop/Go + one shoulder/pedestrian shift.</x:v>
      </x:c>
      <x:c r="AB47" s="27" t="str">
        <x:v>Close Q-05/final measure; confirm two traffic shifts are sufficient and add only evidenced exclusions.</x:v>
      </x:c>
      <x:c r="AC47" s="27" t="str">
        <x:v>Civil DWG301/331 + Traffic Assessment + Traffic Safe estimate 10-Sep-2026</x:v>
      </x:c>
    </x:row>
    <x:row r="48">
      <x:c r="A48" s="27" t="str">
        <x:v>RT08-001</x:v>
      </x:c>
      <x:c r="B48" s="27" t="str">
        <x:v>RT08</x:v>
      </x:c>
      <x:c r="C48" s="27" t="str">
        <x:v>ESC measured quantity / return geometry / material delivery / normal maintenance</x:v>
      </x:c>
      <x:c r="D48" s="27" t="str">
        <x:v>Quantity / Duration / Procurement</x:v>
      </x:c>
      <x:c r="E48" s="27" t="str">
        <x:v>ESC01</x:v>
      </x:c>
      <x:c r="F48" s="27" t="str">
        <x:v>ESC01 measured first-principles build approx $7,750.14</x:v>
      </x:c>
      <x:c r="G48" s="682" t="n">
        <x:v>7750.143268186798</x:v>
      </x:c>
      <x:c r="H48" s="27" t="str">
        <x:v>Return positions, washed aggregate delivery/product and abnormal repair only</x:v>
      </x:c>
      <x:c r="I48" s="27" t="str">
        <x:v>Already in Base / No Add</x:v>
      </x:c>
      <x:c r="J48" s="685"/>
      <x:c r="K48" s="685"/>
      <x:c r="L48" s="682"/>
      <x:c r="M48" s="687"/>
      <x:c r="N48" s="682" t="n">
        <x:v>0</x:v>
      </x:c>
      <x:c r="O48" s="686"/>
      <x:c r="P48" s="685" t="str">
        <x:v>Primary</x:v>
      </x:c>
      <x:c r="Q48" s="685" t="str">
        <x:v>Yes</x:v>
      </x:c>
      <x:c r="R48" s="685" t="str">
        <x:v>ESC01 direct QS</x:v>
      </x:c>
      <x:c r="S48" s="685" t="str">
        <x:v>No</x:v>
      </x:c>
      <x:c r="T48" s="682" t="n">
        <x:v>0</x:v>
      </x:c>
      <x:c r="U48" s="27" t="str">
        <x:v>ESC</x:v>
      </x:c>
      <x:c r="V48" s="685" t="str">
        <x:v>No</x:v>
      </x:c>
      <x:c r="W48" s="685" t="str">
        <x:v>AMBER</x:v>
      </x:c>
      <x:c r="X48" s="683" t="str">
        <x:v>OK</x:v>
      </x:c>
      <x:c r="Y48" s="685" t="str">
        <x:v>Yes</x:v>
      </x:c>
      <x:c r="Z48" s="683" t="str">
        <x:v>AMBER</x:v>
      </x:c>
      <x:c r="AA48" s="27" t="str">
        <x:v>DWG231 main fence 226.3lm measured; +8.0lm return allowance; DWG241 entrance 49m2/7.35m3; maintenance/removal resource-linked.</x:v>
      </x:c>
      <x:c r="AB48" s="27" t="str">
        <x:v>RFI-05 source gap closed. Verify returns at setout, washed aggregate/delivery and site-engineer acceptance. Progressive stabilisation assumed through sequencing/final surfaces unless separately instructed.</x:v>
      </x:c>
      <x:c r="AC48" s="27" t="str">
        <x:v>LUC60463161 stamped RC DWG231/DWG241 + RC decision + MK-ESC-001</x:v>
      </x:c>
    </x:row>
    <x:row r="49">
      <x:c r="A49" s="27" t="str">
        <x:v>RT09-001</x:v>
      </x:c>
      <x:c r="B49" s="27" t="str">
        <x:v>RT09</x:v>
      </x:c>
      <x:c r="C49" s="27" t="str">
        <x:v>OLFP cut volume and fence interface may duplicate current earthworks control</x:v>
      </x:c>
      <x:c r="D49" s="27" t="str">
        <x:v>Quantity / Responsibility</x:v>
      </x:c>
      <x:c r="E49" s="27" t="str">
        <x:v>EW04/ES04</x:v>
      </x:c>
      <x:c r="F49" s="27" t="str">
        <x:v>EW04 $3k PC + ES04 $2.5k PC</x:v>
      </x:c>
      <x:c r="G49" s="682" t="n">
        <x:f>SUM('QS Takeoff'!G16,'QS Takeoff'!G32)</x:f>
        <x:v>5500</x:v>
      </x:c>
      <x:c r="H49" s="27" t="str">
        <x:v>Final duplication/fence ownership only</x:v>
      </x:c>
      <x:c r="I49" s="27" t="str">
        <x:v>Already in Base / No Add</x:v>
      </x:c>
      <x:c r="J49" s="685"/>
      <x:c r="K49" s="685"/>
      <x:c r="L49" s="682"/>
      <x:c r="M49" s="687"/>
      <x:c r="N49" s="682" t="n">
        <x:f>IF(I49="Already in Base / No Add",0,IF(I49="Unit Rate Delta",IF(OR(J49="",L49=""),"",J49*L49),IF(I49="Probability x Impact",IF(OR(M49="",L49=""),"",M49*L49),IF(I49="Fixed Allowance",O49,IF(I49="Specialist Engine",O49,IF(I49="By Others / Excluded",0,""))))))</x:f>
        <x:v>0</x:v>
      </x:c>
      <x:c r="O49" s="686"/>
      <x:c r="P49" s="685" t="str">
        <x:v>Primary</x:v>
      </x:c>
      <x:c r="Q49" s="685" t="str">
        <x:v>Yes</x:v>
      </x:c>
      <x:c r="R49" s="685" t="str">
        <x:v>EW04/ES04 direct QS</x:v>
      </x:c>
      <x:c r="S49" s="685" t="str">
        <x:v>No</x:v>
      </x:c>
      <x:c r="T49" s="682" t="n">
        <x:f>IF(S49="Yes",N(O49),0)</x:f>
        <x:v>0</x:v>
      </x:c>
      <x:c r="U49" s="27" t="str">
        <x:v>OLFP</x:v>
      </x:c>
      <x:c r="V49" s="685" t="str">
        <x:v>No</x:v>
      </x:c>
      <x:c r="W49" s="685" t="str">
        <x:v>AMBER</x:v>
      </x:c>
      <x:c r="X49" s="683" t="str">
        <x:f>IF(AND(S49="Yes",N(O49)&gt;0,Q49&lt;&gt;"Yes"),"RED - RESIDUAL NOT DISTINCT",IF(AND(COUNTIF($E$41:$E$61,E49)&gt;1,U49=""),"RED - UNDECLARED OVERLAP",IF(COUNTIF($E$41:$E$61,E49)&gt;1,"DECLARED OVERLAP","OK")))</x:f>
        <x:v>OK</x:v>
      </x:c>
      <x:c r="Y49" s="685" t="str">
        <x:v>Yes</x:v>
      </x:c>
      <x:c r="Z49" s="683" t="str">
        <x:v>AMBER</x:v>
      </x:c>
      <x:c r="AA49" s="27" t="str">
        <x:v>94.08lm / 39.51m3 physical control</x:v>
      </x:c>
      <x:c r="AB49" s="27" t="str">
        <x:v>Close RFI-12 on OLFP duplication and boundary-fence opening/reinstatement ownership; retain EW04/ES04 PCs until confirmed.</x:v>
      </x:c>
      <x:c r="AC49" s="27" t="str">
        <x:v>Flood Assessment + Yodha RevB + measured 94.08lm control</x:v>
      </x:c>
    </x:row>
    <x:row r="50">
      <x:c r="A50" s="27" t="str">
        <x:v>RT10-001</x:v>
      </x:c>
      <x:c r="B50" s="27" t="str">
        <x:v>RT10</x:v>
      </x:c>
      <x:c r="C50" s="27" t="str">
        <x:v>Additional spotter/exclusion-zone or plant methodology may be required near overhead lines</x:v>
      </x:c>
      <x:c r="D50" s="27" t="str">
        <x:v>Methodology / Fixed Cost</x:v>
      </x:c>
      <x:c r="E50" s="27" t="str">
        <x:v>P&amp;G / affected workfronts</x:v>
      </x:c>
      <x:c r="F50" s="27" t="str">
        <x:v>Itemised PG01 includes normal spotter/exclusion-zone/site controls</x:v>
      </x:c>
      <x:c r="G50" s="682" t="n">
        <x:f>'QS Takeoff'!G3</x:f>
        <x:v>48403.4</x:v>
      </x:c>
      <x:c r="H50" s="27" t="str">
        <x:v>Abnormal shutdown/utility relocation only</x:v>
      </x:c>
      <x:c r="I50" s="27" t="str">
        <x:v>Already in Base / No Add</x:v>
      </x:c>
      <x:c r="J50" s="685"/>
      <x:c r="K50" s="685"/>
      <x:c r="L50" s="682"/>
      <x:c r="M50" s="687"/>
      <x:c r="N50" s="682" t="n">
        <x:f>IF(I50="Already in Base / No Add",0,IF(I50="Unit Rate Delta",IF(OR(J50="",L50=""),"",J50*L50),IF(I50="Probability x Impact",IF(OR(M50="",L50=""),"",M50*L50),IF(I50="Fixed Allowance",O50,IF(I50="Specialist Engine",O50,IF(I50="By Others / Excluded",0,""))))))</x:f>
        <x:v>0</x:v>
      </x:c>
      <x:c r="O50" s="686"/>
      <x:c r="P50" s="685" t="str">
        <x:v>Contributing</x:v>
      </x:c>
      <x:c r="Q50" s="685" t="str">
        <x:v>Yes</x:v>
      </x:c>
      <x:c r="R50" s="685" t="str">
        <x:v>Direct affected QS / P&amp;G once defined</x:v>
      </x:c>
      <x:c r="S50" s="685" t="str">
        <x:v>No</x:v>
      </x:c>
      <x:c r="T50" s="682" t="n">
        <x:f>IF(S50="Yes",N(O50),0)</x:f>
        <x:v>0</x:v>
      </x:c>
      <x:c r="U50" s="27" t="str">
        <x:v>POWER-CLEARANCE</x:v>
      </x:c>
      <x:c r="V50" s="685" t="str">
        <x:v>No</x:v>
      </x:c>
      <x:c r="W50" s="685" t="str">
        <x:v>AMBER</x:v>
      </x:c>
      <x:c r="X50" s="683" t="str">
        <x:f>IF(AND(S50="Yes",N(O50)&gt;0,Q50&lt;&gt;"Yes"),"RED - RESIDUAL NOT DISTINCT",IF(AND(COUNTIF($E$41:$E$61,E50)&gt;1,U50=""),"RED - UNDECLARED OVERLAP",IF(COUNTIF($E$41:$E$61,E50)&gt;1,"DECLARED OVERLAP","OK")))</x:f>
        <x:v>OK</x:v>
      </x:c>
      <x:c r="Y50" s="685" t="str">
        <x:v>Yes</x:v>
      </x:c>
      <x:c r="Z50" s="683" t="str">
        <x:v>AMBER</x:v>
      </x:c>
      <x:c r="AA50" s="27" t="str">
        <x:v>Normal construction controls only; no assumed Vector outage</x:v>
      </x:c>
      <x:c r="AB50" s="27" t="str">
        <x:v>Confirm plant travel/exclusion zones, spotter requirements and any Vector constraints during methodology/prestart; quantify only additional physical controls if required.</x:v>
      </x:c>
      <x:c r="AC50" s="27" t="str">
        <x:v>7425 overhead power-line report + site/civil plans</x:v>
      </x:c>
    </x:row>
    <x:row r="51">
      <x:c r="A51" s="27" t="str">
        <x:v>RT11-001</x:v>
      </x:c>
      <x:c r="B51" s="27" t="str">
        <x:v>RT11</x:v>
      </x:c>
      <x:c r="C51" s="27" t="str">
        <x:v>Programme / crew-workfront / hold-point changes outside the Board-adjudicated 55WD dry baseline.</x:v>
      </x:c>
      <x:c r="D51" s="27" t="str">
        <x:v>Duration / Methodology</x:v>
      </x:c>
      <x:c r="E51" s="27" t="str">
        <x:v>PG01 / Programme / CA10</x:v>
      </x:c>
      <x:c r="F51" s="27" t="str">
        <x:v>Itemised PG01 55WD dry basis + CA10 Rev29 weather $18,609.79</x:v>
      </x:c>
      <x:c r="G51" s="682" t="n">
        <x:v>52465</x:v>
      </x:c>
      <x:c r="H51" s="27" t="str">
        <x:v>Only distinct instructed/design-driven duration outside the accepted 55WD dry baseline; normal weather remains CA10.</x:v>
      </x:c>
      <x:c r="I51" s="27" t="str">
        <x:v>Already in Base / No Add</x:v>
      </x:c>
      <x:c r="J51" s="685"/>
      <x:c r="K51" s="685" t="str">
        <x:v>WD</x:v>
      </x:c>
      <x:c r="L51" s="682"/>
      <x:c r="M51" s="687"/>
      <x:c r="N51" s="682" t="n">
        <x:v>0</x:v>
      </x:c>
      <x:c r="O51" s="686"/>
      <x:c r="P51" s="685" t="str">
        <x:v>Primary</x:v>
      </x:c>
      <x:c r="Q51" s="685" t="str">
        <x:v>Yes</x:v>
      </x:c>
      <x:c r="R51" s="685" t="str">
        <x:v>PG01 / CA11 only if a distinct non-weather extension is later evidenced</x:v>
      </x:c>
      <x:c r="S51" s="685" t="str">
        <x:v>No</x:v>
      </x:c>
      <x:c r="T51" s="682" t="n">
        <x:v>0</x:v>
      </x:c>
      <x:c r="U51" s="27" t="str">
        <x:v>PROGRAMME-TIME</x:v>
      </x:c>
      <x:c r="V51" s="685" t="str">
        <x:v>No</x:v>
      </x:c>
      <x:c r="W51" s="685" t="str">
        <x:v>AMBER</x:v>
      </x:c>
      <x:c r="X51" s="683" t="str">
        <x:v>OK</x:v>
      </x:c>
      <x:c r="Y51" s="685" t="str">
        <x:v>Yes</x:v>
      </x:c>
      <x:c r="Z51" s="683" t="str">
        <x:v>AMBER</x:v>
      </x:c>
      <x:c r="AA51" s="27" t="str">
        <x:v>55WD Board-adjudicated dry programme plus Rev29 8.829WD normal-weather delay. Zero-cost programme controls prevent duplicate productive-cost uplift.</x:v>
      </x:c>
      <x:c r="AB51" s="27" t="str">
        <x:v>Confirm actual start/calendar, Q-07 windows and Q-05 concrete productivity; rerun programme/weather on material changes.</x:v>
      </x:c>
      <x:c r="AC51" s="27" t="str">
        <x:v>Formal ERB-01 to ERB-09 + Rev29 weather reconciliation</x:v>
      </x:c>
    </x:row>
    <x:row r="52">
      <x:c r="A52" s="27" t="str">
        <x:v>RT13-001</x:v>
      </x:c>
      <x:c r="B52" s="27" t="str">
        <x:v>RT13</x:v>
      </x:c>
      <x:c r="C52" s="27" t="str">
        <x:v>Concrete placing labour build and programme duration are not currently on a demonstrably like-for-like productivity basis.</x:v>
      </x:c>
      <x:c r="D52" s="27" t="str">
        <x:v>Productivity / Duration</x:v>
      </x:c>
      <x:c r="E52" s="27" t="str">
        <x:v>PV01 / Programme</x:v>
      </x:c>
      <x:c r="F52" s="27" t="str">
        <x:v>PV01 concrete labour direct resource build + 10WD programme control</x:v>
      </x:c>
      <x:c r="G52" s="682" t="n">
        <x:f>'QS Takeoff'!G23</x:f>
        <x:v>77257.66088125</x:v>
      </x:c>
      <x:c r="H52" s="27" t="str">
        <x:v>Q-05 aligned crew/productivity/pour methodology only</x:v>
      </x:c>
      <x:c r="I52" s="27" t="str">
        <x:v>RFI Hold</x:v>
      </x:c>
      <x:c r="J52" s="685"/>
      <x:c r="K52" s="685" t="str">
        <x:v>hr</x:v>
      </x:c>
      <x:c r="L52" s="682"/>
      <x:c r="M52" s="687"/>
      <x:c r="N52" s="682" t="n">
        <x:v>0</x:v>
      </x:c>
      <x:c r="O52" s="686"/>
      <x:c r="P52" s="685" t="str">
        <x:v>Primary</x:v>
      </x:c>
      <x:c r="Q52" s="685" t="str">
        <x:v>Yes</x:v>
      </x:c>
      <x:c r="R52" s="685" t="str">
        <x:v>PV01 Resource Build-Up / Programme once Q-05 returns</x:v>
      </x:c>
      <x:c r="S52" s="685" t="str">
        <x:v>No</x:v>
      </x:c>
      <x:c r="T52" s="682" t="n">
        <x:v>0</x:v>
      </x:c>
      <x:c r="U52" s="27" t="str">
        <x:v>PV01-CONCRETE-PROD</x:v>
      </x:c>
      <x:c r="V52" s="685" t="str">
        <x:v>No</x:v>
      </x:c>
      <x:c r="W52" s="685" t="str">
        <x:v>RED</x:v>
      </x:c>
      <x:c r="X52" s="683" t="str">
        <x:v>OK</x:v>
      </x:c>
      <x:c r="Y52" s="685" t="str">
        <x:v>No</x:v>
      </x:c>
      <x:c r="Z52" s="683" t="str">
        <x:v>RED</x:v>
      </x:c>
      <x:c r="AA52" s="27" t="str">
        <x:v>Current Rev29 line: 478.35m2 / 3m2/hr = 159.45 workfront hours; 3-person labour factor drives 478.35 labour-hours. Accepted PV01 programme = 10WD incl base preparation. These are not reconciled.</x:v>
      </x:c>
      <x:c r="AB52" s="27" t="str">
        <x:v>Do not change price or programme merely to make them match. Normalise Q-05 quote by crew, hours/day, pour sequence, pump/boxing/joints and concrete-supply exclusions, then update source once.</x:v>
      </x:c>
      <x:c r="AC52" s="27" t="str">
        <x:v>PV01 Resource Build-Up + Programme Export + ERB-06/08 challenge + Q-05 pending</x:v>
      </x:c>
    </x:row>
    <x:row r="53">
      <x:c r="A53" s="27"/>
      <x:c r="B53" s="27"/>
      <x:c r="C53" s="27"/>
      <x:c r="D53" s="27"/>
      <x:c r="E53" s="27"/>
      <x:c r="F53" s="27"/>
      <x:c r="G53" s="682"/>
      <x:c r="H53" s="27"/>
      <x:c r="I53" s="27"/>
      <x:c r="J53" s="685"/>
      <x:c r="K53" s="685"/>
      <x:c r="L53" s="682"/>
      <x:c r="M53" s="687"/>
      <x:c r="N53" s="682" t="str">
        <x:f>IF(I53="Already in Base / No Add",0,IF(I53="Unit Rate Delta",IF(OR(J53="",L53=""),"",J53*L53),IF(I53="Probability x Impact",IF(OR(M53="",L53=""),"",M53*L53),IF(I53="Fixed Allowance",O53,IF(I53="Specialist Engine",O53,IF(I53="By Others / Excluded",0,""))))))</x:f>
      </x:c>
      <x:c r="O53" s="686"/>
      <x:c r="P53" s="685"/>
      <x:c r="Q53" s="685"/>
      <x:c r="R53" s="685"/>
      <x:c r="S53" s="685"/>
      <x:c r="T53" s="682" t="n">
        <x:f>IF(S53="Yes",N(O53),0)</x:f>
        <x:v>0</x:v>
      </x:c>
      <x:c r="U53" s="27"/>
      <x:c r="V53" s="685"/>
      <x:c r="W53" s="685"/>
      <x:c r="X53" s="683" t="str">
        <x:f>IF(AND(S53="Yes",N(O53)&gt;0,Q53&lt;&gt;"Yes"),"RED - RESIDUAL NOT DISTINCT",IF(AND(COUNTIF($E$41:$E$61,E53)&gt;1,U53=""),"RED - UNDECLARED OVERLAP",IF(COUNTIF($E$41:$E$61,E53)&gt;1,"DECLARED OVERLAP","OK")))</x:f>
        <x:v>OK</x:v>
      </x:c>
      <x:c r="Y53" s="685"/>
      <x:c r="Z53" s="683" t="str">
        <x:f>IF(LEFT(X53,3)="RED","RED",IF(OR(W53="RED",I53="RFI Hold",AND(I53="Unit Rate Delta",ISBLANK(J53))),"RED",IF(OR(W53="AMBER",LEFT(V53,5)="CHECK"),"AMBER","GREEN")))</x:f>
        <x:v>GREEN</x:v>
      </x:c>
      <x:c r="AA53" s="27"/>
      <x:c r="AB53" s="27"/>
      <x:c r="AC53" s="27"/>
    </x:row>
    <x:row r="54" ht="63.75" customHeight="1">
      <x:c r="A54" s="27" t="str">
        <x:v>RT14-001</x:v>
      </x:c>
      <x:c r="B54" s="27" t="str">
        <x:v>RT14</x:v>
      </x:c>
      <x:c r="C54" s="27" t="str">
        <x:v>Current 568m2 pavement is closed; ramp/entry/stairs ownership remains unresolved under latest Rev17</x:v>
      </x:c>
      <x:c r="D54" s="27" t="str">
        <x:v>Quantity / Scope / Responsibility</x:v>
      </x:c>
      <x:c r="E54" s="27" t="str">
        <x:v>PV01/PV04 + OWNER TBC ramp/entry/stairs</x:v>
      </x:c>
      <x:c r="F54" s="27" t="str">
        <x:v>568m2 Rev17 pavement adopted in PV01/PV04; prior 33m2 is reference only and not adopted</x:v>
      </x:c>
      <x:c r="G54" s="708" t="n">
        <x:v>98284.3133332756</x:v>
      </x:c>
      <x:c r="H54" s="27" t="str">
        <x:v>Owner/build-up and current Rev17 remeasurement only</x:v>
      </x:c>
      <x:c r="I54" s="27" t="str">
        <x:v>RFI Hold</x:v>
      </x:c>
      <x:c r="J54" s="53" t="n">
        <x:v>33</x:v>
      </x:c>
      <x:c r="K54" s="53" t="str">
        <x:v>m2 reference</x:v>
      </x:c>
      <x:c r="L54" s="708"/>
      <x:c r="M54" s="62"/>
      <x:c r="N54" s="708" t="n">
        <x:v>0</x:v>
      </x:c>
      <x:c r="O54" s="710"/>
      <x:c r="P54" s="53" t="str">
        <x:v>Primary</x:v>
      </x:c>
      <x:c r="Q54" s="53" t="str">
        <x:v>Yes</x:v>
      </x:c>
      <x:c r="R54" s="53" t="str">
        <x:v>Future QS/component line only if assigned to Siteworks</x:v>
      </x:c>
      <x:c r="S54" s="53" t="str">
        <x:v>No</x:v>
      </x:c>
      <x:c r="T54" s="708" t="n">
        <x:v>0</x:v>
      </x:c>
      <x:c r="U54" s="27" t="str">
        <x:v>PAVEMENT-RC-REVISION</x:v>
      </x:c>
      <x:c r="V54" s="53" t="str">
        <x:v>No</x:v>
      </x:c>
      <x:c r="W54" s="53" t="str">
        <x:v>RED</x:v>
      </x:c>
      <x:c r="X54" s="81" t="str">
        <x:v>OK</x:v>
      </x:c>
      <x:c r="Y54" s="53" t="str">
        <x:v>No</x:v>
      </x:c>
      <x:c r="Z54" s="81" t="str">
        <x:v>RED</x:v>
      </x:c>
      <x:c r="AA54" s="27" t="str">
        <x:v>Rev17 confirms 568m2 incl paths. A15 shows current stair/ramp/landing geometry; prior stamped RC stated 33m2 but Rev17 omits that area.</x:v>
      </x:c>
      <x:c r="AB54" s="27" t="str">
        <x:v>Confirm owner. If Siteworks, remeasure Rev17 A15 and price thickness/reinforcement/base/finish/handrail interfaces.</x:v>
      </x:c>
      <x:c r="AC54" s="27" t="str">
        <x:v>Architectural Rev17 + prior stamped RC + Rhys TPW 11-Sep</x:v>
      </x:c>
    </x:row>
    <x:row r="55">
      <x:c r="A55" s="27" t="str">
        <x:v>RT15-001</x:v>
      </x:c>
      <x:c r="B55" s="27" t="str">
        <x:v>RT15</x:v>
      </x:c>
      <x:c r="C55" s="27" t="str">
        <x:v>Abnormal subsurface conditions materially differing from AK26-051AB Rev0 normal tender baseline</x:v>
      </x:c>
      <x:c r="D55" s="27" t="str">
        <x:v>Ground condition / Method / Quantity</x:v>
      </x:c>
      <x:c r="E55" s="27" t="str">
        <x:v>EW01-EW09 / foundations / CA09 / TC01</x:v>
      </x:c>
      <x:c r="F55" s="27" t="str">
        <x:v>Normal earthworks resources + EW08 incidental disposal PC + CA09 $3,000 + TC01 $4,600</x:v>
      </x:c>
      <x:c r="G55" s="682" t="n">
        <x:v>0</x:v>
      </x:c>
      <x:c r="H55" s="27" t="str">
        <x:v>Rock/hard bands requiring ripping/breaking; unexpected soft/organic/unsuitable ground undercut/remediation; contamination/managed material; buried obstructions; abnormal groundwater beyond CA09</x:v>
      </x:c>
      <x:c r="I55" s="27" t="str">
        <x:v>Already in Base / No Add</x:v>
      </x:c>
      <x:c r="J55" s="685"/>
      <x:c r="K55" s="685"/>
      <x:c r="L55" s="682"/>
      <x:c r="M55" s="687"/>
      <x:c r="N55" s="682" t="n">
        <x:v>0</x:v>
      </x:c>
      <x:c r="O55" s="686" t="n">
        <x:v>0</x:v>
      </x:c>
      <x:c r="P55" s="685" t="str">
        <x:v>Primary</x:v>
      </x:c>
      <x:c r="Q55" s="685" t="str">
        <x:v>Yes</x:v>
      </x:c>
      <x:c r="R55" s="685" t="str">
        <x:v>Direct QS / CA09 / specialist treatment only if evidenced</x:v>
      </x:c>
      <x:c r="S55" s="685" t="str">
        <x:v>No</x:v>
      </x:c>
      <x:c r="T55" s="682" t="n">
        <x:v>0</x:v>
      </x:c>
      <x:c r="U55" s="27" t="str">
        <x:v>GROUND-GEOTECH</x:v>
      </x:c>
      <x:c r="V55" s="685" t="str">
        <x:v>No</x:v>
      </x:c>
      <x:c r="W55" s="685" t="str">
        <x:v>AMBER - PRIMARY GIR / INHERENT SITE VARIABILITY</x:v>
      </x:c>
      <x:c r="X55" s="683" t="str">
        <x:v>OK</x:v>
      </x:c>
      <x:c r="Y55" s="685" t="str">
        <x:v>Yes</x:v>
      </x:c>
      <x:c r="Z55" s="683" t="str">
        <x:v>AMBER</x:v>
      </x:c>
      <x:c r="AA55" s="27" t="str">
        <x:v>AK26-051AB Rev0: 0.3-0.4m topsoil; residual ECBF &gt;4m; predominantly very stiff to hard soils; excavation expected readily with normal plant; groundwater not encountered in April; subsurface conditions may vary between investigation points.</x:v>
      </x:c>
      <x:c r="AB55" s="27" t="str">
        <x:v>No new dollar now. If materially different ground is identified before award, quantify and update direct cost/Risk Truth. If encountered after award, manage under contract/variation provisions subject to entitlement.</x:v>
      </x:c>
      <x:c r="AC55" s="27" t="str">
        <x:v>Gibb Ritchie AK26-051AB Rev0 16-Apr-2026 + Gibb Ritchie AK26-051AD Rev0 08-Sep-2026</x:v>
      </x:c>
      <x:c r="AD55"/>
    </x:row>
    <x:row r="56">
      <x:c r="A56" s="27"/>
      <x:c r="B56" s="27"/>
      <x:c r="C56" s="27"/>
      <x:c r="D56" s="27"/>
      <x:c r="E56" s="27"/>
      <x:c r="F56" s="27"/>
      <x:c r="G56" s="682"/>
      <x:c r="H56" s="27"/>
      <x:c r="I56" s="27"/>
      <x:c r="J56" s="685"/>
      <x:c r="K56" s="685"/>
      <x:c r="L56" s="682"/>
      <x:c r="M56" s="687"/>
      <x:c r="N56" s="682" t="str">
        <x:f>IF(I56="Already in Base / No Add",0,IF(I56="Unit Rate Delta",IF(OR(J56="",L56=""),"",J56*L56),IF(I56="Probability x Impact",IF(OR(M56="",L56=""),"",M56*L56),IF(I56="Fixed Allowance",O56,IF(I56="Specialist Engine",O56,IF(I56="By Others / Excluded",0,""))))))</x:f>
      </x:c>
      <x:c r="O56" s="686"/>
      <x:c r="P56" s="685"/>
      <x:c r="Q56" s="685"/>
      <x:c r="R56" s="685"/>
      <x:c r="S56" s="685"/>
      <x:c r="T56" s="682" t="n">
        <x:f>IF(S56="Yes",N(O56),0)</x:f>
        <x:v>0</x:v>
      </x:c>
      <x:c r="U56" s="27"/>
      <x:c r="V56" s="685"/>
      <x:c r="W56" s="685"/>
      <x:c r="X56" s="683" t="str">
        <x:f>IF(AND(S56="Yes",N(O56)&gt;0,Q56&lt;&gt;"Yes"),"RED - RESIDUAL NOT DISTINCT",IF(AND(COUNTIF($E$41:$E$61,E56)&gt;1,U56=""),"RED - UNDECLARED OVERLAP",IF(COUNTIF($E$41:$E$61,E56)&gt;1,"DECLARED OVERLAP","OK")))</x:f>
        <x:v>OK</x:v>
      </x:c>
      <x:c r="Y56" s="685"/>
      <x:c r="Z56" s="683" t="str">
        <x:f>IF(LEFT(X56,3)="RED","RED",IF(OR(W56="RED",I56="RFI Hold",AND(I56="Unit Rate Delta",ISBLANK(J56))),"RED",IF(OR(W56="AMBER",LEFT(V56,5)="CHECK"),"AMBER","GREEN")))</x:f>
        <x:v>GREEN</x:v>
      </x:c>
      <x:c r="AA56" s="27"/>
      <x:c r="AB56" s="27"/>
      <x:c r="AC56" s="27"/>
    </x:row>
    <x:row r="57">
      <x:c r="A57" s="27"/>
      <x:c r="B57" s="27"/>
      <x:c r="C57" s="27"/>
      <x:c r="D57" s="27"/>
      <x:c r="E57" s="27"/>
      <x:c r="F57" s="27"/>
      <x:c r="G57" s="682"/>
      <x:c r="H57" s="27"/>
      <x:c r="I57" s="27"/>
      <x:c r="J57" s="685"/>
      <x:c r="K57" s="685"/>
      <x:c r="L57" s="682"/>
      <x:c r="M57" s="687"/>
      <x:c r="N57" s="682" t="str">
        <x:f>IF(I57="Already in Base / No Add",0,IF(I57="Unit Rate Delta",IF(OR(J57="",L57=""),"",J57*L57),IF(I57="Probability x Impact",IF(OR(M57="",L57=""),"",M57*L57),IF(I57="Fixed Allowance",O57,IF(I57="Specialist Engine",O57,IF(I57="By Others / Excluded",0,""))))))</x:f>
      </x:c>
      <x:c r="O57" s="686"/>
      <x:c r="P57" s="685"/>
      <x:c r="Q57" s="685"/>
      <x:c r="R57" s="685"/>
      <x:c r="S57" s="685"/>
      <x:c r="T57" s="682" t="n">
        <x:f>IF(S57="Yes",N(O57),0)</x:f>
        <x:v>0</x:v>
      </x:c>
      <x:c r="U57" s="27"/>
      <x:c r="V57" s="685"/>
      <x:c r="W57" s="685"/>
      <x:c r="X57" s="683" t="str">
        <x:f>IF(AND(S57="Yes",N(O57)&gt;0,Q57&lt;&gt;"Yes"),"RED - RESIDUAL NOT DISTINCT",IF(AND(COUNTIF($E$41:$E$61,E57)&gt;1,U57=""),"RED - UNDECLARED OVERLAP",IF(COUNTIF($E$41:$E$61,E57)&gt;1,"DECLARED OVERLAP","OK")))</x:f>
        <x:v>OK</x:v>
      </x:c>
      <x:c r="Y57" s="685"/>
      <x:c r="Z57" s="683" t="str">
        <x:f>IF(LEFT(X57,3)="RED","RED",IF(OR(W57="RED",I57="RFI Hold",AND(I57="Unit Rate Delta",ISBLANK(J57))),"RED",IF(OR(W57="AMBER",LEFT(V57,5)="CHECK"),"AMBER","GREEN")))</x:f>
        <x:v>GREEN</x:v>
      </x:c>
      <x:c r="AA57" s="27"/>
      <x:c r="AB57" s="27"/>
      <x:c r="AC57" s="27"/>
    </x:row>
    <x:row r="58">
      <x:c r="A58" s="27"/>
      <x:c r="B58" s="27"/>
      <x:c r="C58" s="27"/>
      <x:c r="D58" s="27"/>
      <x:c r="E58" s="27"/>
      <x:c r="F58" s="27"/>
      <x:c r="G58" s="682"/>
      <x:c r="H58" s="27"/>
      <x:c r="I58" s="27"/>
      <x:c r="J58" s="685"/>
      <x:c r="K58" s="685"/>
      <x:c r="L58" s="682"/>
      <x:c r="M58" s="687"/>
      <x:c r="N58" s="682" t="str">
        <x:f>IF(I58="Already in Base / No Add",0,IF(I58="Unit Rate Delta",IF(OR(J58="",L58=""),"",J58*L58),IF(I58="Probability x Impact",IF(OR(M58="",L58=""),"",M58*L58),IF(I58="Fixed Allowance",O58,IF(I58="Specialist Engine",O58,IF(I58="By Others / Excluded",0,""))))))</x:f>
      </x:c>
      <x:c r="O58" s="686"/>
      <x:c r="P58" s="685"/>
      <x:c r="Q58" s="685"/>
      <x:c r="R58" s="685"/>
      <x:c r="S58" s="685"/>
      <x:c r="T58" s="682" t="n">
        <x:f>IF(S58="Yes",N(O58),0)</x:f>
        <x:v>0</x:v>
      </x:c>
      <x:c r="U58" s="27"/>
      <x:c r="V58" s="685"/>
      <x:c r="W58" s="685"/>
      <x:c r="X58" s="683" t="str">
        <x:f>IF(AND(S58="Yes",N(O58)&gt;0,Q58&lt;&gt;"Yes"),"RED - RESIDUAL NOT DISTINCT",IF(AND(COUNTIF($E$41:$E$61,E58)&gt;1,U58=""),"RED - UNDECLARED OVERLAP",IF(COUNTIF($E$41:$E$61,E58)&gt;1,"DECLARED OVERLAP","OK")))</x:f>
        <x:v>OK</x:v>
      </x:c>
      <x:c r="Y58" s="685"/>
      <x:c r="Z58" s="683" t="str">
        <x:f>IF(LEFT(X58,3)="RED","RED",IF(OR(W58="RED",I58="RFI Hold",AND(I58="Unit Rate Delta",ISBLANK(J58))),"RED",IF(OR(W58="AMBER",LEFT(V58,5)="CHECK"),"AMBER","GREEN")))</x:f>
        <x:v>GREEN</x:v>
      </x:c>
      <x:c r="AA58" s="27"/>
      <x:c r="AB58" s="27"/>
      <x:c r="AC58" s="27"/>
    </x:row>
    <x:row r="59">
      <x:c r="A59" s="27"/>
      <x:c r="B59" s="27"/>
      <x:c r="C59" s="27"/>
      <x:c r="D59" s="27"/>
      <x:c r="E59" s="27"/>
      <x:c r="F59" s="27"/>
      <x:c r="G59" s="682"/>
      <x:c r="H59" s="27"/>
      <x:c r="I59" s="27"/>
      <x:c r="J59" s="685"/>
      <x:c r="K59" s="685"/>
      <x:c r="L59" s="682"/>
      <x:c r="M59" s="687"/>
      <x:c r="N59" s="682" t="str">
        <x:f>IF(I59="Already in Base / No Add",0,IF(I59="Unit Rate Delta",IF(OR(J59="",L59=""),"",J59*L59),IF(I59="Probability x Impact",IF(OR(M59="",L59=""),"",M59*L59),IF(I59="Fixed Allowance",O59,IF(I59="Specialist Engine",O59,IF(I59="By Others / Excluded",0,""))))))</x:f>
      </x:c>
      <x:c r="O59" s="686"/>
      <x:c r="P59" s="685"/>
      <x:c r="Q59" s="685"/>
      <x:c r="R59" s="685"/>
      <x:c r="S59" s="685"/>
      <x:c r="T59" s="682" t="n">
        <x:f>IF(S59="Yes",N(O59),0)</x:f>
        <x:v>0</x:v>
      </x:c>
      <x:c r="U59" s="27"/>
      <x:c r="V59" s="685"/>
      <x:c r="W59" s="685"/>
      <x:c r="X59" s="683" t="str">
        <x:f>IF(AND(S59="Yes",N(O59)&gt;0,Q59&lt;&gt;"Yes"),"RED - RESIDUAL NOT DISTINCT",IF(AND(COUNTIF($E$41:$E$61,E59)&gt;1,U59=""),"RED - UNDECLARED OVERLAP",IF(COUNTIF($E$41:$E$61,E59)&gt;1,"DECLARED OVERLAP","OK")))</x:f>
        <x:v>OK</x:v>
      </x:c>
      <x:c r="Y59" s="685"/>
      <x:c r="Z59" s="683" t="str">
        <x:f>IF(LEFT(X59,3)="RED","RED",IF(OR(W59="RED",I59="RFI Hold",AND(I59="Unit Rate Delta",ISBLANK(J59))),"RED",IF(OR(W59="AMBER",LEFT(V59,5)="CHECK"),"AMBER","GREEN")))</x:f>
        <x:v>GREEN</x:v>
      </x:c>
      <x:c r="AA59" s="27"/>
      <x:c r="AB59" s="27"/>
      <x:c r="AC59" s="27"/>
    </x:row>
    <x:row r="60">
      <x:c r="A60" s="27"/>
      <x:c r="B60" s="27"/>
      <x:c r="C60" s="27"/>
      <x:c r="D60" s="27"/>
      <x:c r="E60" s="27"/>
      <x:c r="F60" s="27"/>
      <x:c r="G60" s="682"/>
      <x:c r="H60" s="27"/>
      <x:c r="I60" s="27"/>
      <x:c r="J60" s="685"/>
      <x:c r="K60" s="685"/>
      <x:c r="L60" s="682"/>
      <x:c r="M60" s="687"/>
      <x:c r="N60" s="682" t="str">
        <x:f>IF(I60="Already in Base / No Add",0,IF(I60="Unit Rate Delta",IF(OR(J60="",L60=""),"",J60*L60),IF(I60="Probability x Impact",IF(OR(M60="",L60=""),"",M60*L60),IF(I60="Fixed Allowance",O60,IF(I60="Specialist Engine",O60,IF(I60="By Others / Excluded",0,""))))))</x:f>
      </x:c>
      <x:c r="O60" s="686"/>
      <x:c r="P60" s="685"/>
      <x:c r="Q60" s="685"/>
      <x:c r="R60" s="685"/>
      <x:c r="S60" s="685"/>
      <x:c r="T60" s="682" t="n">
        <x:f>IF(S60="Yes",N(O60),0)</x:f>
        <x:v>0</x:v>
      </x:c>
      <x:c r="U60" s="27"/>
      <x:c r="V60" s="685"/>
      <x:c r="W60" s="685"/>
      <x:c r="X60" s="683" t="str">
        <x:f>IF(AND(S60="Yes",N(O60)&gt;0,Q60&lt;&gt;"Yes"),"RED - RESIDUAL NOT DISTINCT",IF(AND(COUNTIF($E$41:$E$61,E60)&gt;1,U60=""),"RED - UNDECLARED OVERLAP",IF(COUNTIF($E$41:$E$61,E60)&gt;1,"DECLARED OVERLAP","OK")))</x:f>
        <x:v>OK</x:v>
      </x:c>
      <x:c r="Y60" s="685"/>
      <x:c r="Z60" s="683" t="str">
        <x:f>IF(LEFT(X60,3)="RED","RED",IF(OR(W60="RED",I60="RFI Hold",AND(I60="Unit Rate Delta",ISBLANK(J60))),"RED",IF(OR(W60="AMBER",LEFT(V60,5)="CHECK"),"AMBER","GREEN")))</x:f>
        <x:v>GREEN</x:v>
      </x:c>
      <x:c r="AA60" s="27"/>
      <x:c r="AB60" s="27"/>
      <x:c r="AC60" s="27"/>
    </x:row>
    <x:row r="61">
      <x:c r="A61" s="27" t="str">
        <x:v>WX01-001</x:v>
      </x:c>
      <x:c r="B61" s="27" t="str">
        <x:v>WX01</x:v>
      </x:c>
      <x:c r="C61" s="27" t="str">
        <x:v>Normal foreseeable weather productivity / critical-path exposure</x:v>
      </x:c>
      <x:c r="D61" s="27" t="str">
        <x:v>Productivity / Duration</x:v>
      </x:c>
      <x:c r="E61" s="27" t="str">
        <x:v>CA10</x:v>
      </x:c>
      <x:c r="F61" s="27" t="str">
        <x:v>CA10 current formula-equivalent Weather Engine $18,204.69</x:v>
      </x:c>
      <x:c r="G61" s="682" t="n">
        <x:v>18204.688900072088</x:v>
      </x:c>
      <x:c r="H61" s="27" t="str">
        <x:v>Task factors remain AMBER; actual start/calendar is a rerun trigger rather than an unpriced residual.</x:v>
      </x:c>
      <x:c r="I61" s="27" t="str">
        <x:v>Already in Base / No Add</x:v>
      </x:c>
      <x:c r="J61" s="685"/>
      <x:c r="K61" s="685" t="str">
        <x:v>LS</x:v>
      </x:c>
      <x:c r="L61" s="682"/>
      <x:c r="M61" s="687"/>
      <x:c r="N61" s="682" t="n">
        <x:v>0</x:v>
      </x:c>
      <x:c r="O61" s="686" t="n">
        <x:v>18204.688900072088</x:v>
      </x:c>
      <x:c r="P61" s="685" t="str">
        <x:v>Primary</x:v>
      </x:c>
      <x:c r="Q61" s="685" t="str">
        <x:v>N/A</x:v>
      </x:c>
      <x:c r="R61" s="685" t="str">
        <x:v>CA10</x:v>
      </x:c>
      <x:c r="S61" s="685" t="str">
        <x:v>No</x:v>
      </x:c>
      <x:c r="T61" s="682" t="n">
        <x:f>IF(S61="Yes",N(O61),0)</x:f>
        <x:v>0</x:v>
      </x:c>
      <x:c r="U61" s="27" t="str">
        <x:v>WEATHER-PROGRAMME</x:v>
      </x:c>
      <x:c r="V61" s="685" t="str">
        <x:v>No</x:v>
      </x:c>
      <x:c r="W61" s="685" t="str">
        <x:v>AMBER</x:v>
      </x:c>
      <x:c r="X61" s="683" t="str">
        <x:f>IF(AND(S61="Yes",N(O61)&gt;0,Q61&lt;&gt;"Yes"),"RED - RESIDUAL NOT DISTINCT",IF(AND(COUNTIF($E$41:$E$61,E61)&gt;1,U61=""),"RED - UNDECLARED OVERLAP",IF(COUNTIF($E$41:$E$61,E61)&gt;1,"DECLARED OVERLAP","OK")))</x:f>
        <x:v>OK</x:v>
      </x:c>
      <x:c r="Y61" s="685" t="str">
        <x:v>Yes</x:v>
      </x:c>
      <x:c r="Z61" s="683" t="str">
        <x:v>AMBER</x:v>
      </x:c>
      <x:c r="AA61" s="27" t="str">
        <x:v>01-Oct-2026 / 55WD current formula-equivalent Rev2 run: direct $12,458.56, 8.829 critical-path WD, $584/day supervision, $295/week facilities, 2 additional hire weeks; CA10 $18,204.69. Wind excluded.</x:v>
      </x:c>
      <x:c r="AB61" s="27" t="str">
        <x:v>Rerun on confirmed actual start/calendar, critical-path, sequence or weather-exposed resource change.</x:v>
      </x:c>
      <x:c r="AC61" s="27" t="str">
        <x:v>Weather Risk current basis + NZ Weather Risk Estimating Tool Rev2 exact formulas / NIWA 1991-2020 Auckland normals</x:v>
      </x:c>
    </x:row>
    <x:row r="64">
      <x:c r="A64" s="725" t="str">
        <x:v>PERMANENT MASTER RELEASE RULES</x:v>
      </x:c>
      <x:c r="B64" s="725"/>
      <x:c r="C64" s="725"/>
      <x:c r="D64" s="725"/>
      <x:c r="E64" s="725"/>
      <x:c r="F64"/>
      <x:c r="G64"/>
      <x:c r="H64"/>
      <x:c r="I64"/>
      <x:c r="J64"/>
      <x:c r="K64"/>
      <x:c r="L64"/>
      <x:c r="M64"/>
      <x:c r="N64"/>
      <x:c r="O64"/>
      <x:c r="P64"/>
      <x:c r="Q64"/>
      <x:c r="R64"/>
      <x:c r="S64"/>
      <x:c r="T64"/>
      <x:c r="U64"/>
      <x:c r="V64"/>
      <x:c r="W64"/>
      <x:c r="X64"/>
      <x:c r="Y64"/>
      <x:c r="Z64"/>
      <x:c r="AA64"/>
      <x:c r="AB64"/>
      <x:c r="AC64"/>
    </x:row>
    <x:row r="65">
      <x:c r="A65" s="27" t="str">
        <x:v>Rule 1</x:v>
      </x:c>
      <x:c r="B65" s="27" t="str">
        <x:v>Likelihood / impact prioritise management; they do not create dollars automatically.</x:v>
      </x:c>
      <x:c r="C65" s="27"/>
      <x:c r="D65" s="27"/>
      <x:c r="E65" s="27"/>
      <x:c r="F65"/>
      <x:c r="G65"/>
      <x:c r="H65"/>
      <x:c r="I65"/>
      <x:c r="J65"/>
      <x:c r="K65"/>
      <x:c r="L65"/>
      <x:c r="M65"/>
      <x:c r="N65"/>
      <x:c r="O65"/>
      <x:c r="P65"/>
      <x:c r="Q65"/>
      <x:c r="R65"/>
      <x:c r="S65"/>
      <x:c r="T65"/>
      <x:c r="U65"/>
      <x:c r="V65"/>
      <x:c r="W65"/>
      <x:c r="X65"/>
      <x:c r="Y65"/>
      <x:c r="Z65"/>
      <x:c r="AA65"/>
      <x:c r="AB65"/>
      <x:c r="AC65"/>
    </x:row>
    <x:row r="66">
      <x:c r="A66" t="str">
        <x:v>Rule 2</x:v>
      </x:c>
      <x:c r="B66" t="str">
        <x:v>Every risk exposure identifies where the risk is already treated before residual cost is considered.</x:v>
      </x:c>
      <x:c r="C66"/>
      <x:c r="D66"/>
      <x:c r="E66"/>
      <x:c r="F66"/>
      <x:c r="G66"/>
      <x:c r="H66"/>
      <x:c r="I66"/>
      <x:c r="J66"/>
      <x:c r="K66"/>
      <x:c r="L66"/>
      <x:c r="M66"/>
      <x:c r="N66"/>
      <x:c r="O66"/>
      <x:c r="P66"/>
      <x:c r="Q66"/>
      <x:c r="R66"/>
      <x:c r="S66"/>
      <x:c r="T66"/>
      <x:c r="U66"/>
      <x:c r="V66"/>
      <x:c r="W66"/>
      <x:c r="X66"/>
      <x:c r="Y66"/>
      <x:c r="Z66"/>
      <x:c r="AA66"/>
      <x:c r="AB66"/>
      <x:c r="AC66"/>
    </x:row>
    <x:row r="67">
      <x:c r="A67" s="719" t="str">
        <x:v>Rule 3</x:v>
      </x:c>
      <x:c r="B67" s="719" t="str">
        <x:v>Quantifiable physical consequences return to Resource Build-Up / QS Takeoff.</x:v>
      </x:c>
      <x:c r="C67" s="719"/>
      <x:c r="D67" s="719"/>
      <x:c r="E67" s="719"/>
      <x:c r="F67"/>
      <x:c r="G67"/>
      <x:c r="H67"/>
      <x:c r="I67"/>
      <x:c r="J67"/>
      <x:c r="K67"/>
      <x:c r="L67"/>
      <x:c r="M67"/>
      <x:c r="N67"/>
      <x:c r="O67"/>
      <x:c r="P67"/>
      <x:c r="Q67"/>
      <x:c r="R67"/>
      <x:c r="S67"/>
      <x:c r="T67"/>
      <x:c r="U67"/>
      <x:c r="V67"/>
      <x:c r="W67"/>
      <x:c r="X67"/>
      <x:c r="Y67"/>
      <x:c r="Z67"/>
      <x:c r="AA67"/>
      <x:c r="AB67"/>
      <x:c r="AC67"/>
    </x:row>
    <x:row r="68">
      <x:c r="A68" s="27" t="str">
        <x:v>Rule 4</x:v>
      </x:c>
      <x:c r="B68" s="27" t="str">
        <x:v>CA01 / CA02 contain residual cross-cutting risk only; generic project-value percentages are prohibited.</x:v>
      </x:c>
      <x:c r="C68" s="27"/>
      <x:c r="D68" s="727"/>
      <x:c r="E68" s="27"/>
      <x:c r="F68"/>
      <x:c r="G68"/>
      <x:c r="H68"/>
      <x:c r="I68"/>
      <x:c r="J68"/>
      <x:c r="K68"/>
      <x:c r="L68"/>
      <x:c r="M68"/>
      <x:c r="N68"/>
      <x:c r="O68"/>
      <x:c r="P68"/>
      <x:c r="Q68"/>
      <x:c r="R68"/>
      <x:c r="S68"/>
      <x:c r="T68"/>
      <x:c r="U68"/>
      <x:c r="V68"/>
      <x:c r="W68"/>
      <x:c r="X68"/>
      <x:c r="Y68"/>
      <x:c r="Z68"/>
      <x:c r="AA68"/>
      <x:c r="AB68"/>
      <x:c r="AC68"/>
    </x:row>
    <x:row r="69">
      <x:c r="A69" s="27" t="str">
        <x:v>Rule 5</x:v>
      </x:c>
      <x:c r="B69" s="27" t="str">
        <x:v>Specialist-engine risks remain in their specialist cost path and are referenced, not duplicated.</x:v>
      </x:c>
      <x:c r="C69" s="27"/>
      <x:c r="D69" s="727"/>
      <x:c r="E69" s="27"/>
      <x:c r="F69"/>
      <x:c r="G69"/>
      <x:c r="H69"/>
      <x:c r="I69"/>
      <x:c r="J69"/>
      <x:c r="K69"/>
      <x:c r="L69"/>
      <x:c r="M69"/>
      <x:c r="N69"/>
      <x:c r="O69"/>
      <x:c r="P69"/>
      <x:c r="Q69"/>
      <x:c r="R69"/>
      <x:c r="S69"/>
      <x:c r="T69"/>
      <x:c r="U69"/>
      <x:c r="V69"/>
      <x:c r="W69"/>
      <x:c r="X69"/>
      <x:c r="Y69"/>
      <x:c r="Z69"/>
      <x:c r="AA69"/>
      <x:c r="AB69"/>
      <x:c r="AC69"/>
    </x:row>
    <x:row r="70">
      <x:c r="A70" s="27" t="str">
        <x:v>Rule 6</x:v>
      </x:c>
      <x:c r="B70" s="27" t="str">
        <x:v>A positive Risk Truth addition requires a distinct residual basis, integration target and evidence status.</x:v>
      </x:c>
      <x:c r="C70" s="27"/>
      <x:c r="D70" s="727"/>
      <x:c r="E70" s="27"/>
      <x:c r="F70"/>
      <x:c r="G70"/>
      <x:c r="H70"/>
      <x:c r="I70"/>
      <x:c r="J70"/>
      <x:c r="K70"/>
      <x:c r="L70"/>
      <x:c r="M70"/>
      <x:c r="N70"/>
      <x:c r="O70"/>
      <x:c r="P70"/>
      <x:c r="Q70"/>
      <x:c r="R70"/>
      <x:c r="S70"/>
      <x:c r="T70"/>
      <x:c r="U70"/>
      <x:c r="V70"/>
      <x:c r="W70"/>
      <x:c r="X70"/>
      <x:c r="Y70"/>
      <x:c r="Z70"/>
      <x:c r="AA70"/>
      <x:c r="AB70"/>
      <x:c r="AC70"/>
    </x:row>
    <x:row r="71">
      <x:c r="A71" s="27" t="str">
        <x:v>Rule 7</x:v>
      </x:c>
      <x:c r="B71" s="27" t="str">
        <x:v>Any RED duplication, programme reconciliation or material risk item blocks final release.</x:v>
      </x:c>
      <x:c r="C71" s="27"/>
      <x:c r="D71" s="727"/>
      <x:c r="E71" s="27"/>
      <x:c r="F71"/>
      <x:c r="G71"/>
      <x:c r="H71"/>
      <x:c r="I71"/>
      <x:c r="J71"/>
      <x:c r="K71"/>
      <x:c r="L71"/>
      <x:c r="M71"/>
      <x:c r="N71"/>
      <x:c r="O71"/>
      <x:c r="P71"/>
      <x:c r="Q71"/>
      <x:c r="R71"/>
      <x:c r="S71"/>
      <x:c r="T71"/>
      <x:c r="U71"/>
      <x:c r="V71"/>
      <x:c r="W71"/>
      <x:c r="X71"/>
      <x:c r="Y71"/>
      <x:c r="Z71"/>
      <x:c r="AA71"/>
      <x:c r="AB71"/>
      <x:c r="AC71"/>
    </x:row>
    <x:row r="72">
      <x:c r="A72" s="27" t="str">
        <x:v>Rule 8</x:v>
      </x:c>
      <x:c r="B72" s="27" t="str">
        <x:v>Actual outcomes are retained later for estimate-v-actual calibration; historic tender assumptions are not overwritten.</x:v>
      </x:c>
      <x:c r="C72" s="27"/>
      <x:c r="D72" s="727"/>
      <x:c r="E72" s="27"/>
      <x:c r="F72"/>
      <x:c r="G72"/>
      <x:c r="H72"/>
      <x:c r="I72"/>
      <x:c r="J72"/>
      <x:c r="K72"/>
      <x:c r="L72"/>
      <x:c r="M72"/>
      <x:c r="N72"/>
      <x:c r="O72"/>
      <x:c r="P72"/>
      <x:c r="Q72"/>
      <x:c r="R72"/>
      <x:c r="S72"/>
      <x:c r="T72"/>
      <x:c r="U72"/>
      <x:c r="V72"/>
      <x:c r="W72"/>
      <x:c r="X72"/>
      <x:c r="Y72"/>
      <x:c r="Z72"/>
      <x:c r="AA72"/>
      <x:c r="AB72"/>
      <x:c r="AC72"/>
    </x:row>
    <x:row r="73">
      <x:c r="A73" s="27"/>
      <x:c r="B73" s="27"/>
      <x:c r="C73" s="27"/>
      <x:c r="D73" s="727"/>
      <x:c r="E73" s="27"/>
      <x:c r="F73"/>
      <x:c r="G73"/>
      <x:c r="H73"/>
      <x:c r="I73"/>
      <x:c r="J73"/>
      <x:c r="K73"/>
      <x:c r="L73"/>
      <x:c r="M73"/>
      <x:c r="N73"/>
      <x:c r="O73"/>
      <x:c r="P73"/>
      <x:c r="Q73"/>
      <x:c r="R73"/>
      <x:c r="S73"/>
      <x:c r="T73"/>
      <x:c r="U73"/>
      <x:c r="V73"/>
      <x:c r="W73"/>
      <x:c r="X73"/>
      <x:c r="Y73"/>
      <x:c r="Z73"/>
      <x:c r="AA73"/>
      <x:c r="AB73"/>
      <x:c r="AC73"/>
    </x:row>
    <x:row r="74" ht="72" customHeight="1">
      <x:c r="A74" s="27" t="str">
        <x:v>MASTER PROMOTION VALIDATION</x:v>
      </x:c>
      <x:c r="B74" s="27"/>
      <x:c r="C74" s="27"/>
      <x:c r="D74" s="27"/>
      <x:c r="E74" s="27"/>
      <x:c r="F74"/>
      <x:c r="G74"/>
      <x:c r="H74"/>
      <x:c r="I74"/>
      <x:c r="J74"/>
      <x:c r="K74"/>
      <x:c r="L74"/>
      <x:c r="M74"/>
      <x:c r="N74"/>
      <x:c r="O74"/>
      <x:c r="P74"/>
      <x:c r="Q74"/>
      <x:c r="R74"/>
      <x:c r="S74"/>
      <x:c r="T74"/>
      <x:c r="U74"/>
      <x:c r="V74"/>
      <x:c r="W74"/>
      <x:c r="X74"/>
      <x:c r="Y74"/>
      <x:c r="Z74"/>
      <x:c r="AA74"/>
      <x:c r="AB74"/>
      <x:c r="AC74"/>
    </x:row>
    <x:row r="75">
      <x:c r="A75" s="721" t="str">
        <x:v>Cost-chain propagation</x:v>
      </x:c>
      <x:c r="B75" s="721" t="str">
        <x:v>PASS</x:v>
      </x:c>
      <x:c r="C75" s="721" t="str">
        <x:v>Resource rate and quantity changes propagated through linked direct-cost and tender outputs during development testing.</x:v>
      </x:c>
      <x:c r="D75" s="721"/>
      <x:c r="E75" s="721"/>
      <x:c r="F75"/>
      <x:c r="G75"/>
      <x:c r="H75"/>
      <x:c r="I75"/>
      <x:c r="J75"/>
      <x:c r="K75"/>
      <x:c r="L75"/>
      <x:c r="M75"/>
      <x:c r="N75"/>
      <x:c r="O75"/>
      <x:c r="P75"/>
      <x:c r="Q75"/>
      <x:c r="R75"/>
      <x:c r="S75"/>
      <x:c r="T75"/>
      <x:c r="U75"/>
      <x:c r="V75"/>
      <x:c r="W75"/>
      <x:c r="X75"/>
      <x:c r="Y75"/>
      <x:c r="Z75"/>
      <x:c r="AA75"/>
      <x:c r="AB75"/>
      <x:c r="AC75"/>
    </x:row>
    <x:row r="76">
      <x:c r="A76" s="27" t="str">
        <x:v>Risk residual propagation</x:v>
      </x:c>
      <x:c r="B76" s="27" t="str">
        <x:v>PASS</x:v>
      </x:c>
      <x:c r="C76" s="27" t="str">
        <x:v>Approved residual CA01/CA02 feeds were proven to enter the tender exactly once.</x:v>
      </x:c>
      <x:c r="D76" s="727"/>
      <x:c r="E76" s="27"/>
      <x:c r="F76"/>
      <x:c r="G76"/>
      <x:c r="H76"/>
      <x:c r="I76"/>
      <x:c r="J76"/>
      <x:c r="K76"/>
      <x:c r="L76"/>
      <x:c r="M76"/>
      <x:c r="N76"/>
      <x:c r="O76"/>
      <x:c r="P76"/>
      <x:c r="Q76"/>
      <x:c r="R76"/>
      <x:c r="S76"/>
      <x:c r="T76"/>
      <x:c r="U76"/>
      <x:c r="V76"/>
      <x:c r="W76"/>
      <x:c r="X76"/>
      <x:c r="Y76"/>
      <x:c r="Z76"/>
      <x:c r="AA76"/>
      <x:c r="AB76"/>
      <x:c r="AC76"/>
    </x:row>
    <x:row r="77">
      <x:c r="A77" s="27" t="str">
        <x:v>Duplicate-cost blocker</x:v>
      </x:c>
      <x:c r="B77" s="27" t="str">
        <x:v>PASS</x:v>
      </x:c>
      <x:c r="C77" s="27" t="str">
        <x:v>Non-distinct duplicate risk provisions were proven to return RED and block release.</x:v>
      </x:c>
      <x:c r="D77" s="727"/>
      <x:c r="E77" s="27"/>
      <x:c r="F77"/>
      <x:c r="G77"/>
      <x:c r="H77"/>
      <x:c r="I77"/>
      <x:c r="J77"/>
      <x:c r="K77"/>
      <x:c r="L77"/>
      <x:c r="M77"/>
      <x:c r="N77"/>
      <x:c r="O77"/>
      <x:c r="P77"/>
      <x:c r="Q77"/>
      <x:c r="R77"/>
      <x:c r="S77"/>
      <x:c r="T77"/>
      <x:c r="U77"/>
      <x:c r="V77"/>
      <x:c r="W77"/>
      <x:c r="X77"/>
      <x:c r="Y77"/>
      <x:c r="Z77"/>
      <x:c r="AA77"/>
      <x:c r="AB77"/>
      <x:c r="AC77"/>
    </x:row>
    <x:row r="78">
      <x:c r="A78" s="27" t="str">
        <x:v>Programme propagation</x:v>
      </x:c>
      <x:c r="B78" s="27" t="str">
        <x:v>PASS</x:v>
      </x:c>
      <x:c r="C78" s="27" t="str">
        <x:v>Productivity/duration changes were proven to flow to Programme Export and trigger weather rerun logic.</x:v>
      </x:c>
      <x:c r="D78" s="727"/>
      <x:c r="E78" s="27"/>
      <x:c r="F78"/>
      <x:c r="G78"/>
      <x:c r="H78"/>
      <x:c r="I78"/>
      <x:c r="J78"/>
      <x:c r="K78"/>
      <x:c r="L78"/>
      <x:c r="M78"/>
      <x:c r="N78"/>
      <x:c r="O78"/>
      <x:c r="P78"/>
      <x:c r="Q78"/>
      <x:c r="R78"/>
      <x:c r="S78"/>
      <x:c r="T78"/>
      <x:c r="U78"/>
      <x:c r="V78"/>
      <x:c r="W78"/>
      <x:c r="X78"/>
      <x:c r="Y78"/>
      <x:c r="Z78"/>
      <x:c r="AA78"/>
      <x:c r="AB78"/>
      <x:c r="AC78"/>
    </x:row>
    <x:row r="79">
      <x:c r="A79" s="27" t="str">
        <x:v>Formula compatibility</x:v>
      </x:c>
      <x:c r="B79" s="27" t="str">
        <x:v>PASS</x:v>
      </x:c>
      <x:c r="C79" s="27" t="str">
        <x:v>Programme maximum-duration logic uses AGGREGATE rather than incompatible MAXIFS storage.</x:v>
      </x:c>
      <x:c r="D79" s="729"/>
      <x:c r="E79" s="27"/>
      <x:c r="F79"/>
      <x:c r="G79"/>
      <x:c r="H79"/>
      <x:c r="I79"/>
      <x:c r="J79"/>
      <x:c r="K79"/>
      <x:c r="L79"/>
      <x:c r="M79"/>
      <x:c r="N79"/>
      <x:c r="O79"/>
      <x:c r="P79"/>
      <x:c r="Q79"/>
      <x:c r="R79"/>
      <x:c r="S79"/>
      <x:c r="T79"/>
      <x:c r="U79"/>
      <x:c r="V79"/>
      <x:c r="W79"/>
      <x:c r="X79"/>
      <x:c r="Y79"/>
      <x:c r="Z79"/>
      <x:c r="AA79"/>
      <x:c r="AB79"/>
      <x:c r="AC79"/>
    </x:row>
    <x:row r="80">
      <x:c r="A80" s="27"/>
      <x:c r="B80" s="27"/>
      <x:c r="C80" s="27"/>
      <x:c r="D80" s="729"/>
      <x:c r="E80" s="27"/>
      <x:c r="F80"/>
      <x:c r="G80"/>
      <x:c r="H80"/>
      <x:c r="I80"/>
      <x:c r="J80"/>
      <x:c r="K80"/>
      <x:c r="L80"/>
      <x:c r="M80"/>
      <x:c r="N80"/>
      <x:c r="O80"/>
      <x:c r="P80"/>
      <x:c r="Q80"/>
      <x:c r="R80"/>
      <x:c r="S80"/>
      <x:c r="T80"/>
      <x:c r="U80"/>
      <x:c r="V80"/>
      <x:c r="W80"/>
      <x:c r="X80"/>
      <x:c r="Y80"/>
      <x:c r="Z80"/>
      <x:c r="AA80"/>
      <x:c r="AB80"/>
      <x:c r="AC80"/>
    </x:row>
    <x:row r="81">
      <x:c r="A81" s="27"/>
      <x:c r="B81" s="27"/>
      <x:c r="C81" s="27"/>
      <x:c r="D81" s="729"/>
      <x:c r="E81" s="27"/>
      <x:c r="F81"/>
      <x:c r="G81"/>
      <x:c r="H81"/>
      <x:c r="I81"/>
      <x:c r="J81"/>
      <x:c r="K81"/>
      <x:c r="L81"/>
      <x:c r="M81"/>
      <x:c r="N81"/>
      <x:c r="O81"/>
      <x:c r="P81"/>
      <x:c r="Q81"/>
      <x:c r="R81"/>
      <x:c r="S81"/>
      <x:c r="T81"/>
      <x:c r="U81"/>
      <x:c r="V81"/>
      <x:c r="W81"/>
      <x:c r="X81"/>
      <x:c r="Y81"/>
      <x:c r="Z81"/>
      <x:c r="AA81"/>
      <x:c r="AB81"/>
      <x:c r="AC81"/>
    </x:row>
  </x:sheetData>
  <x:mergeCells>
    <x:mergeCell ref="D4:G4"/>
    <x:mergeCell ref="D14:G14"/>
    <x:mergeCell ref="A1:K1"/>
    <x:mergeCell ref="A2:K2"/>
    <x:mergeCell ref="A64:E64"/>
  </x:mergeCells>
  <x:conditionalFormatting sqref="K25:K36">
    <x:cfRule type="expression" dxfId="7" priority="1">
      <x:formula>K25="RED"</x:formula>
    </x:cfRule>
    <x:cfRule type="expression" dxfId="8" priority="2">
      <x:formula>K25="AMBER"</x:formula>
    </x:cfRule>
    <x:cfRule type="expression" dxfId="9" priority="3">
      <x:formula>K25="GREEN"</x:formula>
    </x:cfRule>
  </x:conditionalFormatting>
  <x:conditionalFormatting sqref="W41:W61">
    <x:cfRule type="expression" dxfId="10" priority="4">
      <x:formula>W41="RED"</x:formula>
    </x:cfRule>
    <x:cfRule type="expression" dxfId="11" priority="5">
      <x:formula>W41="AMBER"</x:formula>
    </x:cfRule>
    <x:cfRule type="expression" dxfId="12" priority="6">
      <x:formula>W41="GREEN"</x:formula>
    </x:cfRule>
  </x:conditionalFormatting>
  <x:conditionalFormatting sqref="Z41:Z61">
    <x:cfRule type="expression" dxfId="13" priority="7">
      <x:formula>Z41="RED"</x:formula>
    </x:cfRule>
    <x:cfRule type="expression" dxfId="14" priority="8">
      <x:formula>Z41="AMBER"</x:formula>
    </x:cfRule>
    <x:cfRule type="expression" dxfId="15" priority="9">
      <x:formula>Z41="GREEN"</x:formula>
    </x:cfRule>
  </x:conditionalFormatting>
  <x:conditionalFormatting sqref="B15:B15">
    <x:cfRule type="expression" dxfId="16" priority="10">
      <x:formula>LEFT(B15,4)="PASS"</x:formula>
    </x:cfRule>
    <x:cfRule type="expression" dxfId="17" priority="11">
      <x:formula>LEFT(B15,4)="HOLD"</x:formula>
    </x:cfRule>
  </x:conditionalFormatting>
  <x:dataValidations count="9">
    <x:dataValidation type="list" sqref="C25:C36">
      <x:formula1>"A - Known/measurable,B - Normal foreseeable variability,C - Evidence-supported uncertainty,D - Known possible / unknown extent,E - Missing / contradictory information,F - Other-party responsibility,G - Abnormal / unforeseeable,D/F - Split exposures"</x:formula1>
    </x:dataValidation>
    <x:dataValidation type="list" sqref="D25:E36">
      <x:formula1>"Low,Medium,High,N/A"</x:formula1>
    </x:dataValidation>
    <x:dataValidation type="list" sqref="I41:I61">
      <x:formula1>"Already in Base / No Add,Unit Rate Delta,Probability x Impact,Scenario Weighted,Fixed Allowance,Specialist Engine,By Others / Excluded,RFI Hold"</x:formula1>
    </x:dataValidation>
    <x:dataValidation type="list" sqref="P41:P61">
      <x:formula1>"Primary,Contributing,Reference Only"</x:formula1>
    </x:dataValidation>
    <x:dataValidation type="list" sqref="Q41:Q61">
      <x:formula1>"Yes,No,N/A"</x:formula1>
    </x:dataValidation>
    <x:dataValidation type="list" sqref="R41:R61">
      <x:formula1>"QS Direct,CA01,CA02,CA09,CA10,By Others,Excluded,Future Programme Risk,None"</x:formula1>
    </x:dataValidation>
    <x:dataValidation type="list" sqref="S41:S61">
      <x:formula1>"Yes,No"</x:formula1>
    </x:dataValidation>
    <x:dataValidation type="list" sqref="W41:W61">
      <x:formula1>"GREEN,AMBER,RED"</x:formula1>
    </x:dataValidation>
    <x:dataValidation type="list" sqref="Y41:Y61">
      <x:formula1>"Yes,No,Existing,N/A"</x:formula1>
    </x:dataValidation>
  </x:dataValidations>
  <x:pageMargins left="0.7" right="0.7" top="0.75" bottom="0.75" header="0.3" footer="0.3"/>
</x:worksheet>
</file>

<file path=xl/worksheets/sheet13.xml><?xml version="1.0" encoding="utf-8"?>
<x:worksheet xmlns:x="http://schemas.openxmlformats.org/spreadsheetml/2006/main">
  <x:sheetFormatPr defaultRowHeight="15"/>
  <x:cols>
    <x:col min="1" max="1" width="12" hidden="0" customWidth="1"/>
    <x:col min="2" max="2" width="30" hidden="0" customWidth="1"/>
    <x:col min="3" max="3" width="16" hidden="0" customWidth="1"/>
    <x:col min="4" max="4" width="24" hidden="0" customWidth="1"/>
    <x:col min="5" max="5" width="13" hidden="0" customWidth="1"/>
    <x:col min="6" max="6" width="25" hidden="0" customWidth="1"/>
    <x:col min="7" max="7" width="22" hidden="0" customWidth="1"/>
    <x:col min="8" max="8" width="44" hidden="0" customWidth="1"/>
    <x:col min="9" max="9" width="24" hidden="0" customWidth="1"/>
    <x:col min="10" max="10" width="20" hidden="0" customWidth="1"/>
    <x:col min="11" max="11" width="15" hidden="0" customWidth="1"/>
    <x:col min="12" max="12" width="24" hidden="0" customWidth="1"/>
    <x:col min="13" max="13" width="24" hidden="0" customWidth="1"/>
    <x:col min="14" max="14" width="24" hidden="0" customWidth="1"/>
    <x:col min="15" max="15" width="28" hidden="0" customWidth="1"/>
    <x:col min="16" max="16" width="11" hidden="0" customWidth="1"/>
    <x:col min="17" max="17" width="12" hidden="0" customWidth="1"/>
    <x:col min="18" max="18" width="32" hidden="0" customWidth="1"/>
    <x:col min="19" max="19" width="24" hidden="0" customWidth="1"/>
    <x:col min="20" max="20" width="28" hidden="0" customWidth="1"/>
    <x:col min="21" max="21" width="24" hidden="0" customWidth="1"/>
    <x:col min="22" max="22" width="12" hidden="0" customWidth="1"/>
    <x:col min="23" max="23" width="22" hidden="0" customWidth="1"/>
    <x:col min="24" max="24" width="16" hidden="0" customWidth="1"/>
  </x:cols>
  <x:sheetData>
    <x:row r="1" ht="26" customHeight="1">
      <x:c r="A1" s="770" t="str">
        <x:v>INDEPENDENT ESTIMATE VERIFICATION BOARD - MASTER ESTIMATE WORKBOOK REV4</x:v>
      </x:c>
      <x:c r="B1" s="770"/>
      <x:c r="C1" s="770"/>
      <x:c r="D1" s="770"/>
      <x:c r="E1" s="770"/>
      <x:c r="F1" s="770"/>
      <x:c r="G1" s="770"/>
      <x:c r="H1" s="770"/>
      <x:c r="I1" s="770"/>
      <x:c r="J1" s="770"/>
      <x:c r="K1" s="770"/>
      <x:c r="L1" s="770"/>
      <x:c r="M1" s="770"/>
      <x:c r="N1" s="770"/>
      <x:c r="O1" s="770"/>
      <x:c r="P1" s="770"/>
      <x:c r="Q1" s="770"/>
      <x:c r="R1" s="770"/>
      <x:c r="S1" s="770"/>
      <x:c r="T1" s="770"/>
      <x:c r="U1" s="770"/>
      <x:c r="V1" s="770"/>
      <x:c r="W1" s="770"/>
      <x:c r="X1" s="770"/>
    </x:row>
    <x:row r="2" ht="52" customHeight="1">
      <x:c r="A2" s="771" t="str">
        <x:v>GOVERNING RULE: Every material component is presumed incorrect until independently demonstrated to be correct. Reviewers must be impartial, work blind to the primary estimate until their independent position is committed, and challenge the evidence rather than seek agreement. Agreement is not verification. No voting or averaging is permitted; the Chief Estimator adjudicates on the strongest evidence.</x:v>
      </x:c>
      <x:c r="B2" s="771"/>
      <x:c r="C2" s="771"/>
      <x:c r="D2" s="771"/>
      <x:c r="E2" s="771"/>
      <x:c r="F2" s="771"/>
      <x:c r="G2" s="771"/>
      <x:c r="H2" s="771"/>
      <x:c r="I2" s="771"/>
      <x:c r="J2" s="771"/>
      <x:c r="K2" s="771"/>
      <x:c r="L2" s="771"/>
      <x:c r="M2" s="771"/>
      <x:c r="N2" s="771"/>
      <x:c r="O2" s="771"/>
      <x:c r="P2" s="771"/>
      <x:c r="Q2" s="771"/>
      <x:c r="R2" s="771"/>
      <x:c r="S2" s="771"/>
      <x:c r="T2" s="771"/>
      <x:c r="U2" s="771"/>
      <x:c r="V2" s="771"/>
      <x:c r="W2" s="771"/>
      <x:c r="X2" s="771"/>
    </x:row>
    <x:row r="3" ht="34" customHeight="1">
      <x:c r="A3" s="772" t="str">
        <x:v>Workflow: Primary estimate frozen -&gt; independent clean-room reviews -&gt; specialist blind challenges -&gt; primary revealed -&gt; variance/findings recorded -&gt; evidence-led adjudication -&gt; accepted changes integrated once into the existing cost/programme chain -&gt; release gate.</x:v>
      </x:c>
      <x:c r="B3" s="772"/>
      <x:c r="C3" s="772"/>
      <x:c r="D3" s="772"/>
      <x:c r="E3" s="772"/>
      <x:c r="F3" s="772"/>
      <x:c r="G3" s="772"/>
      <x:c r="H3" s="772"/>
      <x:c r="I3" s="772"/>
      <x:c r="J3" s="772"/>
      <x:c r="K3" s="772"/>
      <x:c r="L3" s="772"/>
      <x:c r="M3" s="772"/>
      <x:c r="N3" s="772"/>
      <x:c r="O3" s="772"/>
      <x:c r="P3" s="772"/>
      <x:c r="Q3" s="772"/>
      <x:c r="R3" s="772"/>
      <x:c r="S3" s="772"/>
      <x:c r="T3" s="772"/>
      <x:c r="U3" s="772"/>
      <x:c r="V3" s="772"/>
      <x:c r="W3" s="772"/>
      <x:c r="X3" s="772"/>
    </x:row>
    <x:row r="4">
      <x:c r="A4" s="26"/>
      <x:c r="B4" s="26"/>
      <x:c r="C4" s="26"/>
      <x:c r="D4" s="26"/>
      <x:c r="E4" s="26"/>
      <x:c r="F4" s="26"/>
      <x:c r="G4" s="26"/>
      <x:c r="H4" s="26"/>
      <x:c r="I4" s="26"/>
      <x:c r="J4" s="26"/>
      <x:c r="K4" s="26"/>
      <x:c r="L4" s="26"/>
      <x:c r="M4" s="26"/>
      <x:c r="N4" s="26"/>
      <x:c r="O4" s="26"/>
      <x:c r="P4" s="26"/>
      <x:c r="Q4" s="26"/>
      <x:c r="R4" s="26"/>
      <x:c r="S4" s="26"/>
      <x:c r="T4" s="26"/>
      <x:c r="U4" s="26"/>
      <x:c r="V4" s="26"/>
      <x:c r="W4" s="26"/>
      <x:c r="X4" s="26"/>
    </x:row>
    <x:row r="5">
      <x:c r="A5" s="770" t="str">
        <x:v>BOARD / RELEASE CONTROL</x:v>
      </x:c>
      <x:c r="B5" s="770"/>
      <x:c r="C5" s="26"/>
      <x:c r="D5" s="770" t="str">
        <x:v>NON-NEGOTIABLE INDEPENDENCE RULES</x:v>
      </x:c>
      <x:c r="E5" s="770"/>
      <x:c r="F5" s="770"/>
      <x:c r="G5" s="770"/>
      <x:c r="H5" s="770"/>
      <x:c r="I5" s="770"/>
      <x:c r="J5" s="770"/>
      <x:c r="K5" s="26"/>
      <x:c r="L5" s="26"/>
      <x:c r="M5" s="26"/>
      <x:c r="N5" s="26"/>
      <x:c r="O5" s="26"/>
      <x:c r="P5" s="26"/>
      <x:c r="Q5" s="26"/>
      <x:c r="R5" s="26"/>
      <x:c r="S5" s="26"/>
      <x:c r="T5" s="26"/>
      <x:c r="U5" s="26"/>
      <x:c r="V5" s="26"/>
      <x:c r="W5" s="26"/>
      <x:c r="X5" s="26"/>
    </x:row>
    <x:row r="6">
      <x:c r="A6" s="25" t="str">
        <x:v>Review mode</x:v>
      </x:c>
      <x:c r="B6" s="26" t="str">
        <x:v>FULL BOARD - mandatory for priced estimates</x:v>
      </x:c>
      <x:c r="C6" s="26"/>
      <x:c r="D6" s="780" t="str">
        <x:v>1</x:v>
      </x:c>
      <x:c r="E6" s="26" t="str">
        <x:v>Assume the estimate is wrong until evidence proves the component correct.</x:v>
      </x:c>
      <x:c r="F6" s="26"/>
      <x:c r="G6" s="26"/>
      <x:c r="H6" s="26"/>
      <x:c r="I6" s="26"/>
      <x:c r="J6" s="26"/>
      <x:c r="K6" s="26"/>
      <x:c r="L6" s="26"/>
      <x:c r="M6" s="26"/>
      <x:c r="N6" s="26"/>
      <x:c r="O6" s="26"/>
      <x:c r="P6" s="26"/>
      <x:c r="Q6" s="26"/>
      <x:c r="R6" s="26"/>
      <x:c r="S6" s="26"/>
      <x:c r="T6" s="26"/>
      <x:c r="U6" s="26"/>
      <x:c r="V6" s="26"/>
      <x:c r="W6" s="26"/>
      <x:c r="X6" s="26"/>
    </x:row>
    <x:row r="7">
      <x:c r="A7" s="25" t="str">
        <x:v>Required clean-room whole-estimate reviewers</x:v>
      </x:c>
      <x:c r="B7" s="26" t="n">
        <x:v>3</x:v>
      </x:c>
      <x:c r="C7" s="26"/>
      <x:c r="D7" s="780" t="str">
        <x:v>2</x:v>
      </x:c>
      <x:c r="E7" s="26" t="str">
        <x:v>Clean-room reviewers receive project evidence but not the primary quantities, rates, productivity, duration, assumptions or tender total before commitment.</x:v>
      </x:c>
      <x:c r="F7" s="26"/>
      <x:c r="G7" s="26"/>
      <x:c r="H7" s="26"/>
      <x:c r="I7" s="26"/>
      <x:c r="J7" s="26"/>
      <x:c r="K7" s="26"/>
      <x:c r="L7" s="26"/>
      <x:c r="M7" s="26"/>
      <x:c r="N7" s="26"/>
      <x:c r="O7" s="26"/>
      <x:c r="P7" s="26"/>
      <x:c r="Q7" s="26"/>
      <x:c r="R7" s="26"/>
      <x:c r="S7" s="26"/>
      <x:c r="T7" s="26"/>
      <x:c r="U7" s="26"/>
      <x:c r="V7" s="26"/>
      <x:c r="W7" s="26"/>
      <x:c r="X7" s="26"/>
    </x:row>
    <x:row r="8">
      <x:c r="A8" s="25" t="str">
        <x:v>Required specialist challenge reviewers</x:v>
      </x:c>
      <x:c r="B8" s="26" t="n">
        <x:v>6</x:v>
      </x:c>
      <x:c r="C8" s="26"/>
      <x:c r="D8" s="780" t="str">
        <x:v>3</x:v>
      </x:c>
      <x:c r="E8" s="26" t="str">
        <x:v>Specialist reviewers are also blind to the primary answer until they have committed their independent challenge position wherever practicable.</x:v>
      </x:c>
      <x:c r="F8" s="26"/>
      <x:c r="G8" s="26"/>
      <x:c r="H8" s="26"/>
      <x:c r="I8" s="26"/>
      <x:c r="J8" s="26"/>
      <x:c r="K8" s="26"/>
      <x:c r="L8" s="26"/>
      <x:c r="M8" s="26"/>
      <x:c r="N8" s="26"/>
      <x:c r="O8" s="26"/>
      <x:c r="P8" s="26"/>
      <x:c r="Q8" s="26"/>
      <x:c r="R8" s="26"/>
      <x:c r="S8" s="26"/>
      <x:c r="T8" s="26"/>
      <x:c r="U8" s="26"/>
      <x:c r="V8" s="26"/>
      <x:c r="W8" s="26"/>
      <x:c r="X8" s="26"/>
    </x:row>
    <x:row r="9">
      <x:c r="A9" s="25" t="str">
        <x:v>Completed clean-room reviewers</x:v>
      </x:c>
      <x:c r="B9" s="26" t="n">
        <x:v>3</x:v>
      </x:c>
      <x:c r="C9" s="26"/>
      <x:c r="D9" s="780" t="str">
        <x:v>4</x:v>
      </x:c>
      <x:c r="E9" s="26" t="str">
        <x:v>Reviewers may not optimise toward a target total, previous tender, client budget or expected answer.</x:v>
      </x:c>
      <x:c r="F9" s="26"/>
      <x:c r="G9" s="26"/>
      <x:c r="H9" s="26"/>
      <x:c r="I9" s="26"/>
      <x:c r="J9" s="26"/>
      <x:c r="K9" s="26"/>
      <x:c r="L9" s="26"/>
      <x:c r="M9" s="26"/>
      <x:c r="N9" s="26"/>
      <x:c r="O9" s="26"/>
      <x:c r="P9" s="26"/>
      <x:c r="Q9" s="26"/>
      <x:c r="R9" s="26"/>
      <x:c r="S9" s="26"/>
      <x:c r="T9" s="26"/>
      <x:c r="U9" s="26"/>
      <x:c r="V9" s="26"/>
      <x:c r="W9" s="26"/>
      <x:c r="X9" s="26"/>
    </x:row>
    <x:row r="10">
      <x:c r="A10" s="25" t="str">
        <x:v>Completed specialist reviewers</x:v>
      </x:c>
      <x:c r="B10" s="26" t="n">
        <x:v>6</x:v>
      </x:c>
      <x:c r="C10" s="26"/>
      <x:c r="D10" s="780" t="str">
        <x:v>5</x:v>
      </x:c>
      <x:c r="E10" s="26" t="str">
        <x:v>Agreement between reviewers is not evidence. Majority vote and averaging are prohibited.</x:v>
      </x:c>
      <x:c r="F10" s="26"/>
      <x:c r="G10" s="26"/>
      <x:c r="H10" s="26"/>
      <x:c r="I10" s="26"/>
      <x:c r="J10" s="26"/>
      <x:c r="K10" s="26"/>
      <x:c r="L10" s="26"/>
      <x:c r="M10" s="26"/>
      <x:c r="N10" s="26"/>
      <x:c r="O10" s="26"/>
      <x:c r="P10" s="26"/>
      <x:c r="Q10" s="26"/>
      <x:c r="R10" s="26"/>
      <x:c r="S10" s="26"/>
      <x:c r="T10" s="26"/>
      <x:c r="U10" s="26"/>
      <x:c r="V10" s="26"/>
      <x:c r="W10" s="26"/>
      <x:c r="X10" s="26"/>
    </x:row>
    <x:row r="11">
      <x:c r="A11" s="25" t="str">
        <x:v>Reviewer independence failures</x:v>
      </x:c>
      <x:c r="B11" s="26" t="n">
        <x:v>0</x:v>
      </x:c>
      <x:c r="C11" s="26"/>
      <x:c r="D11" s="780" t="str">
        <x:v>6</x:v>
      </x:c>
      <x:c r="E11" s="26" t="str">
        <x:v>Every disagreement is resolved by evidence quality, scope alignment and first-principles logic.</x:v>
      </x:c>
      <x:c r="F11" s="26"/>
      <x:c r="G11" s="26"/>
      <x:c r="H11" s="26"/>
      <x:c r="I11" s="26"/>
      <x:c r="J11" s="26"/>
      <x:c r="K11" s="26"/>
      <x:c r="L11" s="26"/>
      <x:c r="M11" s="26"/>
      <x:c r="N11" s="26"/>
      <x:c r="O11" s="26"/>
      <x:c r="P11" s="26"/>
      <x:c r="Q11" s="26"/>
      <x:c r="R11" s="26"/>
      <x:c r="S11" s="26"/>
      <x:c r="T11" s="26"/>
      <x:c r="U11" s="26"/>
      <x:c r="V11" s="26"/>
      <x:c r="W11" s="26"/>
      <x:c r="X11" s="26"/>
    </x:row>
    <x:row r="12">
      <x:c r="A12" s="25" t="str">
        <x:v>Unresolved material RED findings</x:v>
      </x:c>
      <x:c r="B12" s="26" t="n">
        <x:v>4</x:v>
      </x:c>
      <x:c r="C12" s="26"/>
      <x:c r="D12" s="780" t="str">
        <x:v>7</x:v>
      </x:c>
      <x:c r="E12" s="26" t="str">
        <x:v>Accepted changes are made at the original source in Resource Library / Resource Build-Up / QS / Programme / Risk / Commercial Inputs - never as a second cost in this sheet.</x:v>
      </x:c>
      <x:c r="F12" s="26"/>
      <x:c r="G12" s="26"/>
      <x:c r="H12" s="26"/>
      <x:c r="I12" s="26"/>
      <x:c r="J12" s="26"/>
      <x:c r="K12" s="26"/>
      <x:c r="L12" s="26"/>
      <x:c r="M12" s="26"/>
      <x:c r="N12" s="26"/>
      <x:c r="O12" s="26"/>
      <x:c r="P12" s="26"/>
      <x:c r="Q12" s="26"/>
      <x:c r="R12" s="26"/>
      <x:c r="S12" s="26"/>
      <x:c r="T12" s="26"/>
      <x:c r="U12" s="26"/>
      <x:c r="V12" s="26"/>
      <x:c r="W12" s="26"/>
      <x:c r="X12" s="26"/>
    </x:row>
    <x:row r="13">
      <x:c r="A13" s="25" t="str">
        <x:v>Unresolved material AMBER findings</x:v>
      </x:c>
      <x:c r="B13" s="26" t="n">
        <x:v>7</x:v>
      </x:c>
      <x:c r="C13" s="26"/>
      <x:c r="D13" s="780" t="str">
        <x:v>8</x:v>
      </x:c>
      <x:c r="E13" s="26" t="str">
        <x:v>If true process isolation cannot be achieved, record the limitation. Each mandatory reviewer must have an Isolation / Context ID or equivalent audit reference. Do not describe a review as fully independent when the primary answer was visible or the reviewer shared the primary reasoning context.</x:v>
      </x:c>
      <x:c r="F13" s="26"/>
      <x:c r="G13" s="26"/>
      <x:c r="H13" s="26"/>
      <x:c r="I13" s="26"/>
      <x:c r="J13" s="26"/>
      <x:c r="K13" s="26"/>
      <x:c r="L13" s="26"/>
      <x:c r="M13" s="26"/>
      <x:c r="N13" s="26"/>
      <x:c r="O13" s="26"/>
      <x:c r="P13" s="26"/>
      <x:c r="Q13" s="26"/>
      <x:c r="R13" s="26"/>
      <x:c r="S13" s="26"/>
      <x:c r="T13" s="26"/>
      <x:c r="U13" s="26"/>
      <x:c r="V13" s="26"/>
      <x:c r="W13" s="26"/>
      <x:c r="X13" s="26"/>
    </x:row>
    <x:row r="14">
      <x:c r="A14" s="25" t="str">
        <x:v>QS items on review HOLD</x:v>
      </x:c>
      <x:c r="B14" s="26" t="n">
        <x:v>5</x:v>
      </x:c>
      <x:c r="C14" s="26"/>
      <x:c r="D14" s="26"/>
      <x:c r="E14" s="26"/>
      <x:c r="F14" s="26"/>
      <x:c r="G14" s="26"/>
      <x:c r="H14" s="26"/>
      <x:c r="I14" s="26"/>
      <x:c r="J14" s="26"/>
      <x:c r="K14" s="26"/>
      <x:c r="L14" s="26"/>
      <x:c r="M14" s="26"/>
      <x:c r="N14" s="26"/>
      <x:c r="O14" s="26"/>
      <x:c r="P14" s="26"/>
      <x:c r="Q14" s="26"/>
      <x:c r="R14" s="26"/>
      <x:c r="S14" s="26"/>
      <x:c r="T14" s="26"/>
      <x:c r="U14" s="26"/>
      <x:c r="V14" s="26"/>
      <x:c r="W14" s="26"/>
      <x:c r="X14" s="26"/>
    </x:row>
    <x:row r="15">
      <x:c r="A15" s="25" t="str">
        <x:v>Accepted changes not integrated</x:v>
      </x:c>
      <x:c r="B15" s="26" t="n">
        <x:v>0</x:v>
      </x:c>
      <x:c r="C15" s="26"/>
      <x:c r="D15" s="26"/>
      <x:c r="E15" s="26"/>
      <x:c r="F15" s="26"/>
      <x:c r="G15" s="26"/>
      <x:c r="H15" s="26"/>
      <x:c r="I15" s="26"/>
      <x:c r="J15" s="26"/>
      <x:c r="K15" s="26"/>
      <x:c r="L15" s="26"/>
      <x:c r="M15" s="26"/>
      <x:c r="N15" s="26"/>
      <x:c r="O15" s="26"/>
      <x:c r="P15" s="26"/>
      <x:c r="Q15" s="26"/>
      <x:c r="R15" s="26"/>
      <x:c r="S15" s="26"/>
      <x:c r="T15" s="26"/>
      <x:c r="U15" s="26"/>
      <x:c r="V15" s="26"/>
      <x:c r="W15" s="26"/>
      <x:c r="X15" s="26"/>
    </x:row>
    <x:row r="16">
      <x:c r="A16" s="25" t="str">
        <x:v>Active QS items</x:v>
      </x:c>
      <x:c r="B16" s="26" t="n">
        <x:f>COUNTA('QS Takeoff'!$B$3:$B$40)</x:f>
        <x:v>30</x:v>
      </x:c>
      <x:c r="C16" s="26"/>
      <x:c r="D16" s="26"/>
      <x:c r="E16" s="26"/>
      <x:c r="F16" s="26"/>
      <x:c r="G16" s="26"/>
      <x:c r="H16" s="26"/>
      <x:c r="I16" s="26"/>
      <x:c r="J16" s="26"/>
      <x:c r="K16" s="26"/>
      <x:c r="L16" s="26"/>
      <x:c r="M16" s="26"/>
      <x:c r="N16" s="26"/>
      <x:c r="O16" s="26"/>
      <x:c r="P16" s="26"/>
      <x:c r="Q16" s="26"/>
      <x:c r="R16" s="26"/>
      <x:c r="S16" s="26"/>
      <x:c r="T16" s="26"/>
      <x:c r="U16" s="26"/>
      <x:c r="V16" s="26"/>
      <x:c r="W16" s="26"/>
      <x:c r="X16" s="26"/>
    </x:row>
    <x:row r="17">
      <x:c r="A17" s="25" t="str">
        <x:v>QS items fully reviewed</x:v>
      </x:c>
      <x:c r="B17" s="26" t="n">
        <x:v>30</x:v>
      </x:c>
      <x:c r="C17" s="26"/>
      <x:c r="D17" s="26"/>
      <x:c r="E17" s="26"/>
      <x:c r="F17" s="26"/>
      <x:c r="G17" s="26"/>
      <x:c r="H17" s="26"/>
      <x:c r="I17" s="26"/>
      <x:c r="J17" s="26"/>
      <x:c r="K17" s="26"/>
      <x:c r="L17" s="26"/>
      <x:c r="M17" s="26"/>
      <x:c r="N17" s="26"/>
      <x:c r="O17" s="26"/>
      <x:c r="P17" s="26"/>
      <x:c r="Q17" s="26"/>
      <x:c r="R17" s="26"/>
      <x:c r="S17" s="26"/>
      <x:c r="T17" s="26"/>
      <x:c r="U17" s="26"/>
      <x:c r="V17" s="26"/>
      <x:c r="W17" s="26"/>
      <x:c r="X17" s="26"/>
    </x:row>
    <x:row r="18">
      <x:c r="A18" s="25" t="str">
        <x:v>Chief adjudicator status</x:v>
      </x:c>
      <x:c r="B18" s="26" t="str">
        <x:v>PASS WITH AMBER - REV34 MANAGEMENT RESERVE INCLUDED / TECHNICAL REDS REMAIN OPEN</x:v>
      </x:c>
      <x:c r="C18" s="26"/>
      <x:c r="D18" s="26"/>
      <x:c r="E18" s="26"/>
      <x:c r="F18" s="26"/>
      <x:c r="G18" s="26"/>
      <x:c r="H18" s="26"/>
      <x:c r="I18" s="26"/>
      <x:c r="J18" s="26"/>
      <x:c r="K18" s="26"/>
      <x:c r="L18" s="26"/>
      <x:c r="M18" s="26"/>
      <x:c r="N18" s="26"/>
      <x:c r="O18" s="26"/>
      <x:c r="P18" s="26"/>
      <x:c r="Q18" s="26"/>
      <x:c r="R18" s="26"/>
      <x:c r="S18" s="26"/>
      <x:c r="T18" s="26"/>
      <x:c r="U18" s="26"/>
      <x:c r="V18" s="26"/>
      <x:c r="W18" s="26"/>
      <x:c r="X18" s="26"/>
    </x:row>
    <x:row r="19">
      <x:c r="A19" s="771" t="str">
        <x:v>BOARD RELEASE GATE</x:v>
      </x:c>
      <x:c r="B19" s="771" t="str">
        <x:v>HOLD - REV17/YODHA EARTHWORKS QUANTITY CONFLICT / RAMP-STAIRS OWNER / RETAINING DESIGN COORDINATION / PV01 CONCRETE PRODUCTIVITY / REMAINING MATERIAL INTERFACES. MANAGEMENT RESERVE DOES NOT CLOSE THESE ITEMS.</x:v>
      </x:c>
      <x:c r="C19" s="26"/>
      <x:c r="D19" s="26"/>
      <x:c r="E19" s="26"/>
      <x:c r="F19" s="26"/>
      <x:c r="G19" s="26"/>
      <x:c r="H19" s="26"/>
      <x:c r="I19" s="26"/>
      <x:c r="J19" s="26"/>
      <x:c r="K19" s="26"/>
      <x:c r="L19" s="26"/>
      <x:c r="M19" s="26"/>
      <x:c r="N19" s="26"/>
      <x:c r="O19" s="26"/>
      <x:c r="P19" s="26"/>
      <x:c r="Q19" s="26"/>
      <x:c r="R19" s="26"/>
      <x:c r="S19" s="26"/>
      <x:c r="T19" s="26"/>
      <x:c r="U19" s="26"/>
      <x:c r="V19" s="26"/>
      <x:c r="W19" s="26"/>
      <x:c r="X19" s="26"/>
    </x:row>
    <x:row r="20">
      <x:c r="A20" s="775" t="str">
        <x:v>Operating standard</x:v>
      </x:c>
      <x:c r="B20" s="772" t="str">
        <x:v>Independent Estimate Verification Board Standard Rev1 - development candidate</x:v>
      </x:c>
      <x:c r="C20" s="26"/>
      <x:c r="D20" s="26"/>
      <x:c r="E20" s="26"/>
      <x:c r="F20" s="26"/>
      <x:c r="G20" s="26"/>
      <x:c r="H20" s="26"/>
      <x:c r="I20" s="26"/>
      <x:c r="J20" s="26"/>
      <x:c r="K20" s="26"/>
      <x:c r="L20" s="26"/>
      <x:c r="M20" s="26"/>
      <x:c r="N20" s="26"/>
      <x:c r="O20" s="26"/>
      <x:c r="P20" s="26"/>
      <x:c r="Q20" s="26"/>
      <x:c r="R20" s="26"/>
      <x:c r="S20" s="26"/>
      <x:c r="T20" s="26"/>
      <x:c r="U20" s="26"/>
      <x:c r="V20" s="26"/>
      <x:c r="W20" s="26"/>
      <x:c r="X20" s="26"/>
    </x:row>
    <x:row r="21">
      <x:c r="A21" s="26"/>
      <x:c r="B21" s="26"/>
      <x:c r="C21" s="26"/>
      <x:c r="D21" s="26"/>
      <x:c r="E21" s="26"/>
      <x:c r="F21" s="26"/>
      <x:c r="G21" s="26"/>
      <x:c r="H21" s="26"/>
      <x:c r="I21" s="26"/>
      <x:c r="J21" s="26"/>
      <x:c r="K21" s="26"/>
      <x:c r="L21" s="26"/>
      <x:c r="M21" s="26"/>
      <x:c r="N21" s="26"/>
      <x:c r="O21" s="26"/>
      <x:c r="P21" s="26"/>
      <x:c r="Q21" s="26"/>
      <x:c r="R21" s="26"/>
      <x:c r="S21" s="26"/>
      <x:c r="T21" s="26"/>
      <x:c r="U21" s="26"/>
      <x:c r="V21" s="26"/>
      <x:c r="W21" s="26"/>
      <x:c r="X21" s="26"/>
    </x:row>
    <x:row r="22">
      <x:c r="A22" s="770" t="str">
        <x:v>REVIEWER INDEPENDENCE &amp; COMMITMENT REGISTER</x:v>
      </x:c>
      <x:c r="B22" s="770"/>
      <x:c r="C22" s="770"/>
      <x:c r="D22" s="770"/>
      <x:c r="E22" s="770"/>
      <x:c r="F22" s="770"/>
      <x:c r="G22" s="770"/>
      <x:c r="H22" s="770"/>
      <x:c r="I22" s="770"/>
      <x:c r="J22" s="770"/>
      <x:c r="K22" s="770"/>
      <x:c r="L22" s="770"/>
      <x:c r="M22" s="26"/>
      <x:c r="N22" s="26"/>
      <x:c r="O22" s="26"/>
      <x:c r="P22" s="26"/>
      <x:c r="Q22" s="26"/>
      <x:c r="R22" s="26"/>
      <x:c r="S22" s="26"/>
      <x:c r="T22" s="26"/>
      <x:c r="U22" s="26"/>
      <x:c r="V22" s="26"/>
      <x:c r="W22" s="26"/>
      <x:c r="X22" s="26"/>
    </x:row>
    <x:row r="23" ht="36" customHeight="1">
      <x:c r="A23" s="776" t="str">
        <x:v>Reviewer ID</x:v>
      </x:c>
      <x:c r="B23" s="776" t="str">
        <x:v>Role</x:v>
      </x:c>
      <x:c r="C23" s="776" t="str">
        <x:v>Review Type</x:v>
      </x:c>
      <x:c r="D23" s="776" t="str">
        <x:v>Required?</x:v>
      </x:c>
      <x:c r="E23" s="776" t="str">
        <x:v>Independent?</x:v>
      </x:c>
      <x:c r="F23" s="776" t="str">
        <x:v>Primary estimate withheld until commitment?</x:v>
      </x:c>
      <x:c r="G23" s="776" t="str">
        <x:v>Independent position committed?</x:v>
      </x:c>
      <x:c r="H23" s="776" t="str">
        <x:v>Independence / method note</x:v>
      </x:c>
      <x:c r="I23" s="776" t="str">
        <x:v>Isolation / Context ID</x:v>
      </x:c>
      <x:c r="J23" s="776" t="str">
        <x:v>Reviewer / Agent</x:v>
      </x:c>
      <x:c r="K23" s="776" t="str">
        <x:v>Completion date</x:v>
      </x:c>
      <x:c r="L23" s="776" t="str">
        <x:v>Reviewer Status</x:v>
      </x:c>
      <x:c r="M23" s="26"/>
      <x:c r="N23" s="26"/>
      <x:c r="O23" s="26"/>
      <x:c r="P23" s="26"/>
      <x:c r="Q23" s="26"/>
      <x:c r="R23" s="26"/>
      <x:c r="S23" s="26"/>
      <x:c r="T23" s="26"/>
      <x:c r="U23" s="26"/>
      <x:c r="V23" s="26"/>
      <x:c r="W23" s="26"/>
      <x:c r="X23" s="26"/>
    </x:row>
    <x:row r="24" ht="54" customHeight="1">
      <x:c r="A24" s="26" t="str">
        <x:v>ERB-01</x:v>
      </x:c>
      <x:c r="B24" s="26" t="str">
        <x:v>Independent Estimator A - whole estimate</x:v>
      </x:c>
      <x:c r="C24" s="26" t="str">
        <x:v>Clean-room</x:v>
      </x:c>
      <x:c r="D24" s="778" t="str">
        <x:v>Yes</x:v>
      </x:c>
      <x:c r="E24" s="778" t="str">
        <x:v>Yes</x:v>
      </x:c>
      <x:c r="F24" s="778" t="str">
        <x:v>Yes</x:v>
      </x:c>
      <x:c r="G24" s="778" t="str">
        <x:v>Yes</x:v>
      </x:c>
      <x:c r="H24" s="778" t="str">
        <x:v>Committed in isolated clean-room context before primary comparison; original output frozen.</x:v>
      </x:c>
      <x:c r="I24" s="778" t="str">
        <x:v>ERB01-CR-20260908-A</x:v>
      </x:c>
      <x:c r="J24" s="778" t="str">
        <x:v>Independent reviewer context</x:v>
      </x:c>
      <x:c r="K24" s="778" t="str">
        <x:v>08-Sep-2026</x:v>
      </x:c>
      <x:c r="L24" s="788" t="str">
        <x:v>PASS - COMMITTED</x:v>
      </x:c>
      <x:c r="M24" s="26"/>
      <x:c r="N24" s="26"/>
      <x:c r="O24" s="26"/>
      <x:c r="P24" s="26"/>
      <x:c r="Q24" s="26"/>
      <x:c r="R24" s="26"/>
      <x:c r="S24" s="26"/>
      <x:c r="T24" s="26"/>
      <x:c r="U24" s="26"/>
      <x:c r="V24" s="26"/>
      <x:c r="W24" s="26"/>
      <x:c r="X24" s="26"/>
    </x:row>
    <x:row r="25" ht="54" customHeight="1">
      <x:c r="A25" s="26" t="str">
        <x:v>ERB-02</x:v>
      </x:c>
      <x:c r="B25" s="26" t="str">
        <x:v>Independent Estimator B - whole estimate</x:v>
      </x:c>
      <x:c r="C25" s="26" t="str">
        <x:v>Clean-room</x:v>
      </x:c>
      <x:c r="D25" s="778" t="str">
        <x:v>Yes</x:v>
      </x:c>
      <x:c r="E25" s="778" t="str">
        <x:v>Yes</x:v>
      </x:c>
      <x:c r="F25" s="778" t="str">
        <x:v>Yes</x:v>
      </x:c>
      <x:c r="G25" s="778" t="str">
        <x:v>Yes</x:v>
      </x:c>
      <x:c r="H25" s="778" t="str">
        <x:v>Committed in isolated clean-room context before primary comparison; original output frozen.</x:v>
      </x:c>
      <x:c r="I25" s="778" t="str">
        <x:v>ERB02-CLN-20260908-1723-NZST-A</x:v>
      </x:c>
      <x:c r="J25" s="778" t="str">
        <x:v>Independent reviewer context</x:v>
      </x:c>
      <x:c r="K25" s="778" t="str">
        <x:v>08-Sep-2026</x:v>
      </x:c>
      <x:c r="L25" s="788" t="str">
        <x:v>PASS - COMMITTED</x:v>
      </x:c>
      <x:c r="M25" s="26"/>
      <x:c r="N25" s="26"/>
      <x:c r="O25" s="26"/>
      <x:c r="P25" s="26"/>
      <x:c r="Q25" s="26"/>
      <x:c r="R25" s="26"/>
      <x:c r="S25" s="26"/>
      <x:c r="T25" s="26"/>
      <x:c r="U25" s="26"/>
      <x:c r="V25" s="26"/>
      <x:c r="W25" s="26"/>
      <x:c r="X25" s="26"/>
    </x:row>
    <x:row r="26" ht="54" customHeight="1">
      <x:c r="A26" s="26" t="str">
        <x:v>ERB-03</x:v>
      </x:c>
      <x:c r="B26" s="26" t="str">
        <x:v>Independent Estimator C - whole estimate</x:v>
      </x:c>
      <x:c r="C26" s="26" t="str">
        <x:v>Clean-room</x:v>
      </x:c>
      <x:c r="D26" s="778" t="str">
        <x:v>Yes</x:v>
      </x:c>
      <x:c r="E26" s="778" t="str">
        <x:v>Yes</x:v>
      </x:c>
      <x:c r="F26" s="778" t="str">
        <x:v>Yes</x:v>
      </x:c>
      <x:c r="G26" s="778" t="str">
        <x:v>Yes</x:v>
      </x:c>
      <x:c r="H26" s="778" t="str">
        <x:v>Committed in isolated clean-room context before primary comparison; original output frozen.</x:v>
      </x:c>
      <x:c r="I26" s="778" t="str">
        <x:v>ERB03-HOB329-20260908-A</x:v>
      </x:c>
      <x:c r="J26" s="778" t="str">
        <x:v>Independent reviewer context</x:v>
      </x:c>
      <x:c r="K26" s="778" t="str">
        <x:v>08-Sep-2026</x:v>
      </x:c>
      <x:c r="L26" s="788" t="str">
        <x:v>PASS - COMMITTED</x:v>
      </x:c>
      <x:c r="M26" s="26"/>
      <x:c r="N26" s="26"/>
      <x:c r="O26" s="26"/>
      <x:c r="P26" s="26"/>
      <x:c r="Q26" s="26"/>
      <x:c r="R26" s="26"/>
      <x:c r="S26" s="26"/>
      <x:c r="T26" s="26"/>
      <x:c r="U26" s="26"/>
      <x:c r="V26" s="26"/>
      <x:c r="W26" s="26"/>
      <x:c r="X26" s="26"/>
    </x:row>
    <x:row r="27" ht="54" customHeight="1">
      <x:c r="A27" s="26" t="str">
        <x:v>ERB-04</x:v>
      </x:c>
      <x:c r="B27" s="26" t="str">
        <x:v>Scope &amp; document challenge reviewer</x:v>
      </x:c>
      <x:c r="C27" s="26" t="str">
        <x:v>Specialist</x:v>
      </x:c>
      <x:c r="D27" s="778" t="str">
        <x:v>Yes</x:v>
      </x:c>
      <x:c r="E27" s="778" t="str">
        <x:v>Yes</x:v>
      </x:c>
      <x:c r="F27" s="778" t="str">
        <x:v>Yes</x:v>
      </x:c>
      <x:c r="G27" s="778" t="str">
        <x:v>Yes</x:v>
      </x:c>
      <x:c r="H27" s="778" t="str">
        <x:v>Committed in isolated clean-room context before primary comparison; original output frozen.</x:v>
      </x:c>
      <x:c r="I27" s="778" t="str">
        <x:v>ERB04-329HOB-20260908-1831NZST-CLNROOM-01</x:v>
      </x:c>
      <x:c r="J27" s="778" t="str">
        <x:v>Independent reviewer context</x:v>
      </x:c>
      <x:c r="K27" s="778" t="str">
        <x:v>08-Sep-2026</x:v>
      </x:c>
      <x:c r="L27" s="788" t="str">
        <x:v>PASS - COMMITTED</x:v>
      </x:c>
      <x:c r="M27" s="26"/>
      <x:c r="N27" s="26"/>
      <x:c r="O27" s="26"/>
      <x:c r="P27" s="26"/>
      <x:c r="Q27" s="26"/>
      <x:c r="R27" s="26"/>
      <x:c r="S27" s="26"/>
      <x:c r="T27" s="26"/>
      <x:c r="U27" s="26"/>
      <x:c r="V27" s="26"/>
      <x:c r="W27" s="26"/>
      <x:c r="X27" s="26"/>
    </x:row>
    <x:row r="28" ht="54" customHeight="1">
      <x:c r="A28" s="26" t="str">
        <x:v>ERB-05</x:v>
      </x:c>
      <x:c r="B28" s="26" t="str">
        <x:v>Quantity &amp; takeoff challenge reviewer</x:v>
      </x:c>
      <x:c r="C28" s="26" t="str">
        <x:v>Specialist</x:v>
      </x:c>
      <x:c r="D28" s="778" t="str">
        <x:v>Yes</x:v>
      </x:c>
      <x:c r="E28" s="778" t="str">
        <x:v>Yes</x:v>
      </x:c>
      <x:c r="F28" s="778" t="str">
        <x:v>Yes</x:v>
      </x:c>
      <x:c r="G28" s="778" t="str">
        <x:v>Yes</x:v>
      </x:c>
      <x:c r="H28" s="778" t="str">
        <x:v>Committed in isolated clean-room context before primary comparison; original output frozen.</x:v>
      </x:c>
      <x:c r="I28" s="778" t="str">
        <x:v>ERB05-329HR-20260908-01</x:v>
      </x:c>
      <x:c r="J28" s="778" t="str">
        <x:v>Independent reviewer context</x:v>
      </x:c>
      <x:c r="K28" s="778" t="str">
        <x:v>08-Sep-2026</x:v>
      </x:c>
      <x:c r="L28" s="788" t="str">
        <x:v>PASS - COMMITTED</x:v>
      </x:c>
      <x:c r="M28" s="26"/>
      <x:c r="N28" s="26"/>
      <x:c r="O28" s="26"/>
      <x:c r="P28" s="26"/>
      <x:c r="Q28" s="26"/>
      <x:c r="R28" s="26"/>
      <x:c r="S28" s="26"/>
      <x:c r="T28" s="26"/>
      <x:c r="U28" s="26"/>
      <x:c r="V28" s="26"/>
      <x:c r="W28" s="26"/>
      <x:c r="X28" s="26"/>
    </x:row>
    <x:row r="29" ht="54" customHeight="1">
      <x:c r="A29" s="26" t="str">
        <x:v>ERB-06</x:v>
      </x:c>
      <x:c r="B29" s="26" t="str">
        <x:v>Method / productivity / crew challenge reviewer</x:v>
      </x:c>
      <x:c r="C29" s="26" t="str">
        <x:v>Specialist</x:v>
      </x:c>
      <x:c r="D29" s="778" t="str">
        <x:v>Yes</x:v>
      </x:c>
      <x:c r="E29" s="778" t="str">
        <x:v>Yes</x:v>
      </x:c>
      <x:c r="F29" s="778" t="str">
        <x:v>Yes</x:v>
      </x:c>
      <x:c r="G29" s="778" t="str">
        <x:v>Yes</x:v>
      </x:c>
      <x:c r="H29" s="778" t="str">
        <x:v>Committed in isolated clean-room context before primary comparison; original output frozen.</x:v>
      </x:c>
      <x:c r="I29" s="778" t="str">
        <x:v>ERB06-329HOB-20260908-1832-NZST-CLN</x:v>
      </x:c>
      <x:c r="J29" s="778" t="str">
        <x:v>Independent reviewer context</x:v>
      </x:c>
      <x:c r="K29" s="778" t="str">
        <x:v>08-Sep-2026</x:v>
      </x:c>
      <x:c r="L29" s="788" t="str">
        <x:v>PASS - COMMITTED</x:v>
      </x:c>
      <x:c r="M29" s="26"/>
      <x:c r="N29" s="26"/>
      <x:c r="O29" s="26"/>
      <x:c r="P29" s="26"/>
      <x:c r="Q29" s="26"/>
      <x:c r="R29" s="26"/>
      <x:c r="S29" s="26"/>
      <x:c r="T29" s="26"/>
      <x:c r="U29" s="26"/>
      <x:c r="V29" s="26"/>
      <x:c r="W29" s="26"/>
      <x:c r="X29" s="26"/>
    </x:row>
    <x:row r="30" ht="54" customHeight="1">
      <x:c r="A30" s="26" t="str">
        <x:v>ERB-07</x:v>
      </x:c>
      <x:c r="B30" s="26" t="str">
        <x:v>Rate &amp; procurement challenge reviewer</x:v>
      </x:c>
      <x:c r="C30" s="26" t="str">
        <x:v>Specialist</x:v>
      </x:c>
      <x:c r="D30" s="778" t="str">
        <x:v>Yes</x:v>
      </x:c>
      <x:c r="E30" s="778" t="str">
        <x:v>Yes</x:v>
      </x:c>
      <x:c r="F30" s="778" t="str">
        <x:v>Yes</x:v>
      </x:c>
      <x:c r="G30" s="778" t="str">
        <x:v>Yes</x:v>
      </x:c>
      <x:c r="H30" s="778" t="str">
        <x:v>Committed in isolated clean-room context before primary comparison; original output frozen.</x:v>
      </x:c>
      <x:c r="I30" s="778" t="str">
        <x:v>ERB07-329HOB-20260908-01</x:v>
      </x:c>
      <x:c r="J30" s="778" t="str">
        <x:v>Independent reviewer context</x:v>
      </x:c>
      <x:c r="K30" s="778" t="str">
        <x:v>08-Sep-2026</x:v>
      </x:c>
      <x:c r="L30" s="788" t="str">
        <x:v>PASS - COMMITTED</x:v>
      </x:c>
      <x:c r="M30" s="26"/>
      <x:c r="N30" s="26"/>
      <x:c r="O30" s="26"/>
      <x:c r="P30" s="26"/>
      <x:c r="Q30" s="26"/>
      <x:c r="R30" s="26"/>
      <x:c r="S30" s="26"/>
      <x:c r="T30" s="26"/>
      <x:c r="U30" s="26"/>
      <x:c r="V30" s="26"/>
      <x:c r="W30" s="26"/>
      <x:c r="X30" s="26"/>
    </x:row>
    <x:row r="31" ht="54" customHeight="1">
      <x:c r="A31" s="26" t="str">
        <x:v>ERB-08</x:v>
      </x:c>
      <x:c r="B31" s="26" t="str">
        <x:v>Programme &amp; time-cost challenge reviewer</x:v>
      </x:c>
      <x:c r="C31" s="26" t="str">
        <x:v>Specialist</x:v>
      </x:c>
      <x:c r="D31" s="778" t="str">
        <x:v>Yes</x:v>
      </x:c>
      <x:c r="E31" s="778" t="str">
        <x:v>Yes</x:v>
      </x:c>
      <x:c r="F31" s="778" t="str">
        <x:v>Yes</x:v>
      </x:c>
      <x:c r="G31" s="778" t="str">
        <x:v>Yes</x:v>
      </x:c>
      <x:c r="H31" s="778" t="str">
        <x:v>Committed in isolated clean-room context before primary comparison; original output frozen.</x:v>
      </x:c>
      <x:c r="I31" s="778" t="str">
        <x:v>ERB08-329HOB-20260908-1833-NZST-01</x:v>
      </x:c>
      <x:c r="J31" s="778" t="str">
        <x:v>Independent reviewer context</x:v>
      </x:c>
      <x:c r="K31" s="778" t="str">
        <x:v>08-Sep-2026</x:v>
      </x:c>
      <x:c r="L31" s="788" t="str">
        <x:v>PASS - COMMITTED</x:v>
      </x:c>
      <x:c r="M31" s="26"/>
      <x:c r="N31" s="26"/>
      <x:c r="O31" s="26"/>
      <x:c r="P31" s="26"/>
      <x:c r="Q31" s="26"/>
      <x:c r="R31" s="26"/>
      <x:c r="S31" s="26"/>
      <x:c r="T31" s="26"/>
      <x:c r="U31" s="26"/>
      <x:c r="V31" s="26"/>
      <x:c r="W31" s="26"/>
      <x:c r="X31" s="26"/>
    </x:row>
    <x:row r="32" ht="54" customHeight="1">
      <x:c r="A32" s="26" t="str">
        <x:v>ERB-09</x:v>
      </x:c>
      <x:c r="B32" s="26" t="str">
        <x:v>Risk / commercial / double-count challenge reviewer</x:v>
      </x:c>
      <x:c r="C32" s="26" t="str">
        <x:v>Specialist</x:v>
      </x:c>
      <x:c r="D32" s="778" t="str">
        <x:v>Yes</x:v>
      </x:c>
      <x:c r="E32" s="778" t="str">
        <x:v>Yes</x:v>
      </x:c>
      <x:c r="F32" s="778" t="str">
        <x:v>Yes</x:v>
      </x:c>
      <x:c r="G32" s="778" t="str">
        <x:v>Yes</x:v>
      </x:c>
      <x:c r="H32" s="778" t="str">
        <x:v>Committed in isolated clean-room context before primary comparison; original output frozen.</x:v>
      </x:c>
      <x:c r="I32" s="778" t="str">
        <x:v>ERB09-329HOB-20260908-1833-NZ-CTX09</x:v>
      </x:c>
      <x:c r="J32" s="778" t="str">
        <x:v>Independent reviewer context</x:v>
      </x:c>
      <x:c r="K32" s="778" t="str">
        <x:v>08-Sep-2026</x:v>
      </x:c>
      <x:c r="L32" s="788" t="str">
        <x:v>PASS - COMMITTED</x:v>
      </x:c>
      <x:c r="M32" s="26"/>
      <x:c r="N32" s="26"/>
      <x:c r="O32" s="26"/>
      <x:c r="P32" s="26"/>
      <x:c r="Q32" s="26"/>
      <x:c r="R32" s="26"/>
      <x:c r="S32" s="26"/>
      <x:c r="T32" s="26"/>
      <x:c r="U32" s="26"/>
      <x:c r="V32" s="26"/>
      <x:c r="W32" s="26"/>
      <x:c r="X32" s="26"/>
    </x:row>
    <x:row r="33" ht="54" customHeight="1">
      <x:c r="A33" s="26" t="str">
        <x:v>ERB-10</x:v>
      </x:c>
      <x:c r="B33" s="26" t="str">
        <x:v>Chief Estimator - evidence adjudicator</x:v>
      </x:c>
      <x:c r="C33" s="26" t="str">
        <x:v>Adjudication</x:v>
      </x:c>
      <x:c r="D33" s="778" t="str">
        <x:v>Yes</x:v>
      </x:c>
      <x:c r="E33" s="778" t="str">
        <x:v>N/A</x:v>
      </x:c>
      <x:c r="F33" s="778" t="str">
        <x:v>N/A</x:v>
      </x:c>
      <x:c r="G33" s="778" t="str">
        <x:v>Yes</x:v>
      </x:c>
      <x:c r="H33" s="778" t="str">
        <x:v>Evidence-led Chief Estimator adjudication; no averaging/voting.</x:v>
      </x:c>
      <x:c r="I33" s="778" t="str">
        <x:v>REV20-ADJ-20260908</x:v>
      </x:c>
      <x:c r="J33" s="778" t="str">
        <x:v>Chief Estimator</x:v>
      </x:c>
      <x:c r="K33" s="778" t="str">
        <x:v>08-Sep-2026</x:v>
      </x:c>
      <x:c r="L33" s="788" t="str">
        <x:v>PASS WITH AMBER / WORKING HOLD</x:v>
      </x:c>
      <x:c r="M33" s="26"/>
      <x:c r="N33" s="26"/>
      <x:c r="O33" s="26"/>
      <x:c r="P33" s="26"/>
      <x:c r="Q33" s="26"/>
      <x:c r="R33" s="26"/>
      <x:c r="S33" s="26"/>
      <x:c r="T33" s="26"/>
      <x:c r="U33" s="26"/>
      <x:c r="V33" s="26"/>
      <x:c r="W33" s="26"/>
      <x:c r="X33" s="26"/>
    </x:row>
    <x:row r="34" ht="24" customHeight="1">
      <x:c r="A34" s="26" t="str">
        <x:v>INTERNAL PRE-RELEASE RED-TEAM NOTE</x:v>
      </x:c>
      <x:c r="B34" s="26"/>
      <x:c r="C34" s="26"/>
      <x:c r="D34" s="26"/>
      <x:c r="E34" s="26"/>
      <x:c r="F34" s="26"/>
      <x:c r="G34" s="26"/>
      <x:c r="H34" s="26"/>
      <x:c r="I34" s="26"/>
      <x:c r="J34" s="26"/>
      <x:c r="K34" s="26"/>
      <x:c r="L34" s="26"/>
      <x:c r="M34" s="26"/>
      <x:c r="N34" s="26"/>
      <x:c r="O34" s="26"/>
      <x:c r="P34" s="26"/>
      <x:c r="Q34" s="26"/>
      <x:c r="R34" s="26"/>
      <x:c r="S34" s="26"/>
      <x:c r="T34" s="26"/>
      <x:c r="U34" s="26"/>
      <x:c r="V34" s="26"/>
      <x:c r="W34" s="26"/>
      <x:c r="X34" s="26"/>
    </x:row>
    <x:row r="35" ht="48" customHeight="1">
      <x:c r="A35" s="26" t="str">
        <x:v>08-Sep-2026: current-context scope/quantity/method/programme/risk prechecks were completed to prepare the tender pack. Because this conversation has already seen the primary estimate, these checks are NOT recorded as independent mandatory ERB-04/05/06/08/09 completion. The formal Board must still run in isolated contexts after the major quote returns.</x:v>
      </x:c>
      <x:c r="B35" s="26"/>
      <x:c r="C35" s="26"/>
      <x:c r="D35" s="26"/>
      <x:c r="E35" s="26"/>
      <x:c r="F35" s="26"/>
      <x:c r="G35" s="26"/>
      <x:c r="H35" s="26"/>
      <x:c r="I35" s="26"/>
      <x:c r="J35" s="26"/>
      <x:c r="K35" s="26"/>
      <x:c r="L35" s="26"/>
      <x:c r="M35" s="26"/>
      <x:c r="N35" s="26"/>
      <x:c r="O35" s="26"/>
      <x:c r="P35" s="26"/>
      <x:c r="Q35" s="26"/>
      <x:c r="R35" s="26"/>
      <x:c r="S35" s="26"/>
      <x:c r="T35" s="26"/>
      <x:c r="U35" s="26"/>
      <x:c r="V35" s="26"/>
      <x:c r="W35" s="26"/>
      <x:c r="X35" s="26"/>
    </x:row>
    <x:row r="36">
      <x:c r="A36" s="770" t="str">
        <x:v>QS ITEM VERIFICATION COVERAGE - EVERY ACTIVE QS ITEM MUST SURVIVE EACH MANDATORY REVIEW</x:v>
      </x:c>
      <x:c r="B36" s="770"/>
      <x:c r="C36" s="770"/>
      <x:c r="D36" s="770"/>
      <x:c r="E36" s="770"/>
      <x:c r="F36" s="770"/>
      <x:c r="G36" s="770"/>
      <x:c r="H36" s="770"/>
      <x:c r="I36" s="770"/>
      <x:c r="J36" s="770"/>
      <x:c r="K36" s="770"/>
      <x:c r="L36" s="770"/>
      <x:c r="M36" s="770"/>
      <x:c r="N36" s="770"/>
      <x:c r="O36" s="770"/>
      <x:c r="P36" s="770"/>
      <x:c r="Q36" s="770"/>
      <x:c r="R36" s="26"/>
      <x:c r="S36" s="26"/>
      <x:c r="T36" s="26"/>
      <x:c r="U36" s="26"/>
      <x:c r="V36" s="26"/>
      <x:c r="W36" s="26"/>
      <x:c r="X36" s="26"/>
    </x:row>
    <x:row r="37">
      <x:c r="A37" s="26"/>
      <x:c r="B37" s="26"/>
      <x:c r="C37" s="26"/>
      <x:c r="D37" s="26"/>
      <x:c r="E37" s="26"/>
      <x:c r="F37" s="26"/>
      <x:c r="G37" s="26"/>
      <x:c r="H37" s="26"/>
      <x:c r="I37" s="26"/>
      <x:c r="J37" s="26"/>
      <x:c r="K37" s="26"/>
      <x:c r="L37" s="26"/>
      <x:c r="M37" s="26"/>
      <x:c r="N37" s="26"/>
      <x:c r="O37" s="26"/>
      <x:c r="P37" s="26"/>
      <x:c r="Q37" s="26"/>
      <x:c r="R37" s="26"/>
      <x:c r="S37" s="26"/>
      <x:c r="T37" s="26"/>
      <x:c r="U37" s="26"/>
      <x:c r="V37" s="26"/>
      <x:c r="W37" s="26"/>
      <x:c r="X37" s="26"/>
    </x:row>
    <x:row r="38">
      <x:c r="A38" s="26"/>
      <x:c r="B38" s="26"/>
      <x:c r="C38" s="26"/>
      <x:c r="D38" s="26"/>
      <x:c r="E38" s="26"/>
      <x:c r="F38" s="26"/>
      <x:c r="G38" s="26"/>
      <x:c r="H38" s="26"/>
      <x:c r="I38" s="26"/>
      <x:c r="J38" s="26"/>
      <x:c r="K38" s="26"/>
      <x:c r="L38" s="26"/>
      <x:c r="M38" s="26"/>
      <x:c r="N38" s="26"/>
      <x:c r="O38" s="26"/>
      <x:c r="P38" s="26"/>
      <x:c r="Q38" s="26"/>
      <x:c r="R38" s="26"/>
      <x:c r="S38" s="26"/>
      <x:c r="T38" s="26"/>
      <x:c r="U38" s="26"/>
      <x:c r="V38" s="26"/>
      <x:c r="W38" s="26"/>
      <x:c r="X38" s="26"/>
    </x:row>
    <x:row r="39" ht="38" customHeight="1">
      <x:c r="A39" s="776" t="str">
        <x:v>QS Code</x:v>
      </x:c>
      <x:c r="B39" s="776" t="str">
        <x:v>WBS / Section</x:v>
      </x:c>
      <x:c r="C39" s="776" t="str">
        <x:v>Description</x:v>
      </x:c>
      <x:c r="D39" s="776" t="str">
        <x:v>Quantity</x:v>
      </x:c>
      <x:c r="E39" s="776" t="str">
        <x:v>Unit</x:v>
      </x:c>
      <x:c r="F39" s="776" t="str">
        <x:v>Amount excl. GST</x:v>
      </x:c>
      <x:c r="G39" s="776" t="str">
        <x:v>Estimator A</x:v>
      </x:c>
      <x:c r="H39" s="776" t="str">
        <x:v>Estimator B</x:v>
      </x:c>
      <x:c r="I39" s="776" t="str">
        <x:v>Estimator C</x:v>
      </x:c>
      <x:c r="J39" s="776" t="str">
        <x:v>Scope</x:v>
      </x:c>
      <x:c r="K39" s="776" t="str">
        <x:v>Quantity</x:v>
      </x:c>
      <x:c r="L39" s="776" t="str">
        <x:v>Method / Productivity</x:v>
      </x:c>
      <x:c r="M39" s="776" t="str">
        <x:v>Rate / Procurement</x:v>
      </x:c>
      <x:c r="N39" s="776" t="str">
        <x:v>Programme</x:v>
      </x:c>
      <x:c r="O39" s="776" t="str">
        <x:v>Risk / Commercial</x:v>
      </x:c>
      <x:c r="P39" s="776" t="str">
        <x:v>Item Verification Gate</x:v>
      </x:c>
      <x:c r="Q39" s="776" t="str">
        <x:v>Finding IDs / Notes</x:v>
      </x:c>
      <x:c r="R39" s="26"/>
      <x:c r="S39" s="26"/>
      <x:c r="T39" s="26"/>
      <x:c r="U39" s="26"/>
      <x:c r="V39" s="26"/>
      <x:c r="W39" s="26"/>
      <x:c r="X39" s="26"/>
    </x:row>
    <x:row r="40" ht="22" customHeight="1">
      <x:c r="A40" s="26" t="str">
        <x:f>IF('QS Takeoff'!B3="","",'QS Takeoff'!B3)</x:f>
        <x:v>PG01</x:v>
      </x:c>
      <x:c r="B40" s="26" t="str">
        <x:f>IF('QS Takeoff'!B3="","",'QS Takeoff'!A3)</x:f>
        <x:v>Preliminaries &amp; General</x:v>
      </x:c>
      <x:c r="C40" s="26" t="str">
        <x:f>IF('QS Takeoff'!B3="","",'QS Takeoff'!C3)</x:f>
        <x:v>Project preliminaries / site management - programme dependent</x:v>
      </x:c>
      <x:c r="D40" s="550" t="n">
        <x:f>IF('QS Takeoff'!B3="","",'QS Takeoff'!E3)</x:f>
        <x:v>1</x:v>
      </x:c>
      <x:c r="E40" s="26" t="str">
        <x:f>IF('QS Takeoff'!B3="","",'QS Takeoff'!D3)</x:f>
        <x:v>LS</x:v>
      </x:c>
      <x:c r="F40" s="556" t="n">
        <x:f>IF('QS Takeoff'!B3="","",'QS Takeoff'!G3)</x:f>
        <x:v>48403.4</x:v>
      </x:c>
      <x:c r="G40" s="778" t="str">
        <x:v>ERB-01 REVIEWED</x:v>
      </x:c>
      <x:c r="H40" s="778" t="str">
        <x:v>ERB-02 REVIEWED</x:v>
      </x:c>
      <x:c r="I40" s="778" t="str">
        <x:v>ERB-03 REVIEWED</x:v>
      </x:c>
      <x:c r="J40" s="778" t="str">
        <x:v>ERB-04 COMPLETE</x:v>
      </x:c>
      <x:c r="K40" s="778" t="str">
        <x:v>ERB-05 COMPLETE</x:v>
      </x:c>
      <x:c r="L40" s="778" t="str">
        <x:v>ERB-06 COMPLETE</x:v>
      </x:c>
      <x:c r="M40" s="778" t="str">
        <x:v>ERB-07 COMPLETE</x:v>
      </x:c>
      <x:c r="N40" s="778" t="str">
        <x:v>ERB-08 COMPLETE</x:v>
      </x:c>
      <x:c r="O40" s="778" t="str">
        <x:v>ERB-09 COMPLETE</x:v>
      </x:c>
      <x:c r="P40" s="26" t="str">
        <x:v>AMBER - PROGRAMME ADJUDICATED / WEATHER &amp; Q-07 OPEN</x:v>
      </x:c>
      <x:c r="Q40" s="778" t="str">
        <x:v>Formal ERB clean-room review completed. See adjudication register / Rev20 Board Adjudication sheet for accepted/rejected findings.</x:v>
      </x:c>
      <x:c r="R40" s="26"/>
      <x:c r="S40" s="26"/>
      <x:c r="T40" s="26"/>
      <x:c r="U40" s="26"/>
      <x:c r="V40" s="26"/>
      <x:c r="W40" s="26"/>
      <x:c r="X40" s="26"/>
    </x:row>
    <x:row r="41" ht="22" customHeight="1">
      <x:c r="A41" s="26"/>
      <x:c r="B41" s="26"/>
      <x:c r="C41" s="26"/>
      <x:c r="D41" s="550"/>
      <x:c r="E41" s="26"/>
      <x:c r="F41" s="556"/>
      <x:c r="G41" s="778"/>
      <x:c r="H41" s="778"/>
      <x:c r="I41" s="778"/>
      <x:c r="J41" s="778"/>
      <x:c r="K41" s="778"/>
      <x:c r="L41" s="778"/>
      <x:c r="M41" s="778"/>
      <x:c r="N41" s="778"/>
      <x:c r="O41" s="778"/>
      <x:c r="P41" s="26" t="str">
        <x:f>IF(A41="","",IF(COUNTIF(G41:O41,"CHALLENGE - OPEN")&gt;0,"HOLD - OPEN CHALLENGE",IF(COUNTBLANK(G41:O41)&gt;0,"HOLD - NOT FULLY REVIEWED",IF(COUNTIF(G41:O41,"NOT REVIEWED")&gt;0,"HOLD - NOT FULLY REVIEWED","PASS"))))</x:f>
      </x:c>
      <x:c r="Q41" s="778"/>
      <x:c r="R41" s="26"/>
      <x:c r="S41" s="26"/>
      <x:c r="T41" s="26"/>
      <x:c r="U41" s="26"/>
      <x:c r="V41" s="26"/>
      <x:c r="W41" s="26"/>
      <x:c r="X41" s="26"/>
    </x:row>
    <x:row r="42" ht="22" customHeight="1">
      <x:c r="A42" s="26"/>
      <x:c r="B42" s="26"/>
      <x:c r="C42" s="26"/>
      <x:c r="D42" s="550"/>
      <x:c r="E42" s="26"/>
      <x:c r="F42" s="556"/>
      <x:c r="G42" s="778"/>
      <x:c r="H42" s="778"/>
      <x:c r="I42" s="778"/>
      <x:c r="J42" s="778"/>
      <x:c r="K42" s="778"/>
      <x:c r="L42" s="778"/>
      <x:c r="M42" s="778"/>
      <x:c r="N42" s="778"/>
      <x:c r="O42" s="778"/>
      <x:c r="P42" s="26" t="str">
        <x:f>IF(A42="","",IF(COUNTIF(G42:O42,"CHALLENGE - OPEN")&gt;0,"HOLD - OPEN CHALLENGE",IF(COUNTBLANK(G42:O42)&gt;0,"HOLD - NOT FULLY REVIEWED",IF(COUNTIF(G42:O42,"NOT REVIEWED")&gt;0,"HOLD - NOT FULLY REVIEWED","PASS"))))</x:f>
      </x:c>
      <x:c r="Q42" s="778"/>
      <x:c r="R42" s="26"/>
      <x:c r="S42" s="26"/>
      <x:c r="T42" s="26"/>
      <x:c r="U42" s="26"/>
      <x:c r="V42" s="26"/>
      <x:c r="W42" s="26"/>
      <x:c r="X42" s="26"/>
    </x:row>
    <x:row r="43" ht="22" customHeight="1">
      <x:c r="A43" s="26"/>
      <x:c r="B43" s="26"/>
      <x:c r="C43" s="26"/>
      <x:c r="D43" s="550"/>
      <x:c r="E43" s="26"/>
      <x:c r="F43" s="556"/>
      <x:c r="G43" s="778"/>
      <x:c r="H43" s="778"/>
      <x:c r="I43" s="778"/>
      <x:c r="J43" s="778"/>
      <x:c r="K43" s="778"/>
      <x:c r="L43" s="778"/>
      <x:c r="M43" s="778"/>
      <x:c r="N43" s="778"/>
      <x:c r="O43" s="778"/>
      <x:c r="P43" s="26" t="str">
        <x:f>IF(A43="","",IF(COUNTIF(G43:O43,"CHALLENGE - OPEN")&gt;0,"HOLD - OPEN CHALLENGE",IF(COUNTBLANK(G43:O43)&gt;0,"HOLD - NOT FULLY REVIEWED",IF(COUNTIF(G43:O43,"NOT REVIEWED")&gt;0,"HOLD - NOT FULLY REVIEWED","PASS"))))</x:f>
      </x:c>
      <x:c r="Q43" s="778"/>
      <x:c r="R43" s="26"/>
      <x:c r="S43" s="26"/>
      <x:c r="T43" s="26"/>
      <x:c r="U43" s="26"/>
      <x:c r="V43" s="26"/>
      <x:c r="W43" s="26"/>
      <x:c r="X43" s="26"/>
    </x:row>
    <x:row r="44" ht="22" customHeight="1">
      <x:c r="A44" s="26"/>
      <x:c r="B44" s="26"/>
      <x:c r="C44" s="26"/>
      <x:c r="D44" s="550"/>
      <x:c r="E44" s="26"/>
      <x:c r="F44" s="556"/>
      <x:c r="G44" s="778"/>
      <x:c r="H44" s="778"/>
      <x:c r="I44" s="778"/>
      <x:c r="J44" s="778"/>
      <x:c r="K44" s="778"/>
      <x:c r="L44" s="778"/>
      <x:c r="M44" s="778"/>
      <x:c r="N44" s="778"/>
      <x:c r="O44" s="778"/>
      <x:c r="P44" s="26" t="str">
        <x:f>IF(A44="","",IF(COUNTIF(G44:O44,"CHALLENGE - OPEN")&gt;0,"HOLD - OPEN CHALLENGE",IF(COUNTBLANK(G44:O44)&gt;0,"HOLD - NOT FULLY REVIEWED",IF(COUNTIF(G44:O44,"NOT REVIEWED")&gt;0,"HOLD - NOT FULLY REVIEWED","PASS"))))</x:f>
      </x:c>
      <x:c r="Q44" s="778"/>
      <x:c r="R44" s="26"/>
      <x:c r="S44" s="26"/>
      <x:c r="T44" s="26"/>
      <x:c r="U44" s="26"/>
      <x:c r="V44" s="26"/>
      <x:c r="W44" s="26"/>
      <x:c r="X44" s="26"/>
    </x:row>
    <x:row r="45" ht="22" customHeight="1">
      <x:c r="A45" s="26"/>
      <x:c r="B45" s="26"/>
      <x:c r="C45" s="26"/>
      <x:c r="D45" s="550"/>
      <x:c r="E45" s="26"/>
      <x:c r="F45" s="556"/>
      <x:c r="G45" s="778"/>
      <x:c r="H45" s="778"/>
      <x:c r="I45" s="778"/>
      <x:c r="J45" s="778"/>
      <x:c r="K45" s="778"/>
      <x:c r="L45" s="778"/>
      <x:c r="M45" s="778"/>
      <x:c r="N45" s="778"/>
      <x:c r="O45" s="778"/>
      <x:c r="P45" s="26" t="str">
        <x:f>IF(A45="","",IF(COUNTIF(G45:O45,"CHALLENGE - OPEN")&gt;0,"HOLD - OPEN CHALLENGE",IF(COUNTBLANK(G45:O45)&gt;0,"HOLD - NOT FULLY REVIEWED",IF(COUNTIF(G45:O45,"NOT REVIEWED")&gt;0,"HOLD - NOT FULLY REVIEWED","PASS"))))</x:f>
      </x:c>
      <x:c r="Q45" s="778"/>
      <x:c r="R45" s="26"/>
      <x:c r="S45" s="26"/>
      <x:c r="T45" s="26"/>
      <x:c r="U45" s="26"/>
      <x:c r="V45" s="26"/>
      <x:c r="W45" s="26"/>
      <x:c r="X45" s="26"/>
    </x:row>
    <x:row r="46" ht="22" customHeight="1">
      <x:c r="A46" s="26"/>
      <x:c r="B46" s="26"/>
      <x:c r="C46" s="26"/>
      <x:c r="D46" s="550"/>
      <x:c r="E46" s="26"/>
      <x:c r="F46" s="556"/>
      <x:c r="G46" s="778"/>
      <x:c r="H46" s="778"/>
      <x:c r="I46" s="778"/>
      <x:c r="J46" s="778"/>
      <x:c r="K46" s="778"/>
      <x:c r="L46" s="778"/>
      <x:c r="M46" s="778"/>
      <x:c r="N46" s="778"/>
      <x:c r="O46" s="778"/>
      <x:c r="P46" s="26" t="str">
        <x:f>IF(A46="","",IF(COUNTIF(G46:O46,"CHALLENGE - OPEN")&gt;0,"HOLD - OPEN CHALLENGE",IF(COUNTBLANK(G46:O46)&gt;0,"HOLD - NOT FULLY REVIEWED",IF(COUNTIF(G46:O46,"NOT REVIEWED")&gt;0,"HOLD - NOT FULLY REVIEWED","PASS"))))</x:f>
      </x:c>
      <x:c r="Q46" s="778"/>
      <x:c r="R46" s="26"/>
      <x:c r="S46" s="26"/>
      <x:c r="T46" s="26"/>
      <x:c r="U46" s="26"/>
      <x:c r="V46" s="26"/>
      <x:c r="W46" s="26"/>
      <x:c r="X46" s="26"/>
    </x:row>
    <x:row r="47" ht="22" customHeight="1">
      <x:c r="A47" s="26"/>
      <x:c r="B47" s="26"/>
      <x:c r="C47" s="26"/>
      <x:c r="D47" s="550"/>
      <x:c r="E47" s="26"/>
      <x:c r="F47" s="556"/>
      <x:c r="G47" s="778"/>
      <x:c r="H47" s="778"/>
      <x:c r="I47" s="778"/>
      <x:c r="J47" s="778"/>
      <x:c r="K47" s="778"/>
      <x:c r="L47" s="778"/>
      <x:c r="M47" s="778"/>
      <x:c r="N47" s="778"/>
      <x:c r="O47" s="778"/>
      <x:c r="P47" s="26" t="str">
        <x:f>IF(A47="","",IF(COUNTIF(G47:O47,"CHALLENGE - OPEN")&gt;0,"HOLD - OPEN CHALLENGE",IF(COUNTBLANK(G47:O47)&gt;0,"HOLD - NOT FULLY REVIEWED",IF(COUNTIF(G47:O47,"NOT REVIEWED")&gt;0,"HOLD - NOT FULLY REVIEWED","PASS"))))</x:f>
      </x:c>
      <x:c r="Q47" s="778"/>
      <x:c r="R47" s="26"/>
      <x:c r="S47" s="26"/>
      <x:c r="T47" s="26"/>
      <x:c r="U47" s="26"/>
      <x:c r="V47" s="26"/>
      <x:c r="W47" s="26"/>
      <x:c r="X47" s="26"/>
    </x:row>
    <x:row r="48" ht="22" customHeight="1">
      <x:c r="A48" s="26"/>
      <x:c r="B48" s="26"/>
      <x:c r="C48" s="26"/>
      <x:c r="D48" s="550"/>
      <x:c r="E48" s="26"/>
      <x:c r="F48" s="556"/>
      <x:c r="G48" s="778"/>
      <x:c r="H48" s="778"/>
      <x:c r="I48" s="778"/>
      <x:c r="J48" s="778"/>
      <x:c r="K48" s="778"/>
      <x:c r="L48" s="778"/>
      <x:c r="M48" s="778"/>
      <x:c r="N48" s="778"/>
      <x:c r="O48" s="778"/>
      <x:c r="P48" s="26" t="str">
        <x:f>IF(A48="","",IF(COUNTIF(G48:O48,"CHALLENGE - OPEN")&gt;0,"HOLD - OPEN CHALLENGE",IF(COUNTBLANK(G48:O48)&gt;0,"HOLD - NOT FULLY REVIEWED",IF(COUNTIF(G48:O48,"NOT REVIEWED")&gt;0,"HOLD - NOT FULLY REVIEWED","PASS"))))</x:f>
      </x:c>
      <x:c r="Q48" s="778"/>
      <x:c r="R48" s="26"/>
      <x:c r="S48" s="26"/>
      <x:c r="T48" s="26"/>
      <x:c r="U48" s="26"/>
      <x:c r="V48" s="26"/>
      <x:c r="W48" s="26"/>
      <x:c r="X48" s="26"/>
    </x:row>
    <x:row r="49" ht="22" customHeight="1">
      <x:c r="A49" s="26"/>
      <x:c r="B49" s="26"/>
      <x:c r="C49" s="26"/>
      <x:c r="D49" s="550"/>
      <x:c r="E49" s="26"/>
      <x:c r="F49" s="556"/>
      <x:c r="G49" s="778"/>
      <x:c r="H49" s="778"/>
      <x:c r="I49" s="778"/>
      <x:c r="J49" s="778"/>
      <x:c r="K49" s="778"/>
      <x:c r="L49" s="778"/>
      <x:c r="M49" s="778"/>
      <x:c r="N49" s="778"/>
      <x:c r="O49" s="778"/>
      <x:c r="P49" s="26" t="str">
        <x:f>IF(A49="","",IF(COUNTIF(G49:O49,"CHALLENGE - OPEN")&gt;0,"HOLD - OPEN CHALLENGE",IF(COUNTBLANK(G49:O49)&gt;0,"HOLD - NOT FULLY REVIEWED",IF(COUNTIF(G49:O49,"NOT REVIEWED")&gt;0,"HOLD - NOT FULLY REVIEWED","PASS"))))</x:f>
      </x:c>
      <x:c r="Q49" s="778"/>
      <x:c r="R49" s="26"/>
      <x:c r="S49" s="26"/>
      <x:c r="T49" s="26"/>
      <x:c r="U49" s="26"/>
      <x:c r="V49" s="26"/>
      <x:c r="W49" s="26"/>
      <x:c r="X49" s="26"/>
    </x:row>
    <x:row r="50" ht="22" customHeight="1">
      <x:c r="A50" s="26" t="str">
        <x:f>IF('QS Takeoff'!B12="","",'QS Takeoff'!B12)</x:f>
        <x:v>ESC01</x:v>
      </x:c>
      <x:c r="B50" s="26" t="str">
        <x:f>IF('QS Takeoff'!B12="","",'QS Takeoff'!A12)</x:f>
        <x:v>Erosion &amp; Sediment Control</x:v>
      </x:c>
      <x:c r="C50" s="26" t="str">
        <x:f>IF('QS Takeoff'!B12="","",'QS Takeoff'!C12)</x:f>
        <x:v>Erosion &amp; sediment control - site-specific layout and extents</x:v>
      </x:c>
      <x:c r="D50" s="550" t="n">
        <x:f>IF('QS Takeoff'!B12="","",'QS Takeoff'!E12)</x:f>
        <x:v>1</x:v>
      </x:c>
      <x:c r="E50" s="26" t="str">
        <x:f>IF('QS Takeoff'!B12="","",'QS Takeoff'!D12)</x:f>
        <x:v>LS</x:v>
      </x:c>
      <x:c r="F50" s="556" t="n">
        <x:f>IF('QS Takeoff'!B12="","",'QS Takeoff'!G12)</x:f>
        <x:v>7750.143268186798</x:v>
      </x:c>
      <x:c r="G50" s="778" t="str">
        <x:v>ERB-01 REVIEWED</x:v>
      </x:c>
      <x:c r="H50" s="778" t="str">
        <x:v>ERB-02 REVIEWED</x:v>
      </x:c>
      <x:c r="I50" s="778" t="str">
        <x:v>ERB-03 REVIEWED</x:v>
      </x:c>
      <x:c r="J50" s="778" t="str">
        <x:v>ERB-04 COMPLETE</x:v>
      </x:c>
      <x:c r="K50" s="778" t="str">
        <x:v>ERB-05 COMPLETE</x:v>
      </x:c>
      <x:c r="L50" s="778" t="str">
        <x:v>ERB-06 COMPLETE</x:v>
      </x:c>
      <x:c r="M50" s="778" t="str">
        <x:v>ERB-07 COMPLETE</x:v>
      </x:c>
      <x:c r="N50" s="778" t="str">
        <x:v>ERB-08 COMPLETE</x:v>
      </x:c>
      <x:c r="O50" s="778" t="str">
        <x:v>ERB-09 COMPLETE</x:v>
      </x:c>
      <x:c r="P50" s="26" t="str">
        <x:v>PASS WITH AMBER - RFI CLOSED / ESC MEASURED</x:v>
      </x:c>
      <x:c r="Q50" s="778" t="str">
        <x:v>Stamped RC plans supplied. ESC01 now measured/resource-linked: 226.3lm main fence +8.0lm return allowance and 49m2 entrance. Remaining AMBER: return setout, washed aggregate delivery/product and maintenance actuals.</x:v>
      </x:c>
      <x:c r="R50" s="26"/>
      <x:c r="S50" s="26"/>
      <x:c r="T50" s="26"/>
      <x:c r="U50" s="26"/>
      <x:c r="V50" s="26"/>
      <x:c r="W50" s="26"/>
      <x:c r="X50" s="26"/>
    </x:row>
    <x:row r="51" ht="22" customHeight="1">
      <x:c r="A51" s="26"/>
      <x:c r="B51" s="26"/>
      <x:c r="C51" s="26"/>
      <x:c r="D51" s="550"/>
      <x:c r="E51" s="26"/>
      <x:c r="F51" s="556"/>
      <x:c r="G51" s="778"/>
      <x:c r="H51" s="778"/>
      <x:c r="I51" s="778"/>
      <x:c r="J51" s="778"/>
      <x:c r="K51" s="778"/>
      <x:c r="L51" s="778"/>
      <x:c r="M51" s="778"/>
      <x:c r="N51" s="778"/>
      <x:c r="O51" s="778"/>
      <x:c r="P51" s="26" t="str">
        <x:f>IF(A51="","",IF(COUNTIF(G51:O51,"CHALLENGE - OPEN")&gt;0,"HOLD - OPEN CHALLENGE",IF(COUNTBLANK(G51:O51)&gt;0,"HOLD - NOT FULLY REVIEWED",IF(COUNTIF(G51:O51,"NOT REVIEWED")&gt;0,"HOLD - NOT FULLY REVIEWED","PASS"))))</x:f>
      </x:c>
      <x:c r="Q51" s="778"/>
      <x:c r="R51" s="26"/>
      <x:c r="S51" s="26"/>
      <x:c r="T51" s="26"/>
      <x:c r="U51" s="26"/>
      <x:c r="V51" s="26"/>
      <x:c r="W51" s="26"/>
      <x:c r="X51" s="26"/>
    </x:row>
    <x:row r="52" ht="22" customHeight="1">
      <x:c r="A52" s="26"/>
      <x:c r="B52" s="26"/>
      <x:c r="C52" s="26"/>
      <x:c r="D52" s="550"/>
      <x:c r="E52" s="26"/>
      <x:c r="F52" s="556"/>
      <x:c r="G52" s="778"/>
      <x:c r="H52" s="778"/>
      <x:c r="I52" s="778"/>
      <x:c r="J52" s="778"/>
      <x:c r="K52" s="778"/>
      <x:c r="L52" s="778"/>
      <x:c r="M52" s="778"/>
      <x:c r="N52" s="778"/>
      <x:c r="O52" s="778"/>
      <x:c r="P52" s="26" t="str">
        <x:f>IF(A52="","",IF(COUNTIF(G52:O52,"CHALLENGE - OPEN")&gt;0,"HOLD - OPEN CHALLENGE",IF(COUNTBLANK(G52:O52)&gt;0,"HOLD - NOT FULLY REVIEWED",IF(COUNTIF(G52:O52,"NOT REVIEWED")&gt;0,"HOLD - NOT FULLY REVIEWED","PASS"))))</x:f>
      </x:c>
      <x:c r="Q52" s="778"/>
      <x:c r="R52" s="26"/>
      <x:c r="S52" s="26"/>
      <x:c r="T52" s="26"/>
      <x:c r="U52" s="26"/>
      <x:c r="V52" s="26"/>
      <x:c r="W52" s="26"/>
      <x:c r="X52" s="26"/>
    </x:row>
    <x:row r="53" ht="22" customHeight="1">
      <x:c r="A53" s="26"/>
      <x:c r="B53" s="26"/>
      <x:c r="C53" s="26"/>
      <x:c r="D53" s="550"/>
      <x:c r="E53" s="26"/>
      <x:c r="F53" s="556"/>
      <x:c r="G53" s="778"/>
      <x:c r="H53" s="778"/>
      <x:c r="I53" s="778"/>
      <x:c r="J53" s="778"/>
      <x:c r="K53" s="778"/>
      <x:c r="L53" s="778"/>
      <x:c r="M53" s="778"/>
      <x:c r="N53" s="778"/>
      <x:c r="O53" s="778"/>
      <x:c r="P53" s="26" t="str">
        <x:f>IF(A53="","",IF(COUNTIF(G53:O53,"CHALLENGE - OPEN")&gt;0,"HOLD - OPEN CHALLENGE",IF(COUNTBLANK(G53:O53)&gt;0,"HOLD - NOT FULLY REVIEWED",IF(COUNTIF(G53:O53,"NOT REVIEWED")&gt;0,"HOLD - NOT FULLY REVIEWED","PASS"))))</x:f>
      </x:c>
      <x:c r="Q53" s="778"/>
      <x:c r="R53" s="26"/>
      <x:c r="S53" s="26"/>
      <x:c r="T53" s="26"/>
      <x:c r="U53" s="26"/>
      <x:c r="V53" s="26"/>
      <x:c r="W53" s="26"/>
      <x:c r="X53" s="26"/>
    </x:row>
    <x:row r="54" ht="22" customHeight="1">
      <x:c r="A54" s="26"/>
      <x:c r="B54" s="26"/>
      <x:c r="C54" s="26"/>
      <x:c r="D54" s="550"/>
      <x:c r="E54" s="26"/>
      <x:c r="F54" s="556"/>
      <x:c r="G54" s="778"/>
      <x:c r="H54" s="778"/>
      <x:c r="I54" s="778"/>
      <x:c r="J54" s="778"/>
      <x:c r="K54" s="778"/>
      <x:c r="L54" s="778"/>
      <x:c r="M54" s="778"/>
      <x:c r="N54" s="778"/>
      <x:c r="O54" s="778"/>
      <x:c r="P54" s="26" t="str">
        <x:f>IF(A54="","",IF(COUNTIF(G54:O54,"CHALLENGE - OPEN")&gt;0,"HOLD - OPEN CHALLENGE",IF(COUNTBLANK(G54:O54)&gt;0,"HOLD - NOT FULLY REVIEWED",IF(COUNTIF(G54:O54,"NOT REVIEWED")&gt;0,"HOLD - NOT FULLY REVIEWED","PASS"))))</x:f>
      </x:c>
      <x:c r="Q54" s="778"/>
      <x:c r="R54" s="26"/>
      <x:c r="S54" s="26"/>
      <x:c r="T54" s="26"/>
      <x:c r="U54" s="26"/>
      <x:c r="V54" s="26"/>
      <x:c r="W54" s="26"/>
      <x:c r="X54" s="26"/>
    </x:row>
    <x:row r="55" ht="22" customHeight="1">
      <x:c r="A55" s="26"/>
      <x:c r="B55" s="26"/>
      <x:c r="C55" s="26"/>
      <x:c r="D55" s="550"/>
      <x:c r="E55" s="26"/>
      <x:c r="F55" s="556"/>
      <x:c r="G55" s="778"/>
      <x:c r="H55" s="778"/>
      <x:c r="I55" s="778"/>
      <x:c r="J55" s="778"/>
      <x:c r="K55" s="778"/>
      <x:c r="L55" s="778"/>
      <x:c r="M55" s="778"/>
      <x:c r="N55" s="778"/>
      <x:c r="O55" s="778"/>
      <x:c r="P55" s="26" t="str">
        <x:f>IF(A55="","",IF(COUNTIF(G55:O55,"CHALLENGE - OPEN")&gt;0,"HOLD - OPEN CHALLENGE",IF(COUNTBLANK(G55:O55)&gt;0,"HOLD - NOT FULLY REVIEWED",IF(COUNTIF(G55:O55,"NOT REVIEWED")&gt;0,"HOLD - NOT FULLY REVIEWED","PASS"))))</x:f>
      </x:c>
      <x:c r="Q55" s="778"/>
      <x:c r="R55" s="26"/>
      <x:c r="S55" s="26"/>
      <x:c r="T55" s="26"/>
      <x:c r="U55" s="26"/>
      <x:c r="V55" s="26"/>
      <x:c r="W55" s="26"/>
      <x:c r="X55" s="26"/>
    </x:row>
    <x:row r="56" ht="22" customHeight="1">
      <x:c r="A56" s="26"/>
      <x:c r="B56" s="26"/>
      <x:c r="C56" s="26"/>
      <x:c r="D56" s="550"/>
      <x:c r="E56" s="26"/>
      <x:c r="F56" s="556"/>
      <x:c r="G56" s="778"/>
      <x:c r="H56" s="778"/>
      <x:c r="I56" s="778"/>
      <x:c r="J56" s="778"/>
      <x:c r="K56" s="778"/>
      <x:c r="L56" s="778"/>
      <x:c r="M56" s="778"/>
      <x:c r="N56" s="778"/>
      <x:c r="O56" s="778"/>
      <x:c r="P56" s="26" t="str">
        <x:f>IF(A56="","",IF(COUNTIF(G56:O56,"CHALLENGE - OPEN")&gt;0,"HOLD - OPEN CHALLENGE",IF(COUNTBLANK(G56:O56)&gt;0,"HOLD - NOT FULLY REVIEWED",IF(COUNTIF(G56:O56,"NOT REVIEWED")&gt;0,"HOLD - NOT FULLY REVIEWED","PASS"))))</x:f>
      </x:c>
      <x:c r="Q56" s="778"/>
      <x:c r="R56" s="26"/>
      <x:c r="S56" s="26"/>
      <x:c r="T56" s="26"/>
      <x:c r="U56" s="26"/>
      <x:c r="V56" s="26"/>
      <x:c r="W56" s="26"/>
      <x:c r="X56" s="26"/>
    </x:row>
    <x:row r="57" ht="22" customHeight="1">
      <x:c r="A57" s="26"/>
      <x:c r="B57" s="26"/>
      <x:c r="C57" s="26"/>
      <x:c r="D57" s="550"/>
      <x:c r="E57" s="26"/>
      <x:c r="F57" s="556"/>
      <x:c r="G57" s="778"/>
      <x:c r="H57" s="778"/>
      <x:c r="I57" s="778"/>
      <x:c r="J57" s="778"/>
      <x:c r="K57" s="778"/>
      <x:c r="L57" s="778"/>
      <x:c r="M57" s="778"/>
      <x:c r="N57" s="778"/>
      <x:c r="O57" s="778"/>
      <x:c r="P57" s="26" t="str">
        <x:f>IF(A57="","",IF(COUNTIF(G57:O57,"CHALLENGE - OPEN")&gt;0,"HOLD - OPEN CHALLENGE",IF(COUNTBLANK(G57:O57)&gt;0,"HOLD - NOT FULLY REVIEWED",IF(COUNTIF(G57:O57,"NOT REVIEWED")&gt;0,"HOLD - NOT FULLY REVIEWED","PASS"))))</x:f>
      </x:c>
      <x:c r="Q57" s="778"/>
      <x:c r="R57" s="26"/>
      <x:c r="S57" s="26"/>
      <x:c r="T57" s="26"/>
      <x:c r="U57" s="26"/>
      <x:c r="V57" s="26"/>
      <x:c r="W57" s="26"/>
      <x:c r="X57" s="26"/>
    </x:row>
    <x:row r="58" ht="22" customHeight="1">
      <x:c r="A58" s="26" t="str">
        <x:f>IF('QS Takeoff'!B13="","",'QS Takeoff'!B13)</x:f>
        <x:v>EW01</x:v>
      </x:c>
      <x:c r="B58" s="26" t="str">
        <x:f>IF('QS Takeoff'!B13="","",'QS Takeoff'!A13)</x:f>
        <x:v>Earthworks</x:v>
      </x:c>
      <x:c r="C58" s="26" t="str">
        <x:f>IF('QS Takeoff'!B13="","",'QS Takeoff'!C13)</x:f>
        <x:v>Site clearance / surface strip within earthworks area</x:v>
      </x:c>
      <x:c r="D58" s="550" t="n">
        <x:f>IF('QS Takeoff'!B13="","",'QS Takeoff'!E13)</x:f>
        <x:v>2105</x:v>
      </x:c>
      <x:c r="E58" s="26" t="str">
        <x:f>IF('QS Takeoff'!B13="","",'QS Takeoff'!D13)</x:f>
        <x:v>m2</x:v>
      </x:c>
      <x:c r="F58" s="556" t="n">
        <x:f>IF('QS Takeoff'!B13="","",'QS Takeoff'!G13)</x:f>
        <x:v>4946.75</x:v>
      </x:c>
      <x:c r="G58" s="778" t="str">
        <x:v>ERB-01 REVIEWED</x:v>
      </x:c>
      <x:c r="H58" s="778" t="str">
        <x:v>ERB-02 REVIEWED</x:v>
      </x:c>
      <x:c r="I58" s="778" t="str">
        <x:v>ERB-03 REVIEWED</x:v>
      </x:c>
      <x:c r="J58" s="778" t="str">
        <x:v>ERB-04 COMPLETE</x:v>
      </x:c>
      <x:c r="K58" s="778" t="str">
        <x:v>ERB-05 COMPLETE</x:v>
      </x:c>
      <x:c r="L58" s="778" t="str">
        <x:v>ERB-06 COMPLETE</x:v>
      </x:c>
      <x:c r="M58" s="778" t="str">
        <x:v>ERB-07 COMPLETE</x:v>
      </x:c>
      <x:c r="N58" s="778" t="str">
        <x:v>ERB-08 COMPLETE</x:v>
      </x:c>
      <x:c r="O58" s="778" t="str">
        <x:v>ERB-09 COMPLETE</x:v>
      </x:c>
      <x:c r="P58" s="26" t="str">
        <x:v>BOARD REVIEWED / AMBER - EXISTING FIRM-UP ACTIONS</x:v>
      </x:c>
      <x:c r="Q58" s="778" t="str">
        <x:v>Formal ERB clean-room review completed. See adjudication register / Rev20 Board Adjudication sheet for accepted/rejected findings.</x:v>
      </x:c>
      <x:c r="R58" s="26"/>
      <x:c r="S58" s="26"/>
      <x:c r="T58" s="26"/>
      <x:c r="U58" s="26"/>
      <x:c r="V58" s="26"/>
      <x:c r="W58" s="26"/>
      <x:c r="X58" s="26"/>
    </x:row>
    <x:row r="59" ht="22" customHeight="1">
      <x:c r="A59" s="26" t="str">
        <x:f>IF('QS Takeoff'!B14="","",'QS Takeoff'!B14)</x:f>
        <x:v>EW02</x:v>
      </x:c>
      <x:c r="B59" s="26" t="str">
        <x:f>IF('QS Takeoff'!B14="","",'QS Takeoff'!A14)</x:f>
        <x:v>Earthworks</x:v>
      </x:c>
      <x:c r="C59" s="26" t="str">
        <x:f>IF('QS Takeoff'!B14="","",'QS Takeoff'!C14)</x:f>
        <x:v>Bulk fill placement / compaction - current Yodha RevB fill demand</x:v>
      </x:c>
      <x:c r="D59" s="550" t="n">
        <x:f>IF('QS Takeoff'!B14="","",'QS Takeoff'!E14)</x:f>
        <x:v>1033</x:v>
      </x:c>
      <x:c r="E59" s="26" t="str">
        <x:f>IF('QS Takeoff'!B14="","",'QS Takeoff'!D14)</x:f>
        <x:v>m3</x:v>
      </x:c>
      <x:c r="F59" s="556" t="n">
        <x:f>IF('QS Takeoff'!B14="","",'QS Takeoff'!G14)</x:f>
        <x:v>20522.266666666666</x:v>
      </x:c>
      <x:c r="G59" s="778" t="str">
        <x:v>ERB-01 REVIEWED</x:v>
      </x:c>
      <x:c r="H59" s="778" t="str">
        <x:v>ERB-02 REVIEWED</x:v>
      </x:c>
      <x:c r="I59" s="778" t="str">
        <x:v>ERB-03 REVIEWED</x:v>
      </x:c>
      <x:c r="J59" s="778" t="str">
        <x:v>ERB-04 COMPLETE</x:v>
      </x:c>
      <x:c r="K59" s="778" t="str">
        <x:v>ERB-05 COMPLETE</x:v>
      </x:c>
      <x:c r="L59" s="778" t="str">
        <x:v>ERB-06 COMPLETE</x:v>
      </x:c>
      <x:c r="M59" s="778" t="str">
        <x:v>ERB-07 COMPLETE</x:v>
      </x:c>
      <x:c r="N59" s="778" t="str">
        <x:v>ERB-08 COMPLETE</x:v>
      </x:c>
      <x:c r="O59" s="778" t="str">
        <x:v>ERB-09 COMPLETE</x:v>
      </x:c>
      <x:c r="P59" s="26" t="str">
        <x:v>BOARD REVIEWED / AMBER - EXISTING FIRM-UP ACTIONS</x:v>
      </x:c>
      <x:c r="Q59" s="778" t="str">
        <x:v>Formal ERB clean-room review completed. See adjudication register / Rev20 Board Adjudication sheet for accepted/rejected findings.</x:v>
      </x:c>
      <x:c r="R59" s="26"/>
      <x:c r="S59" s="26"/>
      <x:c r="T59" s="26"/>
      <x:c r="U59" s="26"/>
      <x:c r="V59" s="26"/>
      <x:c r="W59" s="26"/>
      <x:c r="X59" s="26"/>
    </x:row>
    <x:row r="60" ht="22" customHeight="1">
      <x:c r="A60" s="26" t="str">
        <x:f>IF('QS Takeoff'!B15="","",'QS Takeoff'!B15)</x:f>
        <x:v>EW03</x:v>
      </x:c>
      <x:c r="B60" s="26" t="str">
        <x:f>IF('QS Takeoff'!B15="","",'QS Takeoff'!A15)</x:f>
        <x:v>Earthworks</x:v>
      </x:c>
      <x:c r="C60" s="26" t="str">
        <x:f>IF('QS Takeoff'!B15="","",'QS Takeoff'!C15)</x:f>
        <x:v>Final trim / formation across earthworks area</x:v>
      </x:c>
      <x:c r="D60" s="550" t="n">
        <x:f>IF('QS Takeoff'!B15="","",'QS Takeoff'!E15)</x:f>
        <x:v>2105</x:v>
      </x:c>
      <x:c r="E60" s="26" t="str">
        <x:f>IF('QS Takeoff'!B15="","",'QS Takeoff'!D15)</x:f>
        <x:v>m2</x:v>
      </x:c>
      <x:c r="F60" s="556" t="n">
        <x:f>IF('QS Takeoff'!B15="","",'QS Takeoff'!G15)</x:f>
        <x:v>2596.166666666667</x:v>
      </x:c>
      <x:c r="G60" s="778" t="str">
        <x:v>ERB-01 REVIEWED</x:v>
      </x:c>
      <x:c r="H60" s="778" t="str">
        <x:v>ERB-02 REVIEWED</x:v>
      </x:c>
      <x:c r="I60" s="778" t="str">
        <x:v>ERB-03 REVIEWED</x:v>
      </x:c>
      <x:c r="J60" s="778" t="str">
        <x:v>ERB-04 COMPLETE</x:v>
      </x:c>
      <x:c r="K60" s="778" t="str">
        <x:v>ERB-05 COMPLETE</x:v>
      </x:c>
      <x:c r="L60" s="778" t="str">
        <x:v>ERB-06 COMPLETE</x:v>
      </x:c>
      <x:c r="M60" s="778" t="str">
        <x:v>ERB-07 COMPLETE</x:v>
      </x:c>
      <x:c r="N60" s="778" t="str">
        <x:v>ERB-08 COMPLETE</x:v>
      </x:c>
      <x:c r="O60" s="778" t="str">
        <x:v>ERB-09 COMPLETE</x:v>
      </x:c>
      <x:c r="P60" s="26" t="str">
        <x:v>BOARD REVIEWED / AMBER - EXISTING FIRM-UP ACTIONS</x:v>
      </x:c>
      <x:c r="Q60" s="778" t="str">
        <x:v>Formal ERB clean-room review completed. See adjudication register / Rev20 Board Adjudication sheet for accepted/rejected findings.</x:v>
      </x:c>
      <x:c r="R60" s="26"/>
      <x:c r="S60" s="26"/>
      <x:c r="T60" s="26"/>
      <x:c r="U60" s="26"/>
      <x:c r="V60" s="26"/>
      <x:c r="W60" s="26"/>
      <x:c r="X60" s="26"/>
    </x:row>
    <x:row r="61" ht="22" customHeight="1">
      <x:c r="A61" s="26" t="str">
        <x:f>IF('QS Takeoff'!B16="","",'QS Takeoff'!B16)</x:f>
        <x:v>EW04</x:v>
      </x:c>
      <x:c r="B61" s="26" t="str">
        <x:f>IF('QS Takeoff'!B16="","",'QS Takeoff'!A16)</x:f>
        <x:v>Earthworks</x:v>
      </x:c>
      <x:c r="C61" s="26" t="str">
        <x:f>IF('QS Takeoff'!B16="","",'QS Takeoff'!C16)</x:f>
        <x:v>Grassed OLFP diversion channel - 300 deep, 500 base, 1V:3H sides</x:v>
      </x:c>
      <x:c r="D61" s="550" t="n">
        <x:f>IF('QS Takeoff'!B16="","",'QS Takeoff'!E16)</x:f>
        <x:v>94.08</x:v>
      </x:c>
      <x:c r="E61" s="26" t="str">
        <x:f>IF('QS Takeoff'!B16="","",'QS Takeoff'!D16)</x:f>
        <x:v>lm</x:v>
      </x:c>
      <x:c r="F61" s="556" t="n">
        <x:f>IF('QS Takeoff'!B16="","",'QS Takeoff'!G16)</x:f>
        <x:v>3000</x:v>
      </x:c>
      <x:c r="G61" s="778" t="str">
        <x:v>ERB-01 REVIEWED</x:v>
      </x:c>
      <x:c r="H61" s="778" t="str">
        <x:v>ERB-02 REVIEWED</x:v>
      </x:c>
      <x:c r="I61" s="778" t="str">
        <x:v>ERB-03 REVIEWED</x:v>
      </x:c>
      <x:c r="J61" s="778" t="str">
        <x:v>ERB-04 COMPLETE</x:v>
      </x:c>
      <x:c r="K61" s="778" t="str">
        <x:v>ERB-05 COMPLETE</x:v>
      </x:c>
      <x:c r="L61" s="778" t="str">
        <x:v>ERB-06 COMPLETE</x:v>
      </x:c>
      <x:c r="M61" s="778" t="str">
        <x:v>ERB-07 COMPLETE</x:v>
      </x:c>
      <x:c r="N61" s="778" t="str">
        <x:v>ERB-08 COMPLETE</x:v>
      </x:c>
      <x:c r="O61" s="778" t="str">
        <x:v>ERB-09 COMPLETE</x:v>
      </x:c>
      <x:c r="P61" s="26" t="str">
        <x:v>AMBER - OLFP SOURCE / DUPLICATION VERIFY</x:v>
      </x:c>
      <x:c r="Q61" s="778" t="str">
        <x:v>Formal ERB clean-room review completed. See adjudication register / Rev20 Board Adjudication sheet for accepted/rejected findings.</x:v>
      </x:c>
      <x:c r="R61" s="26"/>
      <x:c r="S61" s="26"/>
      <x:c r="T61" s="26"/>
      <x:c r="U61" s="26"/>
      <x:c r="V61" s="26"/>
      <x:c r="W61" s="26"/>
      <x:c r="X61" s="26"/>
    </x:row>
    <x:row r="62" ht="22" customHeight="1">
      <x:c r="A62" s="26" t="str">
        <x:f>IF('QS Takeoff'!B17="","",'QS Takeoff'!B17)</x:f>
        <x:v>EW05</x:v>
      </x:c>
      <x:c r="B62" s="26" t="str">
        <x:f>IF('QS Takeoff'!B17="","",'QS Takeoff'!A17)</x:f>
        <x:v>Earthworks</x:v>
      </x:c>
      <x:c r="C62" s="26" t="str">
        <x:f>IF('QS Takeoff'!B17="","",'QS Takeoff'!C17)</x:f>
        <x:v>Foundation pad excavation P1-P4</x:v>
      </x:c>
      <x:c r="D62" s="550" t="n">
        <x:f>IF('QS Takeoff'!B17="","",'QS Takeoff'!E17)</x:f>
        <x:v>2.191</x:v>
      </x:c>
      <x:c r="E62" s="26" t="str">
        <x:f>IF('QS Takeoff'!B17="","",'QS Takeoff'!D17)</x:f>
        <x:v>m3</x:v>
      </x:c>
      <x:c r="F62" s="556" t="n">
        <x:f>IF('QS Takeoff'!B17="","",'QS Takeoff'!G17)</x:f>
        <x:v>2500</x:v>
      </x:c>
      <x:c r="G62" s="778" t="str">
        <x:v>ERB-01 REVIEWED</x:v>
      </x:c>
      <x:c r="H62" s="778" t="str">
        <x:v>ERB-02 REVIEWED</x:v>
      </x:c>
      <x:c r="I62" s="778" t="str">
        <x:v>ERB-03 REVIEWED</x:v>
      </x:c>
      <x:c r="J62" s="778" t="str">
        <x:v>ERB-04 COMPLETE</x:v>
      </x:c>
      <x:c r="K62" s="778" t="str">
        <x:v>ERB-05 COMPLETE</x:v>
      </x:c>
      <x:c r="L62" s="778" t="str">
        <x:v>ERB-06 COMPLETE</x:v>
      </x:c>
      <x:c r="M62" s="778" t="str">
        <x:v>ERB-07 COMPLETE</x:v>
      </x:c>
      <x:c r="N62" s="778" t="str">
        <x:v>ERB-08 COMPLETE</x:v>
      </x:c>
      <x:c r="O62" s="778" t="str">
        <x:v>ERB-09 COMPLETE</x:v>
      </x:c>
      <x:c r="P62" s="26" t="str">
        <x:v>BOARD REVIEWED / AMBER - EXISTING FIRM-UP ACTIONS</x:v>
      </x:c>
      <x:c r="Q62" s="778" t="str">
        <x:v>Formal ERB clean-room review completed. See adjudication register / Rev20 Board Adjudication sheet for accepted/rejected findings.</x:v>
      </x:c>
      <x:c r="R62" s="26"/>
      <x:c r="S62" s="26"/>
      <x:c r="T62" s="26"/>
      <x:c r="U62" s="26"/>
      <x:c r="V62" s="26"/>
      <x:c r="W62" s="26"/>
      <x:c r="X62" s="26"/>
    </x:row>
    <x:row r="63" ht="22" customHeight="1">
      <x:c r="A63" s="26" t="str">
        <x:f>IF('QS Takeoff'!B18="","",'QS Takeoff'!B18)</x:f>
        <x:v>EW06</x:v>
      </x:c>
      <x:c r="B63" s="26" t="str">
        <x:f>IF('QS Takeoff'!B18="","",'QS Takeoff'!A18)</x:f>
        <x:v>Earthworks</x:v>
      </x:c>
      <x:c r="C63" s="26" t="str">
        <x:f>IF('QS Takeoff'!B18="","",'QS Takeoff'!C18)</x:f>
        <x:v>PILE2 bored foundation holes 450 dia x 1.2m</x:v>
      </x:c>
      <x:c r="D63" s="550" t="n">
        <x:f>IF('QS Takeoff'!B18="","",'QS Takeoff'!E18)</x:f>
        <x:v>15</x:v>
      </x:c>
      <x:c r="E63" s="26" t="str">
        <x:f>IF('QS Takeoff'!B18="","",'QS Takeoff'!D18)</x:f>
        <x:v>ea</x:v>
      </x:c>
      <x:c r="F63" s="556" t="n">
        <x:f>IF('QS Takeoff'!B18="","",'QS Takeoff'!G18)</x:f>
        <x:v>0</x:v>
      </x:c>
      <x:c r="G63" s="778" t="str">
        <x:v>ERB-01 REVIEWED</x:v>
      </x:c>
      <x:c r="H63" s="778" t="str">
        <x:v>ERB-02 REVIEWED</x:v>
      </x:c>
      <x:c r="I63" s="778" t="str">
        <x:v>ERB-03 REVIEWED</x:v>
      </x:c>
      <x:c r="J63" s="778" t="str">
        <x:v>ERB-04 COMPLETE</x:v>
      </x:c>
      <x:c r="K63" s="778" t="str">
        <x:v>ERB-05 COMPLETE</x:v>
      </x:c>
      <x:c r="L63" s="778" t="str">
        <x:v>ERB-06 COMPLETE</x:v>
      </x:c>
      <x:c r="M63" s="778" t="str">
        <x:v>ERB-07 COMPLETE</x:v>
      </x:c>
      <x:c r="N63" s="778" t="str">
        <x:v>ERB-08 COMPLETE</x:v>
      </x:c>
      <x:c r="O63" s="778" t="str">
        <x:v>ERB-09 COMPLETE</x:v>
      </x:c>
      <x:c r="P63" s="26" t="str">
        <x:v>BOARD REVIEWED / AMBER - EXISTING FIRM-UP ACTIONS</x:v>
      </x:c>
      <x:c r="Q63" s="778" t="str">
        <x:v>Formal ERB clean-room review completed. See adjudication register / Rev20 Board Adjudication sheet for accepted/rejected findings.</x:v>
      </x:c>
      <x:c r="R63" s="26"/>
      <x:c r="S63" s="26"/>
      <x:c r="T63" s="26"/>
      <x:c r="U63" s="26"/>
      <x:c r="V63" s="26"/>
      <x:c r="W63" s="26"/>
      <x:c r="X63" s="26"/>
    </x:row>
    <x:row r="64" ht="22" customHeight="1">
      <x:c r="A64" s="26" t="str">
        <x:f>IF('QS Takeoff'!B19="","",'QS Takeoff'!B19)</x:f>
        <x:v>EW07</x:v>
      </x:c>
      <x:c r="B64" s="26" t="str">
        <x:f>IF('QS Takeoff'!B19="","",'QS Takeoff'!A19)</x:f>
        <x:v>Earthworks</x:v>
      </x:c>
      <x:c r="C64" s="26" t="str">
        <x:f>IF('QS Takeoff'!B19="","",'QS Takeoff'!C19)</x:f>
        <x:v>F1-F7 strip / thickening / wing footing excavation</x:v>
      </x:c>
      <x:c r="D64" s="550" t="n">
        <x:f>IF('QS Takeoff'!B19="","",'QS Takeoff'!E19)</x:f>
        <x:v>1</x:v>
      </x:c>
      <x:c r="E64" s="26" t="str">
        <x:f>IF('QS Takeoff'!B19="","",'QS Takeoff'!D19)</x:f>
        <x:v>LS</x:v>
      </x:c>
      <x:c r="F64" s="556" t="n">
        <x:f>IF('QS Takeoff'!B19="","",'QS Takeoff'!G19)</x:f>
        <x:v>12500</x:v>
      </x:c>
      <x:c r="G64" s="778" t="str">
        <x:v>ERB-01 REVIEWED</x:v>
      </x:c>
      <x:c r="H64" s="778" t="str">
        <x:v>ERB-02 REVIEWED</x:v>
      </x:c>
      <x:c r="I64" s="778" t="str">
        <x:v>ERB-03 REVIEWED</x:v>
      </x:c>
      <x:c r="J64" s="778" t="str">
        <x:v>ERB-04 COMPLETE</x:v>
      </x:c>
      <x:c r="K64" s="778" t="str">
        <x:v>ERB-05 COMPLETE</x:v>
      </x:c>
      <x:c r="L64" s="778" t="str">
        <x:v>ERB-06 COMPLETE</x:v>
      </x:c>
      <x:c r="M64" s="778" t="str">
        <x:v>ERB-07 COMPLETE</x:v>
      </x:c>
      <x:c r="N64" s="778" t="str">
        <x:v>ERB-08 COMPLETE</x:v>
      </x:c>
      <x:c r="O64" s="778" t="str">
        <x:v>ERB-09 COMPLETE</x:v>
      </x:c>
      <x:c r="P64" s="26" t="str">
        <x:v>BOARD REVIEWED / AMBER - EXISTING FIRM-UP ACTIONS</x:v>
      </x:c>
      <x:c r="Q64" s="778" t="str">
        <x:v>Formal ERB clean-room review completed. See adjudication register / Rev20 Board Adjudication sheet for accepted/rejected findings.</x:v>
      </x:c>
      <x:c r="R64" s="26"/>
      <x:c r="S64" s="26"/>
      <x:c r="T64" s="26"/>
      <x:c r="U64" s="26"/>
      <x:c r="V64" s="26"/>
      <x:c r="W64" s="26"/>
      <x:c r="X64" s="26"/>
    </x:row>
    <x:row r="65" ht="22" customHeight="1">
      <x:c r="A65" s="26" t="str">
        <x:f>IF('QS Takeoff'!B20="","",'QS Takeoff'!B20)</x:f>
        <x:v>EW08</x:v>
      </x:c>
      <x:c r="B65" s="26" t="str">
        <x:f>IF('QS Takeoff'!B20="","",'QS Takeoff'!A20)</x:f>
        <x:v>Earthworks</x:v>
      </x:c>
      <x:c r="C65" s="26" t="str">
        <x:f>IF('QS Takeoff'!B20="","",'QS Takeoff'!C20)</x:f>
        <x:v>Earthworks export / cartage / tipping</x:v>
      </x:c>
      <x:c r="D65" s="550" t="n">
        <x:f>IF('QS Takeoff'!B20="","",'QS Takeoff'!E20)</x:f>
        <x:v>1</x:v>
      </x:c>
      <x:c r="E65" s="26" t="str">
        <x:f>IF('QS Takeoff'!B20="","",'QS Takeoff'!D20)</x:f>
        <x:v>LS</x:v>
      </x:c>
      <x:c r="F65" s="556" t="n">
        <x:f>IF('QS Takeoff'!B20="","",'QS Takeoff'!G20)</x:f>
        <x:v>10000</x:v>
      </x:c>
      <x:c r="G65" s="778" t="str">
        <x:v>ERB-01 REVIEWED</x:v>
      </x:c>
      <x:c r="H65" s="778" t="str">
        <x:v>ERB-02 REVIEWED</x:v>
      </x:c>
      <x:c r="I65" s="778" t="str">
        <x:v>ERB-03 REVIEWED</x:v>
      </x:c>
      <x:c r="J65" s="778" t="str">
        <x:v>ERB-04 COMPLETE</x:v>
      </x:c>
      <x:c r="K65" s="778" t="str">
        <x:v>ERB-05 COMPLETE</x:v>
      </x:c>
      <x:c r="L65" s="778" t="str">
        <x:v>ERB-06 COMPLETE</x:v>
      </x:c>
      <x:c r="M65" s="778" t="str">
        <x:v>ERB-07 COMPLETE</x:v>
      </x:c>
      <x:c r="N65" s="778" t="str">
        <x:v>ERB-08 COMPLETE</x:v>
      </x:c>
      <x:c r="O65" s="778" t="str">
        <x:v>ERB-09 COMPLETE</x:v>
      </x:c>
      <x:c r="P65" s="26" t="str">
        <x:v>AMBER - TOPSOIL REUSE / DISPOSAL PC VERIFY</x:v>
      </x:c>
      <x:c r="Q65" s="778" t="str">
        <x:v>Formal ERB clean-room review completed. See adjudication register / Rev20 Board Adjudication sheet for accepted/rejected findings.</x:v>
      </x:c>
      <x:c r="R65" s="26"/>
      <x:c r="S65" s="26"/>
      <x:c r="T65" s="26"/>
      <x:c r="U65" s="26"/>
      <x:c r="V65" s="26"/>
      <x:c r="W65" s="26"/>
      <x:c r="X65" s="26"/>
    </x:row>
    <x:row r="66" ht="22" customHeight="1">
      <x:c r="A66" s="26" t="str">
        <x:f>IF('QS Takeoff'!B21="","",'QS Takeoff'!B21)</x:f>
        <x:v>EW09</x:v>
      </x:c>
      <x:c r="B66" s="26" t="str">
        <x:f>IF('QS Takeoff'!B21="","",'QS Takeoff'!A21)</x:f>
        <x:v>Earthworks</x:v>
      </x:c>
      <x:c r="C66" s="26" t="str">
        <x:f>IF('QS Takeoff'!B21="","",'QS Takeoff'!C21)</x:f>
        <x:v>Imported / replacement engineered fill</x:v>
      </x:c>
      <x:c r="D66" s="550" t="n">
        <x:f>IF('QS Takeoff'!B21="","",'QS Takeoff'!E21)</x:f>
        <x:v>923</x:v>
      </x:c>
      <x:c r="E66" s="26" t="str">
        <x:f>IF('QS Takeoff'!B21="","",'QS Takeoff'!D21)</x:f>
        <x:v>m3</x:v>
      </x:c>
      <x:c r="F66" s="556" t="n">
        <x:f>IF('QS Takeoff'!B21="","",'QS Takeoff'!G21)</x:f>
        <x:v>60000</x:v>
      </x:c>
      <x:c r="G66" s="778" t="str">
        <x:v>ERB-01 REVIEWED</x:v>
      </x:c>
      <x:c r="H66" s="778" t="str">
        <x:v>ERB-02 REVIEWED</x:v>
      </x:c>
      <x:c r="I66" s="778" t="str">
        <x:v>ERB-03 REVIEWED</x:v>
      </x:c>
      <x:c r="J66" s="778" t="str">
        <x:v>ERB-04 COMPLETE</x:v>
      </x:c>
      <x:c r="K66" s="778" t="str">
        <x:v>ERB-05 COMPLETE</x:v>
      </x:c>
      <x:c r="L66" s="778" t="str">
        <x:v>ERB-06 COMPLETE</x:v>
      </x:c>
      <x:c r="M66" s="778" t="str">
        <x:v>ERB-07 COMPLETE</x:v>
      </x:c>
      <x:c r="N66" s="778" t="str">
        <x:v>ERB-08 COMPLETE</x:v>
      </x:c>
      <x:c r="O66" s="778" t="str">
        <x:v>ERB-09 COMPLETE</x:v>
      </x:c>
      <x:c r="P66" s="26" t="str">
        <x:v>BOARD REVIEWED / AMBER - EXISTING FIRM-UP ACTIONS</x:v>
      </x:c>
      <x:c r="Q66" s="778" t="str">
        <x:v>Formal ERB clean-room review completed. See adjudication register / Rev20 Board Adjudication sheet for accepted/rejected findings.</x:v>
      </x:c>
      <x:c r="R66" s="26"/>
      <x:c r="S66" s="26"/>
      <x:c r="T66" s="26"/>
      <x:c r="U66" s="26"/>
      <x:c r="V66" s="26"/>
      <x:c r="W66" s="26"/>
      <x:c r="X66" s="26"/>
    </x:row>
    <x:row r="67" ht="22" customHeight="1">
      <x:c r="A67" s="26" t="str">
        <x:f>IF('QS Takeoff'!B22="","",'QS Takeoff'!B22)</x:f>
        <x:v>EW10</x:v>
      </x:c>
      <x:c r="B67" s="26" t="str">
        <x:f>IF('QS Takeoff'!B22="","",'QS Takeoff'!A22)</x:f>
        <x:v>Earthworks</x:v>
      </x:c>
      <x:c r="C67" s="26" t="str">
        <x:f>IF('QS Takeoff'!B22="","",'QS Takeoff'!C22)</x:f>
        <x:v>Topsoil handling / reuse / export duplication control</x:v>
      </x:c>
      <x:c r="D67" s="550" t="n">
        <x:f>IF('QS Takeoff'!B22="","",'QS Takeoff'!E22)</x:f>
        <x:v>0</x:v>
      </x:c>
      <x:c r="E67" s="26" t="str">
        <x:f>IF('QS Takeoff'!B22="","",'QS Takeoff'!D22)</x:f>
        <x:v>m3</x:v>
      </x:c>
      <x:c r="F67" s="556" t="n">
        <x:f>IF('QS Takeoff'!B22="","",'QS Takeoff'!G22)</x:f>
        <x:v>0</x:v>
      </x:c>
      <x:c r="G67" s="778" t="str">
        <x:v>ERB-01 REVIEWED</x:v>
      </x:c>
      <x:c r="H67" s="778" t="str">
        <x:v>ERB-02 REVIEWED</x:v>
      </x:c>
      <x:c r="I67" s="778" t="str">
        <x:v>ERB-03 REVIEWED</x:v>
      </x:c>
      <x:c r="J67" s="778" t="str">
        <x:v>ERB-04 COMPLETE</x:v>
      </x:c>
      <x:c r="K67" s="778" t="str">
        <x:v>ERB-05 COMPLETE</x:v>
      </x:c>
      <x:c r="L67" s="778" t="str">
        <x:v>ERB-06 COMPLETE</x:v>
      </x:c>
      <x:c r="M67" s="778" t="str">
        <x:v>ERB-07 COMPLETE</x:v>
      </x:c>
      <x:c r="N67" s="778" t="str">
        <x:v>ERB-08 COMPLETE</x:v>
      </x:c>
      <x:c r="O67" s="778" t="str">
        <x:v>ERB-09 COMPLETE</x:v>
      </x:c>
      <x:c r="P67" s="26" t="str">
        <x:v>AMBER - TOPSOIL DUPLICATION CONTROL</x:v>
      </x:c>
      <x:c r="Q67" s="778" t="str">
        <x:v>Formal ERB clean-room review completed. See adjudication register / Rev20 Board Adjudication sheet for accepted/rejected findings.</x:v>
      </x:c>
      <x:c r="R67" s="26"/>
      <x:c r="S67" s="26"/>
      <x:c r="T67" s="26"/>
      <x:c r="U67" s="26"/>
      <x:c r="V67" s="26"/>
      <x:c r="W67" s="26"/>
      <x:c r="X67" s="26"/>
    </x:row>
    <x:row r="68" ht="22" customHeight="1">
      <x:c r="A68" s="26"/>
      <x:c r="B68" s="26"/>
      <x:c r="C68" s="26"/>
      <x:c r="D68" s="550"/>
      <x:c r="E68" s="26"/>
      <x:c r="F68" s="556"/>
      <x:c r="G68" s="778"/>
      <x:c r="H68" s="778"/>
      <x:c r="I68" s="778"/>
      <x:c r="J68" s="778"/>
      <x:c r="K68" s="778"/>
      <x:c r="L68" s="778"/>
      <x:c r="M68" s="778"/>
      <x:c r="N68" s="778"/>
      <x:c r="O68" s="778"/>
      <x:c r="P68" s="26" t="str">
        <x:f>IF(A68="","",IF(COUNTIF(G68:O68,"CHALLENGE - OPEN")&gt;0,"HOLD - OPEN CHALLENGE",IF(COUNTBLANK(G68:O68)&gt;0,"HOLD - NOT FULLY REVIEWED",IF(COUNTIF(G68:O68,"NOT REVIEWED")&gt;0,"HOLD - NOT FULLY REVIEWED","PASS"))))</x:f>
      </x:c>
      <x:c r="Q68" s="778"/>
      <x:c r="R68" s="26"/>
      <x:c r="S68" s="26"/>
      <x:c r="T68" s="26"/>
      <x:c r="U68" s="26"/>
      <x:c r="V68" s="26"/>
      <x:c r="W68" s="26"/>
      <x:c r="X68" s="26"/>
    </x:row>
    <x:row r="69" ht="22" customHeight="1">
      <x:c r="A69" s="26"/>
      <x:c r="B69" s="26"/>
      <x:c r="C69" s="26"/>
      <x:c r="D69" s="550"/>
      <x:c r="E69" s="26"/>
      <x:c r="F69" s="556"/>
      <x:c r="G69" s="778"/>
      <x:c r="H69" s="778"/>
      <x:c r="I69" s="778"/>
      <x:c r="J69" s="778"/>
      <x:c r="K69" s="778"/>
      <x:c r="L69" s="778"/>
      <x:c r="M69" s="778"/>
      <x:c r="N69" s="778"/>
      <x:c r="O69" s="778"/>
      <x:c r="P69" s="26" t="str">
        <x:f>IF(A69="","",IF(COUNTIF(G69:O69,"CHALLENGE - OPEN")&gt;0,"HOLD - OPEN CHALLENGE",IF(COUNTBLANK(G69:O69)&gt;0,"HOLD - NOT FULLY REVIEWED",IF(COUNTIF(G69:O69,"NOT REVIEWED")&gt;0,"HOLD - NOT FULLY REVIEWED","PASS"))))</x:f>
      </x:c>
      <x:c r="Q69" s="778"/>
      <x:c r="R69" s="26"/>
      <x:c r="S69" s="26"/>
      <x:c r="T69" s="26"/>
      <x:c r="U69" s="26"/>
      <x:c r="V69" s="26"/>
      <x:c r="W69" s="26"/>
      <x:c r="X69" s="26"/>
    </x:row>
    <x:row r="70" ht="22" customHeight="1">
      <x:c r="A70" s="26"/>
      <x:c r="B70" s="26"/>
      <x:c r="C70" s="26"/>
      <x:c r="D70" s="550"/>
      <x:c r="E70" s="26"/>
      <x:c r="F70" s="556"/>
      <x:c r="G70" s="778"/>
      <x:c r="H70" s="778"/>
      <x:c r="I70" s="778"/>
      <x:c r="J70" s="778"/>
      <x:c r="K70" s="778"/>
      <x:c r="L70" s="778"/>
      <x:c r="M70" s="778"/>
      <x:c r="N70" s="778"/>
      <x:c r="O70" s="778"/>
      <x:c r="P70" s="26" t="str">
        <x:f>IF(A70="","",IF(COUNTIF(G70:O70,"CHALLENGE - OPEN")&gt;0,"HOLD - OPEN CHALLENGE",IF(COUNTBLANK(G70:O70)&gt;0,"HOLD - NOT FULLY REVIEWED",IF(COUNTIF(G70:O70,"NOT REVIEWED")&gt;0,"HOLD - NOT FULLY REVIEWED","PASS"))))</x:f>
      </x:c>
      <x:c r="Q70" s="778"/>
      <x:c r="R70" s="26"/>
      <x:c r="S70" s="26"/>
      <x:c r="T70" s="26"/>
      <x:c r="U70" s="26"/>
      <x:c r="V70" s="26"/>
      <x:c r="W70" s="26"/>
      <x:c r="X70" s="26"/>
    </x:row>
    <x:row r="71" ht="22" customHeight="1">
      <x:c r="A71" s="26"/>
      <x:c r="B71" s="26"/>
      <x:c r="C71" s="26"/>
      <x:c r="D71" s="550"/>
      <x:c r="E71" s="26"/>
      <x:c r="F71" s="556"/>
      <x:c r="G71" s="778"/>
      <x:c r="H71" s="778"/>
      <x:c r="I71" s="778"/>
      <x:c r="J71" s="778"/>
      <x:c r="K71" s="778"/>
      <x:c r="L71" s="778"/>
      <x:c r="M71" s="778"/>
      <x:c r="N71" s="778"/>
      <x:c r="O71" s="778"/>
      <x:c r="P71" s="26" t="str">
        <x:f>IF(A71="","",IF(COUNTIF(G71:O71,"CHALLENGE - OPEN")&gt;0,"HOLD - OPEN CHALLENGE",IF(COUNTBLANK(G71:O71)&gt;0,"HOLD - NOT FULLY REVIEWED",IF(COUNTIF(G71:O71,"NOT REVIEWED")&gt;0,"HOLD - NOT FULLY REVIEWED","PASS"))))</x:f>
      </x:c>
      <x:c r="Q71" s="778"/>
      <x:c r="R71" s="26"/>
      <x:c r="S71" s="26"/>
      <x:c r="T71" s="26"/>
      <x:c r="U71" s="26"/>
      <x:c r="V71" s="26"/>
      <x:c r="W71" s="26"/>
      <x:c r="X71" s="26"/>
    </x:row>
    <x:row r="72" ht="22" customHeight="1">
      <x:c r="A72" s="26"/>
      <x:c r="B72" s="26"/>
      <x:c r="C72" s="26"/>
      <x:c r="D72" s="550"/>
      <x:c r="E72" s="26"/>
      <x:c r="F72" s="556"/>
      <x:c r="G72" s="778"/>
      <x:c r="H72" s="778"/>
      <x:c r="I72" s="778"/>
      <x:c r="J72" s="778"/>
      <x:c r="K72" s="778"/>
      <x:c r="L72" s="778"/>
      <x:c r="M72" s="778"/>
      <x:c r="N72" s="778"/>
      <x:c r="O72" s="778"/>
      <x:c r="P72" s="26" t="str">
        <x:f>IF(A72="","",IF(COUNTIF(G72:O72,"CHALLENGE - OPEN")&gt;0,"HOLD - OPEN CHALLENGE",IF(COUNTBLANK(G72:O72)&gt;0,"HOLD - NOT FULLY REVIEWED",IF(COUNTIF(G72:O72,"NOT REVIEWED")&gt;0,"HOLD - NOT FULLY REVIEWED","PASS"))))</x:f>
      </x:c>
      <x:c r="Q72" s="778"/>
      <x:c r="R72" s="26"/>
      <x:c r="S72" s="26"/>
      <x:c r="T72" s="26"/>
      <x:c r="U72" s="26"/>
      <x:c r="V72" s="26"/>
      <x:c r="W72" s="26"/>
      <x:c r="X72" s="26"/>
    </x:row>
    <x:row r="73" ht="22" customHeight="1">
      <x:c r="A73" s="26"/>
      <x:c r="B73" s="26"/>
      <x:c r="C73" s="26"/>
      <x:c r="D73" s="550"/>
      <x:c r="E73" s="26"/>
      <x:c r="F73" s="556"/>
      <x:c r="G73" s="778"/>
      <x:c r="H73" s="778"/>
      <x:c r="I73" s="778"/>
      <x:c r="J73" s="778"/>
      <x:c r="K73" s="778"/>
      <x:c r="L73" s="778"/>
      <x:c r="M73" s="778"/>
      <x:c r="N73" s="778"/>
      <x:c r="O73" s="778"/>
      <x:c r="P73" s="26" t="str">
        <x:f>IF(A73="","",IF(COUNTIF(G73:O73,"CHALLENGE - OPEN")&gt;0,"HOLD - OPEN CHALLENGE",IF(COUNTBLANK(G73:O73)&gt;0,"HOLD - NOT FULLY REVIEWED",IF(COUNTIF(G73:O73,"NOT REVIEWED")&gt;0,"HOLD - NOT FULLY REVIEWED","PASS"))))</x:f>
      </x:c>
      <x:c r="Q73" s="778"/>
      <x:c r="R73" s="26"/>
      <x:c r="S73" s="26"/>
      <x:c r="T73" s="26"/>
      <x:c r="U73" s="26"/>
      <x:c r="V73" s="26"/>
      <x:c r="W73" s="26"/>
      <x:c r="X73" s="26"/>
    </x:row>
    <x:row r="74" ht="22" customHeight="1">
      <x:c r="A74" s="26"/>
      <x:c r="B74" s="26"/>
      <x:c r="C74" s="26"/>
      <x:c r="D74" s="550"/>
      <x:c r="E74" s="26"/>
      <x:c r="F74" s="556"/>
      <x:c r="G74" s="778"/>
      <x:c r="H74" s="778"/>
      <x:c r="I74" s="778"/>
      <x:c r="J74" s="778"/>
      <x:c r="K74" s="778"/>
      <x:c r="L74" s="778"/>
      <x:c r="M74" s="778"/>
      <x:c r="N74" s="778"/>
      <x:c r="O74" s="778"/>
      <x:c r="P74" s="26" t="str">
        <x:f>IF(A74="","",IF(COUNTIF(G74:O74,"CHALLENGE - OPEN")&gt;0,"HOLD - OPEN CHALLENGE",IF(COUNTBLANK(G74:O74)&gt;0,"HOLD - NOT FULLY REVIEWED",IF(COUNTIF(G74:O74,"NOT REVIEWED")&gt;0,"HOLD - NOT FULLY REVIEWED","PASS"))))</x:f>
      </x:c>
      <x:c r="Q74" s="778"/>
      <x:c r="R74" s="26"/>
      <x:c r="S74" s="26"/>
      <x:c r="T74" s="26"/>
      <x:c r="U74" s="26"/>
      <x:c r="V74" s="26"/>
      <x:c r="W74" s="26"/>
      <x:c r="X74" s="26"/>
    </x:row>
    <x:row r="75" ht="22" customHeight="1">
      <x:c r="A75" s="26"/>
      <x:c r="B75" s="26"/>
      <x:c r="C75" s="26"/>
      <x:c r="D75" s="550"/>
      <x:c r="E75" s="26"/>
      <x:c r="F75" s="556"/>
      <x:c r="G75" s="778"/>
      <x:c r="H75" s="778"/>
      <x:c r="I75" s="778"/>
      <x:c r="J75" s="778"/>
      <x:c r="K75" s="778"/>
      <x:c r="L75" s="778"/>
      <x:c r="M75" s="778"/>
      <x:c r="N75" s="778"/>
      <x:c r="O75" s="778"/>
      <x:c r="P75" s="26" t="str">
        <x:f>IF(A75="","",IF(COUNTIF(G75:O75,"CHALLENGE - OPEN")&gt;0,"HOLD - OPEN CHALLENGE",IF(COUNTBLANK(G75:O75)&gt;0,"HOLD - NOT FULLY REVIEWED",IF(COUNTIF(G75:O75,"NOT REVIEWED")&gt;0,"HOLD - NOT FULLY REVIEWED","PASS"))))</x:f>
      </x:c>
      <x:c r="Q75" s="778"/>
      <x:c r="R75" s="26"/>
      <x:c r="S75" s="26"/>
      <x:c r="T75" s="26"/>
      <x:c r="U75" s="26"/>
      <x:c r="V75" s="26"/>
      <x:c r="W75" s="26"/>
      <x:c r="X75" s="26"/>
    </x:row>
    <x:row r="76" ht="22" customHeight="1">
      <x:c r="A76" s="26"/>
      <x:c r="B76" s="26"/>
      <x:c r="C76" s="26"/>
      <x:c r="D76" s="550"/>
      <x:c r="E76" s="26"/>
      <x:c r="F76" s="556"/>
      <x:c r="G76" s="778"/>
      <x:c r="H76" s="778"/>
      <x:c r="I76" s="778"/>
      <x:c r="J76" s="778"/>
      <x:c r="K76" s="778"/>
      <x:c r="L76" s="778"/>
      <x:c r="M76" s="778"/>
      <x:c r="N76" s="778"/>
      <x:c r="O76" s="778"/>
      <x:c r="P76" s="26" t="str">
        <x:f>IF(A76="","",IF(COUNTIF(G76:O76,"CHALLENGE - OPEN")&gt;0,"HOLD - OPEN CHALLENGE",IF(COUNTBLANK(G76:O76)&gt;0,"HOLD - NOT FULLY REVIEWED",IF(COUNTIF(G76:O76,"NOT REVIEWED")&gt;0,"HOLD - NOT FULLY REVIEWED","PASS"))))</x:f>
      </x:c>
      <x:c r="Q76" s="778"/>
      <x:c r="R76" s="26"/>
      <x:c r="S76" s="26"/>
      <x:c r="T76" s="26"/>
      <x:c r="U76" s="26"/>
      <x:c r="V76" s="26"/>
      <x:c r="W76" s="26"/>
      <x:c r="X76" s="26"/>
    </x:row>
    <x:row r="77" ht="22" customHeight="1">
      <x:c r="A77" s="26"/>
      <x:c r="B77" s="26"/>
      <x:c r="C77" s="26"/>
      <x:c r="D77" s="550"/>
      <x:c r="E77" s="26"/>
      <x:c r="F77" s="556"/>
      <x:c r="G77" s="778"/>
      <x:c r="H77" s="778"/>
      <x:c r="I77" s="778"/>
      <x:c r="J77" s="778"/>
      <x:c r="K77" s="778"/>
      <x:c r="L77" s="778"/>
      <x:c r="M77" s="778"/>
      <x:c r="N77" s="778"/>
      <x:c r="O77" s="778"/>
      <x:c r="P77" s="26" t="str">
        <x:f>IF(A77="","",IF(COUNTIF(G77:O77,"CHALLENGE - OPEN")&gt;0,"HOLD - OPEN CHALLENGE",IF(COUNTBLANK(G77:O77)&gt;0,"HOLD - NOT FULLY REVIEWED",IF(COUNTIF(G77:O77,"NOT REVIEWED")&gt;0,"HOLD - NOT FULLY REVIEWED","PASS"))))</x:f>
      </x:c>
      <x:c r="Q77" s="778"/>
      <x:c r="R77" s="26"/>
      <x:c r="S77" s="26"/>
      <x:c r="T77" s="26"/>
      <x:c r="U77" s="26"/>
      <x:c r="V77" s="26"/>
      <x:c r="W77" s="26"/>
      <x:c r="X77" s="26"/>
    </x:row>
    <x:row r="78" ht="22" customHeight="1">
      <x:c r="A78" s="26"/>
      <x:c r="B78" s="26"/>
      <x:c r="C78" s="26"/>
      <x:c r="D78" s="550"/>
      <x:c r="E78" s="26"/>
      <x:c r="F78" s="556"/>
      <x:c r="G78" s="778"/>
      <x:c r="H78" s="778"/>
      <x:c r="I78" s="778"/>
      <x:c r="J78" s="778"/>
      <x:c r="K78" s="778"/>
      <x:c r="L78" s="778"/>
      <x:c r="M78" s="778"/>
      <x:c r="N78" s="778"/>
      <x:c r="O78" s="778"/>
      <x:c r="P78" s="26" t="str">
        <x:f>IF(A78="","",IF(COUNTIF(G78:O78,"CHALLENGE - OPEN")&gt;0,"HOLD - OPEN CHALLENGE",IF(COUNTBLANK(G78:O78)&gt;0,"HOLD - NOT FULLY REVIEWED",IF(COUNTIF(G78:O78,"NOT REVIEWED")&gt;0,"HOLD - NOT FULLY REVIEWED","PASS"))))</x:f>
      </x:c>
      <x:c r="Q78" s="778"/>
      <x:c r="R78" s="26"/>
      <x:c r="S78" s="26"/>
      <x:c r="T78" s="26"/>
      <x:c r="U78" s="26"/>
      <x:c r="V78" s="26"/>
      <x:c r="W78" s="26"/>
      <x:c r="X78" s="26"/>
    </x:row>
    <x:row r="79" ht="22" customHeight="1">
      <x:c r="A79" s="26"/>
      <x:c r="B79" s="26"/>
      <x:c r="C79" s="26"/>
      <x:c r="D79" s="550"/>
      <x:c r="E79" s="26"/>
      <x:c r="F79" s="556"/>
      <x:c r="G79" s="778"/>
      <x:c r="H79" s="778"/>
      <x:c r="I79" s="778"/>
      <x:c r="J79" s="778"/>
      <x:c r="K79" s="778"/>
      <x:c r="L79" s="778"/>
      <x:c r="M79" s="778"/>
      <x:c r="N79" s="778"/>
      <x:c r="O79" s="778"/>
      <x:c r="P79" s="26" t="str">
        <x:f>IF(A79="","",IF(COUNTIF(G79:O79,"CHALLENGE - OPEN")&gt;0,"HOLD - OPEN CHALLENGE",IF(COUNTBLANK(G79:O79)&gt;0,"HOLD - NOT FULLY REVIEWED",IF(COUNTIF(G79:O79,"NOT REVIEWED")&gt;0,"HOLD - NOT FULLY REVIEWED","PASS"))))</x:f>
      </x:c>
      <x:c r="Q79" s="778"/>
      <x:c r="R79" s="26"/>
      <x:c r="S79" s="26"/>
      <x:c r="T79" s="26"/>
      <x:c r="U79" s="26"/>
      <x:c r="V79" s="26"/>
      <x:c r="W79" s="26"/>
      <x:c r="X79" s="26"/>
    </x:row>
    <x:row r="80" ht="22" customHeight="1">
      <x:c r="A80" s="26"/>
      <x:c r="B80" s="26"/>
      <x:c r="C80" s="26"/>
      <x:c r="D80" s="550"/>
      <x:c r="E80" s="26"/>
      <x:c r="F80" s="556"/>
      <x:c r="G80" s="778"/>
      <x:c r="H80" s="778"/>
      <x:c r="I80" s="778"/>
      <x:c r="J80" s="778"/>
      <x:c r="K80" s="778"/>
      <x:c r="L80" s="778"/>
      <x:c r="M80" s="778"/>
      <x:c r="N80" s="778"/>
      <x:c r="O80" s="778"/>
      <x:c r="P80" s="26" t="str">
        <x:f>IF(A80="","",IF(COUNTIF(G80:O80,"CHALLENGE - OPEN")&gt;0,"HOLD - OPEN CHALLENGE",IF(COUNTBLANK(G80:O80)&gt;0,"HOLD - NOT FULLY REVIEWED",IF(COUNTIF(G80:O80,"NOT REVIEWED")&gt;0,"HOLD - NOT FULLY REVIEWED","PASS"))))</x:f>
      </x:c>
      <x:c r="Q80" s="778"/>
      <x:c r="R80" s="26"/>
      <x:c r="S80" s="26"/>
      <x:c r="T80" s="26"/>
      <x:c r="U80" s="26"/>
      <x:c r="V80" s="26"/>
      <x:c r="W80" s="26"/>
      <x:c r="X80" s="26"/>
    </x:row>
    <x:row r="81" ht="22" customHeight="1">
      <x:c r="A81" s="26"/>
      <x:c r="B81" s="26"/>
      <x:c r="C81" s="26"/>
      <x:c r="D81" s="550"/>
      <x:c r="E81" s="26"/>
      <x:c r="F81" s="556"/>
      <x:c r="G81" s="778"/>
      <x:c r="H81" s="778"/>
      <x:c r="I81" s="778"/>
      <x:c r="J81" s="778"/>
      <x:c r="K81" s="778"/>
      <x:c r="L81" s="778"/>
      <x:c r="M81" s="778"/>
      <x:c r="N81" s="778"/>
      <x:c r="O81" s="778"/>
      <x:c r="P81" s="26" t="str">
        <x:f>IF(A81="","",IF(COUNTIF(G81:O81,"CHALLENGE - OPEN")&gt;0,"HOLD - OPEN CHALLENGE",IF(COUNTBLANK(G81:O81)&gt;0,"HOLD - NOT FULLY REVIEWED",IF(COUNTIF(G81:O81,"NOT REVIEWED")&gt;0,"HOLD - NOT FULLY REVIEWED","PASS"))))</x:f>
      </x:c>
      <x:c r="Q81" s="778"/>
      <x:c r="R81" s="26"/>
      <x:c r="S81" s="26"/>
      <x:c r="T81" s="26"/>
      <x:c r="U81" s="26"/>
      <x:c r="V81" s="26"/>
      <x:c r="W81" s="26"/>
      <x:c r="X81" s="26"/>
    </x:row>
    <x:row r="82" ht="22" customHeight="1">
      <x:c r="A82" s="26"/>
      <x:c r="B82" s="26"/>
      <x:c r="C82" s="26"/>
      <x:c r="D82" s="550"/>
      <x:c r="E82" s="26"/>
      <x:c r="F82" s="556"/>
      <x:c r="G82" s="778"/>
      <x:c r="H82" s="778"/>
      <x:c r="I82" s="778"/>
      <x:c r="J82" s="778"/>
      <x:c r="K82" s="778"/>
      <x:c r="L82" s="778"/>
      <x:c r="M82" s="778"/>
      <x:c r="N82" s="778"/>
      <x:c r="O82" s="778"/>
      <x:c r="P82" s="26" t="str">
        <x:f>IF(A82="","",IF(COUNTIF(G82:O82,"CHALLENGE - OPEN")&gt;0,"HOLD - OPEN CHALLENGE",IF(COUNTBLANK(G82:O82)&gt;0,"HOLD - NOT FULLY REVIEWED",IF(COUNTIF(G82:O82,"NOT REVIEWED")&gt;0,"HOLD - NOT FULLY REVIEWED","PASS"))))</x:f>
      </x:c>
      <x:c r="Q82" s="778"/>
      <x:c r="R82" s="26"/>
      <x:c r="S82" s="26"/>
      <x:c r="T82" s="26"/>
      <x:c r="U82" s="26"/>
      <x:c r="V82" s="26"/>
      <x:c r="W82" s="26"/>
      <x:c r="X82" s="26"/>
    </x:row>
    <x:row r="83" ht="22" customHeight="1">
      <x:c r="A83" s="26"/>
      <x:c r="B83" s="26"/>
      <x:c r="C83" s="26"/>
      <x:c r="D83" s="550"/>
      <x:c r="E83" s="26"/>
      <x:c r="F83" s="556"/>
      <x:c r="G83" s="778"/>
      <x:c r="H83" s="778"/>
      <x:c r="I83" s="778"/>
      <x:c r="J83" s="778"/>
      <x:c r="K83" s="778"/>
      <x:c r="L83" s="778"/>
      <x:c r="M83" s="778"/>
      <x:c r="N83" s="778"/>
      <x:c r="O83" s="778"/>
      <x:c r="P83" s="26" t="str">
        <x:f>IF(A83="","",IF(COUNTIF(G83:O83,"CHALLENGE - OPEN")&gt;0,"HOLD - OPEN CHALLENGE",IF(COUNTBLANK(G83:O83)&gt;0,"HOLD - NOT FULLY REVIEWED",IF(COUNTIF(G83:O83,"NOT REVIEWED")&gt;0,"HOLD - NOT FULLY REVIEWED","PASS"))))</x:f>
      </x:c>
      <x:c r="Q83" s="778"/>
      <x:c r="R83" s="26"/>
      <x:c r="S83" s="26"/>
      <x:c r="T83" s="26"/>
      <x:c r="U83" s="26"/>
      <x:c r="V83" s="26"/>
      <x:c r="W83" s="26"/>
      <x:c r="X83" s="26"/>
    </x:row>
    <x:row r="84" ht="22" customHeight="1">
      <x:c r="A84" s="26" t="str">
        <x:f>IF('QS Takeoff'!B23="","",'QS Takeoff'!B23)</x:f>
        <x:v>PV01</x:v>
      </x:c>
      <x:c r="B84" s="26" t="str">
        <x:f>IF('QS Takeoff'!B23="","",'QS Takeoff'!A23)</x:f>
        <x:v>Pavements &amp; Concrete</x:v>
      </x:c>
      <x:c r="C84" s="26" t="str">
        <x:f>IF('QS Takeoff'!B23="","",'QS Takeoff'!C23)</x:f>
        <x:v>Internal carpark / driveway concrete pavement</x:v>
      </x:c>
      <x:c r="D84" s="550" t="n">
        <x:f>IF('QS Takeoff'!B23="","",'QS Takeoff'!E23)</x:f>
        <x:v>478.35</x:v>
      </x:c>
      <x:c r="E84" s="26" t="str">
        <x:f>IF('QS Takeoff'!B23="","",'QS Takeoff'!D23)</x:f>
        <x:v>m2</x:v>
      </x:c>
      <x:c r="F84" s="556" t="n">
        <x:f>IF('QS Takeoff'!B23="","",'QS Takeoff'!G23)</x:f>
        <x:v>77257.66088125</x:v>
      </x:c>
      <x:c r="G84" s="778" t="str">
        <x:v>ERB-01 REVIEWED</x:v>
      </x:c>
      <x:c r="H84" s="778" t="str">
        <x:v>ERB-02 REVIEWED</x:v>
      </x:c>
      <x:c r="I84" s="778" t="str">
        <x:v>ERB-03 REVIEWED</x:v>
      </x:c>
      <x:c r="J84" s="778" t="str">
        <x:v>ERB-04 COMPLETE</x:v>
      </x:c>
      <x:c r="K84" s="778" t="str">
        <x:v>ERB-05 COMPLETE</x:v>
      </x:c>
      <x:c r="L84" s="778" t="str">
        <x:v>ERB-06 COMPLETE</x:v>
      </x:c>
      <x:c r="M84" s="778" t="str">
        <x:v>ERB-07 COMPLETE</x:v>
      </x:c>
      <x:c r="N84" s="778" t="str">
        <x:v>ERB-08 COMPLETE</x:v>
      </x:c>
      <x:c r="O84" s="778" t="str">
        <x:v>ERB-09 COMPLETE</x:v>
      </x:c>
      <x:c r="P84" s="26" t="str">
        <x:v>RED - Q-05 CONCRETE PRODUCTIVITY / PROGRAMME RECONCILIATION</x:v>
      </x:c>
      <x:c r="Q84" s="778" t="str">
        <x:v>Formal ERB review complete. 498m2 total external concrete upheld, but PV01 direct placing labour and 10WD programme basis require Q-05 method/crew reconciliation before release.</x:v>
      </x:c>
      <x:c r="R84" s="26"/>
      <x:c r="S84" s="26"/>
      <x:c r="T84" s="26"/>
      <x:c r="U84" s="26"/>
      <x:c r="V84" s="26"/>
      <x:c r="W84" s="26"/>
      <x:c r="X84" s="26"/>
    </x:row>
    <x:row r="85" ht="22" customHeight="1">
      <x:c r="A85" s="26" t="str">
        <x:f>IF('QS Takeoff'!B24="","",'QS Takeoff'!B24)</x:f>
        <x:v>PV02</x:v>
      </x:c>
      <x:c r="B85" s="26" t="str">
        <x:f>IF('QS Takeoff'!B24="","",'QS Takeoff'!A24)</x:f>
        <x:v>Pavements &amp; Concrete</x:v>
      </x:c>
      <x:c r="C85" s="26" t="str">
        <x:f>IF('QS Takeoff'!B24="","",'QS Takeoff'!C24)</x:f>
        <x:v>Hobsonville Road public VX203 vehicle crossing</x:v>
      </x:c>
      <x:c r="D85" s="550" t="n">
        <x:f>IF('QS Takeoff'!B24="","",'QS Takeoff'!E24)</x:f>
        <x:v>37.7665</x:v>
      </x:c>
      <x:c r="E85" s="26" t="str">
        <x:f>IF('QS Takeoff'!B24="","",'QS Takeoff'!D24)</x:f>
        <x:v>m2</x:v>
      </x:c>
      <x:c r="F85" s="556" t="n">
        <x:f>IF('QS Takeoff'!B24="","",'QS Takeoff'!G24)</x:f>
        <x:v>18250</x:v>
      </x:c>
      <x:c r="G85" s="778" t="str">
        <x:v>ERB-01 REVIEWED</x:v>
      </x:c>
      <x:c r="H85" s="778" t="str">
        <x:v>ERB-02 REVIEWED</x:v>
      </x:c>
      <x:c r="I85" s="778" t="str">
        <x:v>ERB-03 REVIEWED</x:v>
      </x:c>
      <x:c r="J85" s="778" t="str">
        <x:v>ERB-04 COMPLETE</x:v>
      </x:c>
      <x:c r="K85" s="778" t="str">
        <x:v>ERB-05 COMPLETE</x:v>
      </x:c>
      <x:c r="L85" s="778" t="str">
        <x:v>ERB-06 COMPLETE</x:v>
      </x:c>
      <x:c r="M85" s="778" t="str">
        <x:v>ERB-07 COMPLETE</x:v>
      </x:c>
      <x:c r="N85" s="778" t="str">
        <x:v>ERB-08 COMPLETE</x:v>
      </x:c>
      <x:c r="O85" s="778" t="str">
        <x:v>ERB-09 COMPLETE</x:v>
      </x:c>
      <x:c r="P85" s="26" t="str">
        <x:v>AMBER - CROSSING QTY / ROAD REINSTATEMENT / Q-07 OPEN</x:v>
      </x:c>
      <x:c r="Q85" s="778" t="str">
        <x:v>Formal ERB clean-room review completed. See adjudication register / Rev20 Board Adjudication sheet for accepted/rejected findings.</x:v>
      </x:c>
      <x:c r="R85" s="26"/>
      <x:c r="S85" s="26"/>
      <x:c r="T85" s="26"/>
      <x:c r="U85" s="26"/>
      <x:c r="V85" s="26"/>
      <x:c r="W85" s="26"/>
      <x:c r="X85" s="26"/>
    </x:row>
    <x:row r="86" ht="22" customHeight="1">
      <x:c r="A86" s="26" t="str">
        <x:f>IF('QS Takeoff'!B25="","",'QS Takeoff'!B25)</x:f>
        <x:v>PV03</x:v>
      </x:c>
      <x:c r="B86" s="26" t="str">
        <x:f>IF('QS Takeoff'!B25="","",'QS Takeoff'!A25)</x:f>
        <x:v>Pavements &amp; Concrete</x:v>
      </x:c>
      <x:c r="C86" s="26" t="str">
        <x:f>IF('QS Takeoff'!B25="","",'QS Takeoff'!C25)</x:f>
        <x:v>Private ROW / JOAL access connection</x:v>
      </x:c>
      <x:c r="D86" s="550" t="n">
        <x:f>IF('QS Takeoff'!B25="","",'QS Takeoff'!E25)</x:f>
        <x:v>0</x:v>
      </x:c>
      <x:c r="E86" s="26" t="str">
        <x:f>IF('QS Takeoff'!B25="","",'QS Takeoff'!D25)</x:f>
        <x:v>m2</x:v>
      </x:c>
      <x:c r="F86" s="556" t="n">
        <x:f>IF('QS Takeoff'!B25="","",'QS Takeoff'!G25)</x:f>
        <x:v>0</x:v>
      </x:c>
      <x:c r="G86" s="778" t="str">
        <x:v>ERB-01 REVIEWED</x:v>
      </x:c>
      <x:c r="H86" s="778" t="str">
        <x:v>ERB-02 REVIEWED</x:v>
      </x:c>
      <x:c r="I86" s="778" t="str">
        <x:v>ERB-03 REVIEWED</x:v>
      </x:c>
      <x:c r="J86" s="778" t="str">
        <x:v>ERB-04 COMPLETE</x:v>
      </x:c>
      <x:c r="K86" s="778" t="str">
        <x:v>ERB-05 COMPLETE</x:v>
      </x:c>
      <x:c r="L86" s="778" t="str">
        <x:v>ERB-06 COMPLETE</x:v>
      </x:c>
      <x:c r="M86" s="778" t="str">
        <x:v>ERB-07 COMPLETE</x:v>
      </x:c>
      <x:c r="N86" s="778" t="str">
        <x:v>ERB-08 COMPLETE</x:v>
      </x:c>
      <x:c r="O86" s="778" t="str">
        <x:v>ERB-09 COMPLETE</x:v>
      </x:c>
      <x:c r="P86" s="26" t="str">
        <x:v>BOARD REVIEWED / AMBER - EXISTING FIRM-UP ACTIONS</x:v>
      </x:c>
      <x:c r="Q86" s="778" t="str">
        <x:v>Formal ERB clean-room review completed. See adjudication register / Rev20 Board Adjudication sheet for accepted/rejected findings.</x:v>
      </x:c>
      <x:c r="R86" s="26"/>
      <x:c r="S86" s="26"/>
      <x:c r="T86" s="26"/>
      <x:c r="U86" s="26"/>
      <x:c r="V86" s="26"/>
      <x:c r="W86" s="26"/>
      <x:c r="X86" s="26"/>
    </x:row>
    <x:row r="87" ht="22" customHeight="1">
      <x:c r="A87" s="26" t="str">
        <x:f>IF('QS Takeoff'!B26="","",'QS Takeoff'!B26)</x:f>
        <x:v>PV04</x:v>
      </x:c>
      <x:c r="B87" s="26" t="str">
        <x:f>IF('QS Takeoff'!B26="","",'QS Takeoff'!A26)</x:f>
        <x:v>Pavements &amp; Concrete</x:v>
      </x:c>
      <x:c r="C87" s="26" t="str">
        <x:f>IF('QS Takeoff'!B26="","",'QS Takeoff'!C26)</x:f>
        <x:v>External concrete paths / interface paving</x:v>
      </x:c>
      <x:c r="D87" s="550" t="n">
        <x:f>IF('QS Takeoff'!B26="","",'QS Takeoff'!E26)</x:f>
        <x:v>89.65</x:v>
      </x:c>
      <x:c r="E87" s="26" t="str">
        <x:f>IF('QS Takeoff'!B26="","",'QS Takeoff'!D26)</x:f>
        <x:v>m2</x:v>
      </x:c>
      <x:c r="F87" s="556" t="n">
        <x:f>IF('QS Takeoff'!B26="","",'QS Takeoff'!G26)</x:f>
        <x:v>21026.652452025588</x:v>
      </x:c>
      <x:c r="G87" s="778" t="str">
        <x:v>ERB-01 REVIEWED</x:v>
      </x:c>
      <x:c r="H87" s="778" t="str">
        <x:v>ERB-02 REVIEWED</x:v>
      </x:c>
      <x:c r="I87" s="778" t="str">
        <x:v>ERB-03 REVIEWED</x:v>
      </x:c>
      <x:c r="J87" s="778" t="str">
        <x:v>ERB-04 COMPLETE</x:v>
      </x:c>
      <x:c r="K87" s="778" t="str">
        <x:v>ERB-05 COMPLETE</x:v>
      </x:c>
      <x:c r="L87" s="778" t="str">
        <x:v>ERB-06 COMPLETE</x:v>
      </x:c>
      <x:c r="M87" s="778" t="str">
        <x:v>ERB-07 COMPLETE</x:v>
      </x:c>
      <x:c r="N87" s="778" t="str">
        <x:v>ERB-08 COMPLETE</x:v>
      </x:c>
      <x:c r="O87" s="778" t="str">
        <x:v>ERB-09 COMPLETE</x:v>
      </x:c>
      <x:c r="P87" s="26" t="str">
        <x:v>AMBER - 498m2 TOTAL UPHELD / INTERNAL-PATH SPLIT VERIFY</x:v>
      </x:c>
      <x:c r="Q87" s="778" t="str">
        <x:v>Formal ERB clean-room review completed. See adjudication register / Rev20 Board Adjudication sheet for accepted/rejected findings.</x:v>
      </x:c>
      <x:c r="R87" s="26"/>
      <x:c r="S87" s="26"/>
      <x:c r="T87" s="26"/>
      <x:c r="U87" s="26"/>
      <x:c r="V87" s="26"/>
      <x:c r="W87" s="26"/>
      <x:c r="X87" s="26"/>
    </x:row>
    <x:row r="88" ht="22" customHeight="1">
      <x:c r="A88" s="26" t="str">
        <x:f>IF('QS Takeoff'!B27="","",'QS Takeoff'!B27)</x:f>
        <x:v>PV05</x:v>
      </x:c>
      <x:c r="B88" s="26" t="str">
        <x:f>IF('QS Takeoff'!B27="","",'QS Takeoff'!A27)</x:f>
        <x:v>Pavements &amp; Concrete</x:v>
      </x:c>
      <x:c r="C88" s="26" t="str">
        <x:f>IF('QS Takeoff'!B27="","",'QS Takeoff'!C27)</x:f>
        <x:v>Line marking, accessible symbols/signage and directional markings</x:v>
      </x:c>
      <x:c r="D88" s="550" t="n">
        <x:f>IF('QS Takeoff'!B27="","",'QS Takeoff'!E27)</x:f>
        <x:v>1</x:v>
      </x:c>
      <x:c r="E88" s="26" t="str">
        <x:f>IF('QS Takeoff'!B27="","",'QS Takeoff'!D27)</x:f>
        <x:v>LS</x:v>
      </x:c>
      <x:c r="F88" s="556" t="n">
        <x:f>IF('QS Takeoff'!B27="","",'QS Takeoff'!G27)</x:f>
        <x:v>2500</x:v>
      </x:c>
      <x:c r="G88" s="778" t="str">
        <x:v>ERB-01 REVIEWED</x:v>
      </x:c>
      <x:c r="H88" s="778" t="str">
        <x:v>ERB-02 REVIEWED</x:v>
      </x:c>
      <x:c r="I88" s="778" t="str">
        <x:v>ERB-03 REVIEWED</x:v>
      </x:c>
      <x:c r="J88" s="778" t="str">
        <x:v>ERB-04 COMPLETE</x:v>
      </x:c>
      <x:c r="K88" s="778" t="str">
        <x:v>ERB-05 COMPLETE</x:v>
      </x:c>
      <x:c r="L88" s="778" t="str">
        <x:v>ERB-06 COMPLETE</x:v>
      </x:c>
      <x:c r="M88" s="778" t="str">
        <x:v>ERB-07 COMPLETE</x:v>
      </x:c>
      <x:c r="N88" s="778" t="str">
        <x:v>ERB-08 COMPLETE</x:v>
      </x:c>
      <x:c r="O88" s="778" t="str">
        <x:v>ERB-09 COMPLETE</x:v>
      </x:c>
      <x:c r="P88" s="26" t="str">
        <x:v>BOARD REVIEWED / AMBER - EXISTING FIRM-UP ACTIONS</x:v>
      </x:c>
      <x:c r="Q88" s="778" t="str">
        <x:v>Formal ERB clean-room review completed. See adjudication register / Rev20 Board Adjudication sheet for accepted/rejected findings.</x:v>
      </x:c>
      <x:c r="R88" s="26"/>
      <x:c r="S88" s="26"/>
      <x:c r="T88" s="26"/>
      <x:c r="U88" s="26"/>
      <x:c r="V88" s="26"/>
      <x:c r="W88" s="26"/>
      <x:c r="X88" s="26"/>
    </x:row>
    <x:row r="89" ht="22" customHeight="1">
      <x:c r="A89" s="26" t="str">
        <x:f>IF('QS Takeoff'!B28="","",'QS Takeoff'!B28)</x:f>
        <x:v>PV06</x:v>
      </x:c>
      <x:c r="B89" s="26" t="str">
        <x:f>IF('QS Takeoff'!B28="","",'QS Takeoff'!A28)</x:f>
        <x:v>Pavements &amp; Concrete</x:v>
      </x:c>
      <x:c r="C89" s="26" t="str">
        <x:f>IF('QS Takeoff'!B28="","",'QS Takeoff'!C28)</x:f>
        <x:v>Speed control devices / speed bumps</x:v>
      </x:c>
      <x:c r="D89" s="550" t="n">
        <x:f>IF('QS Takeoff'!B28="","",'QS Takeoff'!E28)</x:f>
        <x:v>0</x:v>
      </x:c>
      <x:c r="E89" s="26" t="str">
        <x:f>IF('QS Takeoff'!B28="","",'QS Takeoff'!D28)</x:f>
        <x:v>ea</x:v>
      </x:c>
      <x:c r="F89" s="556" t="n">
        <x:f>IF('QS Takeoff'!B28="","",'QS Takeoff'!G28)</x:f>
        <x:v>0</x:v>
      </x:c>
      <x:c r="G89" s="778" t="str">
        <x:v>ERB-01 REVIEWED</x:v>
      </x:c>
      <x:c r="H89" s="778" t="str">
        <x:v>ERB-02 REVIEWED</x:v>
      </x:c>
      <x:c r="I89" s="778" t="str">
        <x:v>ERB-03 REVIEWED</x:v>
      </x:c>
      <x:c r="J89" s="778" t="str">
        <x:v>ERB-04 COMPLETE</x:v>
      </x:c>
      <x:c r="K89" s="778" t="str">
        <x:v>ERB-05 COMPLETE</x:v>
      </x:c>
      <x:c r="L89" s="778" t="str">
        <x:v>ERB-06 COMPLETE</x:v>
      </x:c>
      <x:c r="M89" s="778" t="str">
        <x:v>ERB-07 COMPLETE</x:v>
      </x:c>
      <x:c r="N89" s="778" t="str">
        <x:v>ERB-08 COMPLETE</x:v>
      </x:c>
      <x:c r="O89" s="778" t="str">
        <x:v>ERB-09 COMPLETE</x:v>
      </x:c>
      <x:c r="P89" s="26" t="str">
        <x:v>AMBER - SPEED-CONTROL NEW-SCOPE STATUS VERIFY</x:v>
      </x:c>
      <x:c r="Q89" s="778" t="str">
        <x:v>Formal ERB clean-room review completed. See adjudication register / Rev20 Board Adjudication sheet for accepted/rejected findings.</x:v>
      </x:c>
      <x:c r="R89" s="26"/>
      <x:c r="S89" s="26"/>
      <x:c r="T89" s="26"/>
      <x:c r="U89" s="26"/>
      <x:c r="V89" s="26"/>
      <x:c r="W89" s="26"/>
      <x:c r="X89" s="26"/>
    </x:row>
    <x:row r="90" ht="22" customHeight="1">
      <x:c r="A90" s="26" t="str">
        <x:f>IF('QS Takeoff'!B29="","",'QS Takeoff'!B29)</x:f>
        <x:v>ES01</x:v>
      </x:c>
      <x:c r="B90" s="26" t="str">
        <x:f>IF('QS Takeoff'!B29="","",'QS Takeoff'!A29)</x:f>
        <x:v>Kerbs, Channels &amp; External Sitework</x:v>
      </x:c>
      <x:c r="C90" s="26" t="str">
        <x:f>IF('QS Takeoff'!B29="","",'QS Takeoff'!C29)</x:f>
        <x:v>Dry service / utility trenches</x:v>
      </x:c>
      <x:c r="D90" s="550" t="n">
        <x:f>IF('QS Takeoff'!B29="","",'QS Takeoff'!E29)</x:f>
        <x:v>1</x:v>
      </x:c>
      <x:c r="E90" s="26" t="str">
        <x:f>IF('QS Takeoff'!B29="","",'QS Takeoff'!D29)</x:f>
        <x:v>LS</x:v>
      </x:c>
      <x:c r="F90" s="556" t="n">
        <x:f>IF('QS Takeoff'!B29="","",'QS Takeoff'!G29)</x:f>
        <x:v>15000</x:v>
      </x:c>
      <x:c r="G90" s="778" t="str">
        <x:v>ERB-01 REVIEWED</x:v>
      </x:c>
      <x:c r="H90" s="778" t="str">
        <x:v>ERB-02 REVIEWED</x:v>
      </x:c>
      <x:c r="I90" s="778" t="str">
        <x:v>ERB-03 REVIEWED</x:v>
      </x:c>
      <x:c r="J90" s="778" t="str">
        <x:v>ERB-04 COMPLETE</x:v>
      </x:c>
      <x:c r="K90" s="778" t="str">
        <x:v>ERB-05 COMPLETE</x:v>
      </x:c>
      <x:c r="L90" s="778" t="str">
        <x:v>ERB-06 COMPLETE</x:v>
      </x:c>
      <x:c r="M90" s="778" t="str">
        <x:v>ERB-07 COMPLETE</x:v>
      </x:c>
      <x:c r="N90" s="778" t="str">
        <x:v>ERB-08 COMPLETE</x:v>
      </x:c>
      <x:c r="O90" s="778" t="str">
        <x:v>ERB-09 COMPLETE</x:v>
      </x:c>
      <x:c r="P90" s="26" t="str">
        <x:v>AMBER - DESIGN PC</x:v>
      </x:c>
      <x:c r="Q90" s="778" t="str">
        <x:v>Formal ERB clean-room review completed. See adjudication register / Rev20 Board Adjudication sheet for accepted/rejected findings.</x:v>
      </x:c>
      <x:c r="R90" s="26"/>
      <x:c r="S90" s="26"/>
      <x:c r="T90" s="26"/>
      <x:c r="U90" s="26"/>
      <x:c r="V90" s="26"/>
      <x:c r="W90" s="26"/>
      <x:c r="X90" s="26"/>
    </x:row>
    <x:row r="91" ht="22" customHeight="1">
      <x:c r="A91" s="26" t="str">
        <x:f>IF('QS Takeoff'!B30="","",'QS Takeoff'!B30)</x:f>
        <x:v>ES02</x:v>
      </x:c>
      <x:c r="B91" s="26" t="str">
        <x:f>IF('QS Takeoff'!B30="","",'QS Takeoff'!A30)</x:f>
        <x:v>Kerbs, Channels &amp; External Sitework</x:v>
      </x:c>
      <x:c r="C91" s="26" t="str">
        <x:f>IF('QS Takeoff'!B30="","",'QS Takeoff'!C30)</x:f>
        <x:v>Carpark formed dish channel / surface channel interface</x:v>
      </x:c>
      <x:c r="D91" s="550" t="n">
        <x:f>IF('QS Takeoff'!B30="","",'QS Takeoff'!E30)</x:f>
        <x:v>1</x:v>
      </x:c>
      <x:c r="E91" s="26" t="str">
        <x:f>IF('QS Takeoff'!B30="","",'QS Takeoff'!D30)</x:f>
        <x:v>LS</x:v>
      </x:c>
      <x:c r="F91" s="556" t="n">
        <x:f>IF('QS Takeoff'!B30="","",'QS Takeoff'!G30)</x:f>
        <x:v>7500</x:v>
      </x:c>
      <x:c r="G91" s="778" t="str">
        <x:v>ERB-01 REVIEWED</x:v>
      </x:c>
      <x:c r="H91" s="778" t="str">
        <x:v>ERB-02 REVIEWED</x:v>
      </x:c>
      <x:c r="I91" s="778" t="str">
        <x:v>ERB-03 REVIEWED</x:v>
      </x:c>
      <x:c r="J91" s="778" t="str">
        <x:v>ERB-04 COMPLETE</x:v>
      </x:c>
      <x:c r="K91" s="778" t="str">
        <x:v>ERB-05 COMPLETE</x:v>
      </x:c>
      <x:c r="L91" s="778" t="str">
        <x:v>ERB-06 COMPLETE</x:v>
      </x:c>
      <x:c r="M91" s="778" t="str">
        <x:v>ERB-07 COMPLETE</x:v>
      </x:c>
      <x:c r="N91" s="778" t="str">
        <x:v>ERB-08 COMPLETE</x:v>
      </x:c>
      <x:c r="O91" s="778" t="str">
        <x:v>ERB-09 COMPLETE</x:v>
      </x:c>
      <x:c r="P91" s="26" t="str">
        <x:v>AMBER - INTERFACE PC</x:v>
      </x:c>
      <x:c r="Q91" s="778" t="str">
        <x:v>Formal ERB clean-room review completed. See adjudication register / Rev20 Board Adjudication sheet for accepted/rejected findings.</x:v>
      </x:c>
      <x:c r="R91" s="26"/>
      <x:c r="S91" s="26"/>
      <x:c r="T91" s="26"/>
      <x:c r="U91" s="26"/>
      <x:c r="V91" s="26"/>
      <x:c r="W91" s="26"/>
      <x:c r="X91" s="26"/>
    </x:row>
    <x:row r="92" ht="22" customHeight="1">
      <x:c r="A92" s="26" t="str">
        <x:f>IF('QS Takeoff'!B31="","",'QS Takeoff'!B31)</x:f>
        <x:v>ES03</x:v>
      </x:c>
      <x:c r="B92" s="26" t="str">
        <x:f>IF('QS Takeoff'!B31="","",'QS Takeoff'!A31)</x:f>
        <x:v>Kerbs, Channels &amp; External Sitework</x:v>
      </x:c>
      <x:c r="C92" s="26" t="str">
        <x:f>IF('QS Takeoff'!B31="","",'QS Takeoff'!C31)</x:f>
        <x:v>Allproof level-threshold drainage to flush exterior openings</x:v>
      </x:c>
      <x:c r="D92" s="550" t="n">
        <x:f>IF('QS Takeoff'!B31="","",'QS Takeoff'!E31)</x:f>
        <x:v>44</x:v>
      </x:c>
      <x:c r="E92" s="26" t="str">
        <x:f>IF('QS Takeoff'!B31="","",'QS Takeoff'!D31)</x:f>
        <x:v>lm</x:v>
      </x:c>
      <x:c r="F92" s="556" t="n">
        <x:f>IF('QS Takeoff'!B31="","",'QS Takeoff'!G31)</x:f>
        <x:v>40000</x:v>
      </x:c>
      <x:c r="G92" s="778" t="str">
        <x:v>ERB-01 REVIEWED</x:v>
      </x:c>
      <x:c r="H92" s="778" t="str">
        <x:v>ERB-02 REVIEWED</x:v>
      </x:c>
      <x:c r="I92" s="778" t="str">
        <x:v>ERB-03 REVIEWED</x:v>
      </x:c>
      <x:c r="J92" s="778" t="str">
        <x:v>ERB-04 COMPLETE</x:v>
      </x:c>
      <x:c r="K92" s="778" t="str">
        <x:v>ERB-05 COMPLETE</x:v>
      </x:c>
      <x:c r="L92" s="778" t="str">
        <x:v>ERB-06 COMPLETE</x:v>
      </x:c>
      <x:c r="M92" s="778" t="str">
        <x:v>ERB-07 COMPLETE</x:v>
      </x:c>
      <x:c r="N92" s="778" t="str">
        <x:v>ERB-08 COMPLETE</x:v>
      </x:c>
      <x:c r="O92" s="778" t="str">
        <x:v>ERB-09 COMPLETE</x:v>
      </x:c>
      <x:c r="P92" s="26" t="str">
        <x:v>AMBER - PRODUCT / OUTLET INTERFACE</x:v>
      </x:c>
      <x:c r="Q92" s="778" t="str">
        <x:v>Formal ERB clean-room review completed. See adjudication register / Rev20 Board Adjudication sheet for accepted/rejected findings.</x:v>
      </x:c>
      <x:c r="R92" s="26"/>
      <x:c r="S92" s="26"/>
      <x:c r="T92" s="26"/>
      <x:c r="U92" s="26"/>
      <x:c r="V92" s="26"/>
      <x:c r="W92" s="26"/>
      <x:c r="X92" s="26"/>
    </x:row>
    <x:row r="93" ht="22" customHeight="1">
      <x:c r="A93" s="26" t="str">
        <x:f>IF('QS Takeoff'!B32="","",'QS Takeoff'!B32)</x:f>
        <x:v>ES04</x:v>
      </x:c>
      <x:c r="B93" s="26" t="str">
        <x:f>IF('QS Takeoff'!B32="","",'QS Takeoff'!A32)</x:f>
        <x:v>Kerbs, Channels &amp; External Sitework</x:v>
      </x:c>
      <x:c r="C93" s="26" t="str">
        <x:f>IF('QS Takeoff'!B32="","",'QS Takeoff'!C32)</x:f>
        <x:v>OLFP fence opening / reinstatement interface</x:v>
      </x:c>
      <x:c r="D93" s="550" t="n">
        <x:f>IF('QS Takeoff'!B32="","",'QS Takeoff'!E32)</x:f>
        <x:v>1</x:v>
      </x:c>
      <x:c r="E93" s="26" t="str">
        <x:f>IF('QS Takeoff'!B32="","",'QS Takeoff'!D32)</x:f>
        <x:v>LS</x:v>
      </x:c>
      <x:c r="F93" s="556" t="n">
        <x:f>IF('QS Takeoff'!B32="","",'QS Takeoff'!G32)</x:f>
        <x:v>2500</x:v>
      </x:c>
      <x:c r="G93" s="778" t="str">
        <x:v>ERB-01 REVIEWED</x:v>
      </x:c>
      <x:c r="H93" s="778" t="str">
        <x:v>ERB-02 REVIEWED</x:v>
      </x:c>
      <x:c r="I93" s="778" t="str">
        <x:v>ERB-03 REVIEWED</x:v>
      </x:c>
      <x:c r="J93" s="778" t="str">
        <x:v>ERB-04 COMPLETE</x:v>
      </x:c>
      <x:c r="K93" s="778" t="str">
        <x:v>ERB-05 COMPLETE</x:v>
      </x:c>
      <x:c r="L93" s="778" t="str">
        <x:v>ERB-06 COMPLETE</x:v>
      </x:c>
      <x:c r="M93" s="778" t="str">
        <x:v>ERB-07 COMPLETE</x:v>
      </x:c>
      <x:c r="N93" s="778" t="str">
        <x:v>ERB-08 COMPLETE</x:v>
      </x:c>
      <x:c r="O93" s="778" t="str">
        <x:v>ERB-09 COMPLETE</x:v>
      </x:c>
      <x:c r="P93" s="26" t="str">
        <x:v>BOARD REVIEWED / AMBER - EXISTING FIRM-UP ACTIONS</x:v>
      </x:c>
      <x:c r="Q93" s="778" t="str">
        <x:v>Formal ERB clean-room review completed. See adjudication register / Rev20 Board Adjudication sheet for accepted/rejected findings.</x:v>
      </x:c>
      <x:c r="R93" s="26"/>
      <x:c r="S93" s="26"/>
      <x:c r="T93" s="26"/>
      <x:c r="U93" s="26"/>
      <x:c r="V93" s="26"/>
      <x:c r="W93" s="26"/>
      <x:c r="X93" s="26"/>
    </x:row>
    <x:row r="94" ht="22" customHeight="1">
      <x:c r="A94" s="26"/>
      <x:c r="B94" s="26"/>
      <x:c r="C94" s="26"/>
      <x:c r="D94" s="550"/>
      <x:c r="E94" s="26"/>
      <x:c r="F94" s="556"/>
      <x:c r="G94" s="778"/>
      <x:c r="H94" s="778"/>
      <x:c r="I94" s="778"/>
      <x:c r="J94" s="778"/>
      <x:c r="K94" s="778"/>
      <x:c r="L94" s="778"/>
      <x:c r="M94" s="778"/>
      <x:c r="N94" s="778"/>
      <x:c r="O94" s="778"/>
      <x:c r="P94" s="26" t="str">
        <x:f>IF(A94="","",IF(COUNTIF(G94:O94,"CHALLENGE - OPEN")&gt;0,"HOLD - OPEN CHALLENGE",IF(COUNTBLANK(G94:O94)&gt;0,"HOLD - NOT FULLY REVIEWED",IF(COUNTIF(G94:O94,"NOT REVIEWED")&gt;0,"HOLD - NOT FULLY REVIEWED","PASS"))))</x:f>
      </x:c>
      <x:c r="Q94" s="778"/>
      <x:c r="R94" s="26"/>
      <x:c r="S94" s="26"/>
      <x:c r="T94" s="26"/>
      <x:c r="U94" s="26"/>
      <x:c r="V94" s="26"/>
      <x:c r="W94" s="26"/>
      <x:c r="X94" s="26"/>
    </x:row>
    <x:row r="95" ht="22" customHeight="1">
      <x:c r="A95" s="26"/>
      <x:c r="B95" s="26"/>
      <x:c r="C95" s="26"/>
      <x:c r="D95" s="550"/>
      <x:c r="E95" s="26"/>
      <x:c r="F95" s="556"/>
      <x:c r="G95" s="778"/>
      <x:c r="H95" s="778"/>
      <x:c r="I95" s="778"/>
      <x:c r="J95" s="778"/>
      <x:c r="K95" s="778"/>
      <x:c r="L95" s="778"/>
      <x:c r="M95" s="778"/>
      <x:c r="N95" s="778"/>
      <x:c r="O95" s="778"/>
      <x:c r="P95" s="26" t="str">
        <x:f>IF(A95="","",IF(COUNTIF(G95:O95,"CHALLENGE - OPEN")&gt;0,"HOLD - OPEN CHALLENGE",IF(COUNTBLANK(G95:O95)&gt;0,"HOLD - NOT FULLY REVIEWED",IF(COUNTIF(G95:O95,"NOT REVIEWED")&gt;0,"HOLD - NOT FULLY REVIEWED","PASS"))))</x:f>
      </x:c>
      <x:c r="Q95" s="778"/>
      <x:c r="R95" s="26"/>
      <x:c r="S95" s="26"/>
      <x:c r="T95" s="26"/>
      <x:c r="U95" s="26"/>
      <x:c r="V95" s="26"/>
      <x:c r="W95" s="26"/>
      <x:c r="X95" s="26"/>
    </x:row>
    <x:row r="96" ht="22" customHeight="1">
      <x:c r="A96" s="26"/>
      <x:c r="B96" s="26"/>
      <x:c r="C96" s="26"/>
      <x:c r="D96" s="550"/>
      <x:c r="E96" s="26"/>
      <x:c r="F96" s="556"/>
      <x:c r="G96" s="778"/>
      <x:c r="H96" s="778"/>
      <x:c r="I96" s="778"/>
      <x:c r="J96" s="778"/>
      <x:c r="K96" s="778"/>
      <x:c r="L96" s="778"/>
      <x:c r="M96" s="778"/>
      <x:c r="N96" s="778"/>
      <x:c r="O96" s="778"/>
      <x:c r="P96" s="26" t="str">
        <x:f>IF(A96="","",IF(COUNTIF(G96:O96,"CHALLENGE - OPEN")&gt;0,"HOLD - OPEN CHALLENGE",IF(COUNTBLANK(G96:O96)&gt;0,"HOLD - NOT FULLY REVIEWED",IF(COUNTIF(G96:O96,"NOT REVIEWED")&gt;0,"HOLD - NOT FULLY REVIEWED","PASS"))))</x:f>
      </x:c>
      <x:c r="Q96" s="778"/>
      <x:c r="R96" s="26"/>
      <x:c r="S96" s="26"/>
      <x:c r="T96" s="26"/>
      <x:c r="U96" s="26"/>
      <x:c r="V96" s="26"/>
      <x:c r="W96" s="26"/>
      <x:c r="X96" s="26"/>
    </x:row>
    <x:row r="97" ht="22" customHeight="1">
      <x:c r="A97" s="26"/>
      <x:c r="B97" s="26"/>
      <x:c r="C97" s="26"/>
      <x:c r="D97" s="550"/>
      <x:c r="E97" s="26"/>
      <x:c r="F97" s="556"/>
      <x:c r="G97" s="778"/>
      <x:c r="H97" s="778"/>
      <x:c r="I97" s="778"/>
      <x:c r="J97" s="778"/>
      <x:c r="K97" s="778"/>
      <x:c r="L97" s="778"/>
      <x:c r="M97" s="778"/>
      <x:c r="N97" s="778"/>
      <x:c r="O97" s="778"/>
      <x:c r="P97" s="26" t="str">
        <x:f>IF(A97="","",IF(COUNTIF(G97:O97,"CHALLENGE - OPEN")&gt;0,"HOLD - OPEN CHALLENGE",IF(COUNTBLANK(G97:O97)&gt;0,"HOLD - NOT FULLY REVIEWED",IF(COUNTIF(G97:O97,"NOT REVIEWED")&gt;0,"HOLD - NOT FULLY REVIEWED","PASS"))))</x:f>
      </x:c>
      <x:c r="Q97" s="778"/>
      <x:c r="R97" s="26"/>
      <x:c r="S97" s="26"/>
      <x:c r="T97" s="26"/>
      <x:c r="U97" s="26"/>
      <x:c r="V97" s="26"/>
      <x:c r="W97" s="26"/>
      <x:c r="X97" s="26"/>
    </x:row>
    <x:row r="98" ht="22" customHeight="1">
      <x:c r="A98" s="26"/>
      <x:c r="B98" s="26"/>
      <x:c r="C98" s="26"/>
      <x:c r="D98" s="550"/>
      <x:c r="E98" s="26"/>
      <x:c r="F98" s="556"/>
      <x:c r="G98" s="778"/>
      <x:c r="H98" s="778"/>
      <x:c r="I98" s="778"/>
      <x:c r="J98" s="778"/>
      <x:c r="K98" s="778"/>
      <x:c r="L98" s="778"/>
      <x:c r="M98" s="778"/>
      <x:c r="N98" s="778"/>
      <x:c r="O98" s="778"/>
      <x:c r="P98" s="26" t="str">
        <x:f>IF(A98="","",IF(COUNTIF(G98:O98,"CHALLENGE - OPEN")&gt;0,"HOLD - OPEN CHALLENGE",IF(COUNTBLANK(G98:O98)&gt;0,"HOLD - NOT FULLY REVIEWED",IF(COUNTIF(G98:O98,"NOT REVIEWED")&gt;0,"HOLD - NOT FULLY REVIEWED","PASS"))))</x:f>
      </x:c>
      <x:c r="Q98" s="778"/>
      <x:c r="R98" s="26"/>
      <x:c r="S98" s="26"/>
      <x:c r="T98" s="26"/>
      <x:c r="U98" s="26"/>
      <x:c r="V98" s="26"/>
      <x:c r="W98" s="26"/>
      <x:c r="X98" s="26"/>
    </x:row>
    <x:row r="99" ht="22" customHeight="1">
      <x:c r="A99" s="26" t="str">
        <x:f>IF('QS Takeoff'!B33="","",'QS Takeoff'!B33)</x:f>
        <x:v>RW01</x:v>
      </x:c>
      <x:c r="B99" s="26" t="str">
        <x:f>IF('QS Takeoff'!B33="","",'QS Takeoff'!A33)</x:f>
        <x:v>Retaining Walls</x:v>
      </x:c>
      <x:c r="C99" s="26" t="str">
        <x:f>IF('QS Takeoff'!B33="","",'QS Takeoff'!C33)</x:f>
        <x:v>Keystone retaining wall - principal wall length control</x:v>
      </x:c>
      <x:c r="D99" s="550" t="n">
        <x:f>IF('QS Takeoff'!B33="","",'QS Takeoff'!E33)</x:f>
        <x:v>73.34</x:v>
      </x:c>
      <x:c r="E99" s="26" t="str">
        <x:f>IF('QS Takeoff'!B33="","",'QS Takeoff'!D33)</x:f>
        <x:v>lm</x:v>
      </x:c>
      <x:c r="F99" s="556" t="n">
        <x:f>IF('QS Takeoff'!B33="","",'QS Takeoff'!G33)</x:f>
        <x:v>45000</x:v>
      </x:c>
      <x:c r="G99" s="778" t="str">
        <x:v>ERB-01 REVIEWED</x:v>
      </x:c>
      <x:c r="H99" s="778" t="str">
        <x:v>ERB-02 REVIEWED</x:v>
      </x:c>
      <x:c r="I99" s="778" t="str">
        <x:v>ERB-03 REVIEWED</x:v>
      </x:c>
      <x:c r="J99" s="778" t="str">
        <x:v>ERB-04 COMPLETE</x:v>
      </x:c>
      <x:c r="K99" s="778" t="str">
        <x:v>ERB-05 COMPLETE</x:v>
      </x:c>
      <x:c r="L99" s="778" t="str">
        <x:v>ERB-06 COMPLETE</x:v>
      </x:c>
      <x:c r="M99" s="778" t="str">
        <x:v>ERB-07 COMPLETE</x:v>
      </x:c>
      <x:c r="N99" s="778" t="str">
        <x:v>ERB-08 COMPLETE</x:v>
      </x:c>
      <x:c r="O99" s="778" t="str">
        <x:v>ERB-09 COMPLETE</x:v>
      </x:c>
      <x:c r="P99" s="26" t="str">
        <x:v>RED - RETAINING HEIGHT PROFILE / Q-02-Q-03 OPEN</x:v>
      </x:c>
      <x:c r="Q99" s="778" t="str">
        <x:v>Formal ERB clean-room review completed. See adjudication register / Rev20 Board Adjudication sheet for accepted/rejected findings.</x:v>
      </x:c>
      <x:c r="R99" s="26"/>
      <x:c r="S99" s="26"/>
      <x:c r="T99" s="26"/>
      <x:c r="U99" s="26"/>
      <x:c r="V99" s="26"/>
      <x:c r="W99" s="26"/>
      <x:c r="X99" s="26"/>
    </x:row>
    <x:row r="100" ht="22" customHeight="1">
      <x:c r="A100" s="26" t="str">
        <x:f>IF('QS Takeoff'!B34="","",'QS Takeoff'!B34)</x:f>
        <x:v>RW02</x:v>
      </x:c>
      <x:c r="B100" s="26" t="str">
        <x:f>IF('QS Takeoff'!B34="","",'QS Takeoff'!A34)</x:f>
        <x:v>Retaining Walls</x:v>
      </x:c>
      <x:c r="C100" s="26" t="str">
        <x:f>IF('QS Takeoff'!B34="","",'QS Takeoff'!C34)</x:f>
        <x:v>Keystone retaining wall - low wall length control</x:v>
      </x:c>
      <x:c r="D100" s="550" t="n">
        <x:f>IF('QS Takeoff'!B34="","",'QS Takeoff'!E34)</x:f>
        <x:v>9.59</x:v>
      </x:c>
      <x:c r="E100" s="26" t="str">
        <x:f>IF('QS Takeoff'!B34="","",'QS Takeoff'!D34)</x:f>
        <x:v>lm</x:v>
      </x:c>
      <x:c r="F100" s="556" t="n">
        <x:f>IF('QS Takeoff'!B34="","",'QS Takeoff'!G34)</x:f>
        <x:v>7000</x:v>
      </x:c>
      <x:c r="G100" s="778" t="str">
        <x:v>ERB-01 REVIEWED</x:v>
      </x:c>
      <x:c r="H100" s="778" t="str">
        <x:v>ERB-02 REVIEWED</x:v>
      </x:c>
      <x:c r="I100" s="778" t="str">
        <x:v>ERB-03 REVIEWED</x:v>
      </x:c>
      <x:c r="J100" s="778" t="str">
        <x:v>ERB-04 COMPLETE</x:v>
      </x:c>
      <x:c r="K100" s="778" t="str">
        <x:v>ERB-05 COMPLETE</x:v>
      </x:c>
      <x:c r="L100" s="778" t="str">
        <x:v>ERB-06 COMPLETE</x:v>
      </x:c>
      <x:c r="M100" s="778" t="str">
        <x:v>ERB-07 COMPLETE</x:v>
      </x:c>
      <x:c r="N100" s="778" t="str">
        <x:v>ERB-08 COMPLETE</x:v>
      </x:c>
      <x:c r="O100" s="778" t="str">
        <x:v>ERB-09 COMPLETE</x:v>
      </x:c>
      <x:c r="P100" s="26" t="str">
        <x:v>RED - RETAINING HEIGHT PROFILE / Q-02-Q-03 OPEN</x:v>
      </x:c>
      <x:c r="Q100" s="778" t="str">
        <x:v>Formal ERB clean-room review completed. See adjudication register / Rev20 Board Adjudication sheet for accepted/rejected findings.</x:v>
      </x:c>
      <x:c r="R100" s="26"/>
      <x:c r="S100" s="26"/>
      <x:c r="T100" s="26"/>
      <x:c r="U100" s="26"/>
      <x:c r="V100" s="26"/>
      <x:c r="W100" s="26"/>
      <x:c r="X100" s="26"/>
    </x:row>
    <x:row r="101" ht="22" customHeight="1">
      <x:c r="A101" s="26" t="str">
        <x:f>IF('QS Takeoff'!B35="","",'QS Takeoff'!B35)</x:f>
        <x:v>RW03</x:v>
      </x:c>
      <x:c r="B101" s="26" t="str">
        <x:f>IF('QS Takeoff'!B35="","",'QS Takeoff'!A35)</x:f>
        <x:v>Retaining Walls</x:v>
      </x:c>
      <x:c r="C101" s="26" t="str">
        <x:f>IF('QS Takeoff'!B35="","",'QS Takeoff'!C35)</x:f>
        <x:v>PILE1 bridging piles to Keystone over 450mm SW main</x:v>
      </x:c>
      <x:c r="D101" s="550" t="n">
        <x:f>IF('QS Takeoff'!B35="","",'QS Takeoff'!E35)</x:f>
        <x:v>7</x:v>
      </x:c>
      <x:c r="E101" s="26" t="str">
        <x:f>IF('QS Takeoff'!B35="","",'QS Takeoff'!D35)</x:f>
        <x:v>ea</x:v>
      </x:c>
      <x:c r="F101" s="556" t="n">
        <x:f>IF('QS Takeoff'!B35="","",'QS Takeoff'!G35)</x:f>
        <x:v>1668.83595875</x:v>
      </x:c>
      <x:c r="G101" s="778" t="str">
        <x:v>ERB-01 REVIEWED</x:v>
      </x:c>
      <x:c r="H101" s="778" t="str">
        <x:v>ERB-02 REVIEWED</x:v>
      </x:c>
      <x:c r="I101" s="778" t="str">
        <x:v>ERB-03 REVIEWED</x:v>
      </x:c>
      <x:c r="J101" s="778" t="str">
        <x:v>ERB-04 COMPLETE</x:v>
      </x:c>
      <x:c r="K101" s="778" t="str">
        <x:v>ERB-05 COMPLETE</x:v>
      </x:c>
      <x:c r="L101" s="778" t="str">
        <x:v>ERB-06 COMPLETE</x:v>
      </x:c>
      <x:c r="M101" s="778" t="str">
        <x:v>ERB-07 COMPLETE</x:v>
      </x:c>
      <x:c r="N101" s="778" t="str">
        <x:v>ERB-08 COMPLETE</x:v>
      </x:c>
      <x:c r="O101" s="778" t="str">
        <x:v>ERB-09 COMPLETE</x:v>
      </x:c>
      <x:c r="P101" s="26" t="str">
        <x:v>BOARD REVIEWED / AMBER - EXISTING FIRM-UP ACTIONS</x:v>
      </x:c>
      <x:c r="Q101" s="778" t="str">
        <x:v>Formal ERB clean-room review completed. See adjudication register / Rev20 Board Adjudication sheet for accepted/rejected findings.</x:v>
      </x:c>
      <x:c r="R101" s="26"/>
      <x:c r="S101" s="26"/>
      <x:c r="T101" s="26"/>
      <x:c r="U101" s="26"/>
      <x:c r="V101" s="26"/>
      <x:c r="W101" s="26"/>
      <x:c r="X101" s="26"/>
    </x:row>
    <x:row r="102" ht="22" customHeight="1">
      <x:c r="A102" s="26" t="str">
        <x:f>IF('QS Takeoff'!B36="","",'QS Takeoff'!B36)</x:f>
        <x:v>RW04</x:v>
      </x:c>
      <x:c r="B102" s="26" t="str">
        <x:f>IF('QS Takeoff'!B36="","",'QS Takeoff'!A36)</x:f>
        <x:v>Retaining Walls</x:v>
      </x:c>
      <x:c r="C102" s="26" t="str">
        <x:f>IF('QS Takeoff'!B36="","",'QS Takeoff'!C36)</x:f>
        <x:v>13MPa no-fines concrete to engineered Keystone gravity wall</x:v>
      </x:c>
      <x:c r="D102" s="550" t="n">
        <x:f>IF('QS Takeoff'!B36="","",'QS Takeoff'!E36)</x:f>
        <x:v>1</x:v>
      </x:c>
      <x:c r="E102" s="26" t="str">
        <x:f>IF('QS Takeoff'!B36="","",'QS Takeoff'!D36)</x:f>
        <x:v>LS</x:v>
      </x:c>
      <x:c r="F102" s="556" t="n">
        <x:f>IF('QS Takeoff'!B36="","",'QS Takeoff'!G36)</x:f>
        <x:v>18000</x:v>
      </x:c>
      <x:c r="G102" s="778" t="str">
        <x:v>ERB-01 REVIEWED</x:v>
      </x:c>
      <x:c r="H102" s="778" t="str">
        <x:v>ERB-02 REVIEWED</x:v>
      </x:c>
      <x:c r="I102" s="778" t="str">
        <x:v>ERB-03 REVIEWED</x:v>
      </x:c>
      <x:c r="J102" s="778" t="str">
        <x:v>ERB-04 COMPLETE</x:v>
      </x:c>
      <x:c r="K102" s="778" t="str">
        <x:v>ERB-05 COMPLETE</x:v>
      </x:c>
      <x:c r="L102" s="778" t="str">
        <x:v>ERB-06 COMPLETE</x:v>
      </x:c>
      <x:c r="M102" s="778" t="str">
        <x:v>ERB-07 COMPLETE</x:v>
      </x:c>
      <x:c r="N102" s="778" t="str">
        <x:v>ERB-08 COMPLETE</x:v>
      </x:c>
      <x:c r="O102" s="778" t="str">
        <x:v>ERB-09 COMPLETE</x:v>
      </x:c>
      <x:c r="P102" s="26" t="str">
        <x:v>RED - RETAINING HEIGHT PROFILE / Q-02-Q-03 OPEN</x:v>
      </x:c>
      <x:c r="Q102" s="778" t="str">
        <x:v>Formal ERB clean-room review completed. See adjudication register / Rev20 Board Adjudication sheet for accepted/rejected findings.</x:v>
      </x:c>
      <x:c r="R102" s="26"/>
      <x:c r="S102" s="26"/>
      <x:c r="T102" s="26"/>
      <x:c r="U102" s="26"/>
      <x:c r="V102" s="26"/>
      <x:c r="W102" s="26"/>
      <x:c r="X102" s="26"/>
    </x:row>
    <x:row r="103" ht="22" customHeight="1">
      <x:c r="A103" s="26" t="str">
        <x:f>IF('QS Takeoff'!B37="","",'QS Takeoff'!B37)</x:f>
        <x:v>RW05</x:v>
      </x:c>
      <x:c r="B103" s="26" t="str">
        <x:f>IF('QS Takeoff'!B37="","",'QS Takeoff'!A37)</x:f>
        <x:v>Retaining Walls</x:v>
      </x:c>
      <x:c r="C103" s="26" t="str">
        <x:f>IF('QS Takeoff'!B37="","",'QS Takeoff'!C37)</x:f>
        <x:v>Retaining wall drainage: 100mm Novaflo, aggregate and filter cloth</x:v>
      </x:c>
      <x:c r="D103" s="550" t="n">
        <x:f>IF('QS Takeoff'!B37="","",'QS Takeoff'!E37)</x:f>
        <x:v>82.93</x:v>
      </x:c>
      <x:c r="E103" s="26" t="str">
        <x:f>IF('QS Takeoff'!B37="","",'QS Takeoff'!D37)</x:f>
        <x:v>lm</x:v>
      </x:c>
      <x:c r="F103" s="556" t="n">
        <x:f>IF('QS Takeoff'!B37="","",'QS Takeoff'!G37)</x:f>
        <x:v>0</x:v>
      </x:c>
      <x:c r="G103" s="778" t="str">
        <x:v>ERB-01 REVIEWED</x:v>
      </x:c>
      <x:c r="H103" s="778" t="str">
        <x:v>ERB-02 REVIEWED</x:v>
      </x:c>
      <x:c r="I103" s="778" t="str">
        <x:v>ERB-03 REVIEWED</x:v>
      </x:c>
      <x:c r="J103" s="778" t="str">
        <x:v>ERB-04 COMPLETE</x:v>
      </x:c>
      <x:c r="K103" s="778" t="str">
        <x:v>ERB-05 COMPLETE</x:v>
      </x:c>
      <x:c r="L103" s="778" t="str">
        <x:v>ERB-06 COMPLETE</x:v>
      </x:c>
      <x:c r="M103" s="778" t="str">
        <x:v>ERB-07 COMPLETE</x:v>
      </x:c>
      <x:c r="N103" s="778" t="str">
        <x:v>ERB-08 COMPLETE</x:v>
      </x:c>
      <x:c r="O103" s="778" t="str">
        <x:v>ERB-09 COMPLETE</x:v>
      </x:c>
      <x:c r="P103" s="26" t="str">
        <x:v>RED - RETAINING HEIGHT PROFILE / Q-02-Q-03 OPEN</x:v>
      </x:c>
      <x:c r="Q103" s="778" t="str">
        <x:v>Formal ERB clean-room review completed. See adjudication register / Rev20 Board Adjudication sheet for accepted/rejected findings.</x:v>
      </x:c>
      <x:c r="R103" s="26"/>
      <x:c r="S103" s="26"/>
      <x:c r="T103" s="26"/>
      <x:c r="U103" s="26"/>
      <x:c r="V103" s="26"/>
      <x:c r="W103" s="26"/>
      <x:c r="X103" s="26"/>
    </x:row>
    <x:row r="104" ht="22" customHeight="1">
      <x:c r="A104" s="26"/>
      <x:c r="B104" s="26"/>
      <x:c r="C104" s="26"/>
      <x:c r="D104" s="550"/>
      <x:c r="E104" s="26"/>
      <x:c r="F104" s="556"/>
      <x:c r="G104" s="778"/>
      <x:c r="H104" s="778"/>
      <x:c r="I104" s="778"/>
      <x:c r="J104" s="778"/>
      <x:c r="K104" s="778"/>
      <x:c r="L104" s="778"/>
      <x:c r="M104" s="778"/>
      <x:c r="N104" s="778"/>
      <x:c r="O104" s="778"/>
      <x:c r="P104" s="26" t="str">
        <x:f>IF(A104="","",IF(COUNTIF(G104:O104,"CHALLENGE - OPEN")&gt;0,"HOLD - OPEN CHALLENGE",IF(COUNTBLANK(G104:O104)&gt;0,"HOLD - NOT FULLY REVIEWED",IF(COUNTIF(G104:O104,"NOT REVIEWED")&gt;0,"HOLD - NOT FULLY REVIEWED","PASS"))))</x:f>
      </x:c>
      <x:c r="Q104" s="778"/>
      <x:c r="R104" s="26"/>
      <x:c r="S104" s="26"/>
      <x:c r="T104" s="26"/>
      <x:c r="U104" s="26"/>
      <x:c r="V104" s="26"/>
      <x:c r="W104" s="26"/>
      <x:c r="X104" s="26"/>
    </x:row>
    <x:row r="105" ht="22" customHeight="1">
      <x:c r="A105" s="26" t="str">
        <x:f>IF('QS Takeoff'!B38="","",'QS Takeoff'!B38)</x:f>
        <x:v>TC01</x:v>
      </x:c>
      <x:c r="B105" s="26" t="str">
        <x:f>IF('QS Takeoff'!B38="","",'QS Takeoff'!A38)</x:f>
        <x:v>Testing, As-Builts &amp; Compliance</x:v>
      </x:c>
      <x:c r="C105" s="26" t="str">
        <x:f>IF('QS Takeoff'!B38="","",'QS Takeoff'!C38)</x:f>
        <x:v>Geotechnical inspections / proof-roll / compaction testing</x:v>
      </x:c>
      <x:c r="D105" s="550" t="n">
        <x:f>IF('QS Takeoff'!B38="","",'QS Takeoff'!E38)</x:f>
        <x:v>1</x:v>
      </x:c>
      <x:c r="E105" s="26" t="str">
        <x:f>IF('QS Takeoff'!B38="","",'QS Takeoff'!D38)</x:f>
        <x:v>LS</x:v>
      </x:c>
      <x:c r="F105" s="556" t="n">
        <x:f>IF('QS Takeoff'!B38="","",'QS Takeoff'!G38)</x:f>
        <x:v>4600</x:v>
      </x:c>
      <x:c r="G105" s="778" t="str">
        <x:v>ERB-01 REVIEWED</x:v>
      </x:c>
      <x:c r="H105" s="778" t="str">
        <x:v>ERB-02 REVIEWED</x:v>
      </x:c>
      <x:c r="I105" s="778" t="str">
        <x:v>ERB-03 REVIEWED</x:v>
      </x:c>
      <x:c r="J105" s="778" t="str">
        <x:v>ERB-04 COMPLETE</x:v>
      </x:c>
      <x:c r="K105" s="778" t="str">
        <x:v>ERB-05 COMPLETE</x:v>
      </x:c>
      <x:c r="L105" s="778" t="str">
        <x:v>ERB-06 COMPLETE</x:v>
      </x:c>
      <x:c r="M105" s="778" t="str">
        <x:v>ERB-07 COMPLETE</x:v>
      </x:c>
      <x:c r="N105" s="778" t="str">
        <x:v>ERB-08 COMPLETE</x:v>
      </x:c>
      <x:c r="O105" s="778" t="str">
        <x:v>ERB-09 COMPLETE</x:v>
      </x:c>
      <x:c r="P105" s="26" t="str">
        <x:v>AMBER - Q-08 QUOTED / 7 VISITS ASSUMED</x:v>
      </x:c>
      <x:c r="Q105" s="778" t="str">
        <x:v>Formal ERB review complete. Gibb Ritchie AK26-051AD Rev0 now replaces the $10k PC with $4,600 quoted baseline. Visit count remains AMBER because the proposal allows additional attendance depending on programme/weather/performance.</x:v>
      </x:c>
      <x:c r="R105" s="26"/>
      <x:c r="S105" s="26"/>
      <x:c r="T105" s="26"/>
      <x:c r="U105" s="26"/>
      <x:c r="V105" s="26"/>
      <x:c r="W105" s="26"/>
      <x:c r="X105" s="26"/>
    </x:row>
    <x:row r="106" ht="22" customHeight="1">
      <x:c r="A106" s="26" t="str">
        <x:f>IF('QS Takeoff'!B39="","",'QS Takeoff'!B39)</x:f>
        <x:v>TC02</x:v>
      </x:c>
      <x:c r="B106" s="26" t="str">
        <x:f>IF('QS Takeoff'!B39="","",'QS Takeoff'!A39)</x:f>
        <x:v>Testing, As-Builts &amp; Compliance</x:v>
      </x:c>
      <x:c r="C106" s="26" t="str">
        <x:f>IF('QS Takeoff'!B39="","",'QS Takeoff'!C39)</x:f>
        <x:v>Survey setout / as-built support for Siteworks package</x:v>
      </x:c>
      <x:c r="D106" s="550" t="n">
        <x:f>IF('QS Takeoff'!B39="","",'QS Takeoff'!E39)</x:f>
        <x:v>0</x:v>
      </x:c>
      <x:c r="E106" s="26" t="str">
        <x:f>IF('QS Takeoff'!B39="","",'QS Takeoff'!D39)</x:f>
        <x:v>LS</x:v>
      </x:c>
      <x:c r="F106" s="556" t="n">
        <x:f>IF('QS Takeoff'!B39="","",'QS Takeoff'!G39)</x:f>
        <x:v>0</x:v>
      </x:c>
      <x:c r="G106" s="778" t="str">
        <x:v>ERB-01 REVIEWED</x:v>
      </x:c>
      <x:c r="H106" s="778" t="str">
        <x:v>ERB-02 REVIEWED</x:v>
      </x:c>
      <x:c r="I106" s="778" t="str">
        <x:v>ERB-03 REVIEWED</x:v>
      </x:c>
      <x:c r="J106" s="778" t="str">
        <x:v>ERB-04 COMPLETE</x:v>
      </x:c>
      <x:c r="K106" s="778" t="str">
        <x:v>ERB-05 COMPLETE</x:v>
      </x:c>
      <x:c r="L106" s="778" t="str">
        <x:v>ERB-06 COMPLETE</x:v>
      </x:c>
      <x:c r="M106" s="778" t="str">
        <x:v>ERB-07 COMPLETE</x:v>
      </x:c>
      <x:c r="N106" s="778" t="str">
        <x:v>ERB-08 COMPLETE</x:v>
      </x:c>
      <x:c r="O106" s="778" t="str">
        <x:v>ERB-09 COMPLETE</x:v>
      </x:c>
      <x:c r="P106" s="26" t="str">
        <x:v>BOARD REVIEWED / AMBER - EXISTING FIRM-UP ACTIONS</x:v>
      </x:c>
      <x:c r="Q106" s="778" t="str">
        <x:v>Formal ERB clean-room review completed. See adjudication register / Rev20 Board Adjudication sheet for accepted/rejected findings.</x:v>
      </x:c>
      <x:c r="R106" s="26"/>
      <x:c r="S106" s="26"/>
      <x:c r="T106" s="26"/>
      <x:c r="U106" s="26"/>
      <x:c r="V106" s="26"/>
      <x:c r="W106" s="26"/>
      <x:c r="X106" s="26"/>
    </x:row>
    <x:row r="107" ht="22" customHeight="1">
      <x:c r="A107" s="26" t="str">
        <x:f>IF('QS Takeoff'!B40="","",'QS Takeoff'!B40)</x:f>
        <x:v>RH01</x:v>
      </x:c>
      <x:c r="B107" s="26" t="str">
        <x:f>IF('QS Takeoff'!B40="","",'QS Takeoff'!A40)</x:f>
        <x:v>Reinstatement &amp; Handover</x:v>
      </x:c>
      <x:c r="C107" s="26" t="str">
        <x:f>IF('QS Takeoff'!B40="","",'QS Takeoff'!C40)</x:f>
        <x:v>Final clean / pavement and Siteworks handover attendance</x:v>
      </x:c>
      <x:c r="D107" s="550" t="n">
        <x:f>IF('QS Takeoff'!B40="","",'QS Takeoff'!E40)</x:f>
        <x:v>1</x:v>
      </x:c>
      <x:c r="E107" s="26" t="str">
        <x:f>IF('QS Takeoff'!B40="","",'QS Takeoff'!D40)</x:f>
        <x:v>LS</x:v>
      </x:c>
      <x:c r="F107" s="556" t="n">
        <x:f>IF('QS Takeoff'!B40="","",'QS Takeoff'!G40)</x:f>
        <x:v>3000</x:v>
      </x:c>
      <x:c r="G107" s="778" t="str">
        <x:v>ERB-01 REVIEWED</x:v>
      </x:c>
      <x:c r="H107" s="778" t="str">
        <x:v>ERB-02 REVIEWED</x:v>
      </x:c>
      <x:c r="I107" s="778" t="str">
        <x:v>ERB-03 REVIEWED</x:v>
      </x:c>
      <x:c r="J107" s="778" t="str">
        <x:v>ERB-04 COMPLETE</x:v>
      </x:c>
      <x:c r="K107" s="778" t="str">
        <x:v>ERB-05 COMPLETE</x:v>
      </x:c>
      <x:c r="L107" s="778" t="str">
        <x:v>ERB-06 COMPLETE</x:v>
      </x:c>
      <x:c r="M107" s="778" t="str">
        <x:v>ERB-07 COMPLETE</x:v>
      </x:c>
      <x:c r="N107" s="778" t="str">
        <x:v>ERB-08 COMPLETE</x:v>
      </x:c>
      <x:c r="O107" s="778" t="str">
        <x:v>ERB-09 COMPLETE</x:v>
      </x:c>
      <x:c r="P107" s="26" t="str">
        <x:v>BOARD REVIEWED / AMBER - EXISTING FIRM-UP ACTIONS</x:v>
      </x:c>
      <x:c r="Q107" s="778" t="str">
        <x:v>Formal ERB clean-room review completed. See adjudication register / Rev20 Board Adjudication sheet for accepted/rejected findings.</x:v>
      </x:c>
      <x:c r="R107" s="26"/>
      <x:c r="S107" s="26"/>
      <x:c r="T107" s="26"/>
      <x:c r="U107" s="26"/>
      <x:c r="V107" s="26"/>
      <x:c r="W107" s="26"/>
      <x:c r="X107" s="26"/>
    </x:row>
    <x:row r="108" ht="22" customHeight="1">
      <x:c r="A108" s="26"/>
      <x:c r="B108" s="26"/>
      <x:c r="C108" s="26"/>
      <x:c r="D108" s="550"/>
      <x:c r="E108" s="26"/>
      <x:c r="F108" s="556"/>
      <x:c r="G108" s="778"/>
      <x:c r="H108" s="778"/>
      <x:c r="I108" s="778"/>
      <x:c r="J108" s="778"/>
      <x:c r="K108" s="778"/>
      <x:c r="L108" s="778"/>
      <x:c r="M108" s="778"/>
      <x:c r="N108" s="778"/>
      <x:c r="O108" s="778"/>
      <x:c r="P108" s="26" t="str">
        <x:f>IF(A108="","",IF(COUNTIF(G108:O108,"CHALLENGE - OPEN")&gt;0,"HOLD - OPEN CHALLENGE",IF(COUNTBLANK(G108:O108)&gt;0,"HOLD - NOT FULLY REVIEWED",IF(COUNTIF(G108:O108,"NOT REVIEWED")&gt;0,"HOLD - NOT FULLY REVIEWED","PASS"))))</x:f>
      </x:c>
      <x:c r="Q108" s="778"/>
      <x:c r="R108" s="26"/>
      <x:c r="S108" s="26"/>
      <x:c r="T108" s="26"/>
      <x:c r="U108" s="26"/>
      <x:c r="V108" s="26"/>
      <x:c r="W108" s="26"/>
      <x:c r="X108" s="26"/>
    </x:row>
    <x:row r="109" ht="22" customHeight="1">
      <x:c r="A109" s="26"/>
      <x:c r="B109" s="26"/>
      <x:c r="C109" s="26"/>
      <x:c r="D109" s="550"/>
      <x:c r="E109" s="26"/>
      <x:c r="F109" s="556"/>
      <x:c r="G109" s="778"/>
      <x:c r="H109" s="778"/>
      <x:c r="I109" s="778"/>
      <x:c r="J109" s="778"/>
      <x:c r="K109" s="778"/>
      <x:c r="L109" s="778"/>
      <x:c r="M109" s="778"/>
      <x:c r="N109" s="778"/>
      <x:c r="O109" s="778"/>
      <x:c r="P109" s="26" t="str">
        <x:f>IF(A109="","",IF(COUNTIF(G109:O109,"CHALLENGE - OPEN")&gt;0,"HOLD - OPEN CHALLENGE",IF(COUNTBLANK(G109:O109)&gt;0,"HOLD - NOT FULLY REVIEWED",IF(COUNTIF(G109:O109,"NOT REVIEWED")&gt;0,"HOLD - NOT FULLY REVIEWED","PASS"))))</x:f>
      </x:c>
      <x:c r="Q109" s="778"/>
      <x:c r="R109" s="26"/>
      <x:c r="S109" s="26"/>
      <x:c r="T109" s="26"/>
      <x:c r="U109" s="26"/>
      <x:c r="V109" s="26"/>
      <x:c r="W109" s="26"/>
      <x:c r="X109" s="26"/>
    </x:row>
    <x:row r="110" ht="22" customHeight="1">
      <x:c r="A110" s="26" t="str">
        <x:f>IF('QS Takeoff'!B73="","",'QS Takeoff'!B73)</x:f>
      </x:c>
      <x:c r="B110" s="26" t="str">
        <x:f>IF('QS Takeoff'!B73="","",'QS Takeoff'!A73)</x:f>
      </x:c>
      <x:c r="C110" s="26" t="str">
        <x:f>IF('QS Takeoff'!B73="","",'QS Takeoff'!C73)</x:f>
      </x:c>
      <x:c r="D110" s="550" t="str">
        <x:f>IF('QS Takeoff'!B73="","",'QS Takeoff'!E73)</x:f>
      </x:c>
      <x:c r="E110" s="26" t="str">
        <x:f>IF('QS Takeoff'!B73="","",'QS Takeoff'!D73)</x:f>
      </x:c>
      <x:c r="F110" s="556" t="str">
        <x:f>IF('QS Takeoff'!B73="","",'QS Takeoff'!G73)</x:f>
      </x:c>
      <x:c r="G110" s="778"/>
      <x:c r="H110" s="778"/>
      <x:c r="I110" s="778"/>
      <x:c r="J110" s="778"/>
      <x:c r="K110" s="778"/>
      <x:c r="L110" s="778"/>
      <x:c r="M110" s="778"/>
      <x:c r="N110" s="778"/>
      <x:c r="O110" s="778"/>
      <x:c r="P110" s="26" t="str">
        <x:f>IF(A110="","",IF(COUNTIF(G110:O110,"CHALLENGE - OPEN")&gt;0,"HOLD - OPEN CHALLENGE",IF(COUNTBLANK(G110:O110)&gt;0,"HOLD - NOT FULLY REVIEWED",IF(COUNTIF(G110:O110,"NOT REVIEWED")&gt;0,"HOLD - NOT FULLY REVIEWED","PASS"))))</x:f>
      </x:c>
      <x:c r="Q110" s="778"/>
      <x:c r="R110" s="26"/>
      <x:c r="S110" s="26"/>
      <x:c r="T110" s="26"/>
      <x:c r="U110" s="26"/>
      <x:c r="V110" s="26"/>
      <x:c r="W110" s="26"/>
      <x:c r="X110" s="26"/>
    </x:row>
    <x:row r="111">
      <x:c r="A111" s="26"/>
      <x:c r="B111" s="26"/>
      <x:c r="C111" s="26"/>
      <x:c r="D111" s="26"/>
      <x:c r="E111" s="26"/>
      <x:c r="F111" s="26"/>
      <x:c r="G111" s="26"/>
      <x:c r="H111" s="26"/>
      <x:c r="I111" s="26"/>
      <x:c r="J111" s="26"/>
      <x:c r="K111" s="26"/>
      <x:c r="L111" s="26"/>
      <x:c r="M111" s="26"/>
      <x:c r="N111" s="26"/>
      <x:c r="O111" s="26"/>
      <x:c r="P111" s="26"/>
      <x:c r="Q111" s="26"/>
      <x:c r="R111" s="26"/>
      <x:c r="S111" s="26"/>
      <x:c r="T111" s="26"/>
      <x:c r="U111" s="26"/>
      <x:c r="V111" s="26"/>
      <x:c r="W111" s="26"/>
      <x:c r="X111" s="26"/>
    </x:row>
    <x:row r="112">
      <x:c r="A112" s="26"/>
      <x:c r="B112" s="26"/>
      <x:c r="C112" s="26"/>
      <x:c r="D112" s="26"/>
      <x:c r="E112" s="26"/>
      <x:c r="F112" s="26"/>
      <x:c r="G112" s="26"/>
      <x:c r="H112" s="26"/>
      <x:c r="I112" s="26"/>
      <x:c r="J112" s="26"/>
      <x:c r="K112" s="26"/>
      <x:c r="L112" s="26"/>
      <x:c r="M112" s="26"/>
      <x:c r="N112" s="26"/>
      <x:c r="O112" s="26"/>
      <x:c r="P112" s="26"/>
      <x:c r="Q112" s="26"/>
      <x:c r="R112" s="26"/>
      <x:c r="S112" s="26"/>
      <x:c r="T112" s="26"/>
      <x:c r="U112" s="26"/>
      <x:c r="V112" s="26"/>
      <x:c r="W112" s="26"/>
      <x:c r="X112" s="26"/>
    </x:row>
    <x:row r="113">
      <x:c r="A113" s="770" t="str">
        <x:v>CHALLENGE FINDINGS &amp; EVIDENCE-LED ADJUDICATION REGISTER</x:v>
      </x:c>
      <x:c r="B113" s="770"/>
      <x:c r="C113" s="770"/>
      <x:c r="D113" s="770"/>
      <x:c r="E113" s="770"/>
      <x:c r="F113" s="770"/>
      <x:c r="G113" s="770"/>
      <x:c r="H113" s="770"/>
      <x:c r="I113" s="770"/>
      <x:c r="J113" s="770"/>
      <x:c r="K113" s="770"/>
      <x:c r="L113" s="770"/>
      <x:c r="M113" s="770"/>
      <x:c r="N113" s="770"/>
      <x:c r="O113" s="770"/>
      <x:c r="P113" s="770"/>
      <x:c r="Q113" s="770"/>
      <x:c r="R113" s="770"/>
      <x:c r="S113" s="770"/>
      <x:c r="T113" s="770"/>
      <x:c r="U113" s="770"/>
      <x:c r="V113" s="770"/>
      <x:c r="W113" s="770"/>
      <x:c r="X113" s="770"/>
    </x:row>
    <x:row r="114" ht="38" customHeight="1">
      <x:c r="A114" s="772" t="str">
        <x:v>Only record disagreements / material challenges here. The primary estimate is revealed only after the reviewer has committed the independent position. Accepted changes are integrated at the original source cell/path and then the affected review is rerun.</x:v>
      </x:c>
      <x:c r="B114" s="772"/>
      <x:c r="C114" s="772"/>
      <x:c r="D114" s="772"/>
      <x:c r="E114" s="772"/>
      <x:c r="F114" s="772"/>
      <x:c r="G114" s="772"/>
      <x:c r="H114" s="772"/>
      <x:c r="I114" s="772"/>
      <x:c r="J114" s="772"/>
      <x:c r="K114" s="772"/>
      <x:c r="L114" s="772"/>
      <x:c r="M114" s="772"/>
      <x:c r="N114" s="772"/>
      <x:c r="O114" s="772"/>
      <x:c r="P114" s="772"/>
      <x:c r="Q114" s="772"/>
      <x:c r="R114" s="772"/>
      <x:c r="S114" s="772"/>
      <x:c r="T114" s="772"/>
      <x:c r="U114" s="772"/>
      <x:c r="V114" s="772"/>
      <x:c r="W114" s="772"/>
      <x:c r="X114" s="772"/>
    </x:row>
    <x:row r="115">
      <x:c r="A115" s="26"/>
      <x:c r="B115" s="26"/>
      <x:c r="C115" s="26"/>
      <x:c r="D115" s="26"/>
      <x:c r="E115" s="26"/>
      <x:c r="F115" s="26"/>
      <x:c r="G115" s="26"/>
      <x:c r="H115" s="26"/>
      <x:c r="I115" s="26"/>
      <x:c r="J115" s="26"/>
      <x:c r="K115" s="26"/>
      <x:c r="L115" s="26"/>
      <x:c r="M115" s="26"/>
      <x:c r="N115" s="26"/>
      <x:c r="O115" s="26"/>
      <x:c r="P115" s="26"/>
      <x:c r="Q115" s="26"/>
      <x:c r="R115" s="26"/>
      <x:c r="S115" s="26"/>
      <x:c r="T115" s="26"/>
      <x:c r="U115" s="26"/>
      <x:c r="V115" s="26"/>
      <x:c r="W115" s="26"/>
      <x:c r="X115" s="26"/>
    </x:row>
    <x:row r="116" ht="44" customHeight="1">
      <x:c r="A116" s="776" t="str">
        <x:v>Finding ID</x:v>
      </x:c>
      <x:c r="B116" s="776" t="str">
        <x:v>Target Type</x:v>
      </x:c>
      <x:c r="C116" s="776" t="str">
        <x:v>Target ID</x:v>
      </x:c>
      <x:c r="D116" s="776" t="str">
        <x:v>WBS / Description</x:v>
      </x:c>
      <x:c r="E116" s="776" t="str">
        <x:v>Reviewer ID</x:v>
      </x:c>
      <x:c r="F116" s="776" t="str">
        <x:v>Challenge Area</x:v>
      </x:c>
      <x:c r="G116" s="776" t="str">
        <x:v>Independent Position / Recalculation</x:v>
      </x:c>
      <x:c r="H116" s="776" t="str">
        <x:v>Independent Numeric</x:v>
      </x:c>
      <x:c r="I116" s="776" t="str">
        <x:v>Unit</x:v>
      </x:c>
      <x:c r="J116" s="776" t="str">
        <x:v>Primary Position / Basis (post-commitment)</x:v>
      </x:c>
      <x:c r="K116" s="776" t="str">
        <x:v>Primary Numeric</x:v>
      </x:c>
      <x:c r="L116" s="776" t="str">
        <x:v>Variance %</x:v>
      </x:c>
      <x:c r="M116" s="776" t="str">
        <x:v>Evidence / Source 1</x:v>
      </x:c>
      <x:c r="N116" s="776" t="str">
        <x:v>Independent Evidence / Source 2</x:v>
      </x:c>
      <x:c r="O116" s="776" t="str">
        <x:v>First-Principles Basis</x:v>
      </x:c>
      <x:c r="P116" s="776" t="str">
        <x:v>Material?</x:v>
      </x:c>
      <x:c r="Q116" s="776" t="str">
        <x:v>Severity</x:v>
      </x:c>
      <x:c r="R116" s="776" t="str">
        <x:v>Finding / Why Primary May Be Wrong</x:v>
      </x:c>
      <x:c r="S116" s="776" t="str">
        <x:v>Adjudication Decision</x:v>
      </x:c>
      <x:c r="T116" s="776" t="str">
        <x:v>Accepted Value / Basis</x:v>
      </x:c>
      <x:c r="U116" s="776" t="str">
        <x:v>Integration Target</x:v>
      </x:c>
      <x:c r="V116" s="776" t="str">
        <x:v>Integrated?</x:v>
      </x:c>
      <x:c r="W116" s="776" t="str">
        <x:v>Final Status</x:v>
      </x:c>
      <x:c r="X116" s="776" t="str">
        <x:v>RFI / Action ID</x:v>
      </x:c>
    </x:row>
    <x:row r="117" ht="28" customHeight="1">
      <x:c r="A117" s="26" t="str">
        <x:v>ERF-001</x:v>
      </x:c>
      <x:c r="B117" s="778" t="str">
        <x:v>Cost / Weather</x:v>
      </x:c>
      <x:c r="C117" s="778" t="str">
        <x:v>PG01 / CA10</x:v>
      </x:c>
      <x:c r="D117" s="778" t="str">
        <x:v>Weather / time-related basis after Board programme change</x:v>
      </x:c>
      <x:c r="E117" s="778" t="str">
        <x:v>ERB-08</x:v>
      </x:c>
      <x:c r="F117" s="778" t="str">
        <x:v>Programme / weather reconciliation</x:v>
      </x:c>
      <x:c r="G117" s="778" t="str">
        <x:v>Use approved Rev2 formula pathway against Board-adjudicated 55WD programme. Rev24 rerun after ESC resource exposure: direct $12,644.13, delay 8.829WD, CA10 $18,390.26.</x:v>
      </x:c>
      <x:c r="H117" s="778" t="n">
        <x:v>17883.54393942607</x:v>
      </x:c>
      <x:c r="I117" s="778" t="str">
        <x:v>NZD</x:v>
      </x:c>
      <x:c r="J117" s="778" t="str">
        <x:v>Rev20 held prior 40WD Weather Engine amount pending rerun.</x:v>
      </x:c>
      <x:c r="K117" s="778" t="n">
        <x:v>18437.68457056964</x:v>
      </x:c>
      <x:c r="L117" s="781" t="n">
        <x:v>-0.03005478421233512</x:v>
      </x:c>
      <x:c r="M117" s="778" t="str">
        <x:v>Weather Risk current basis / NZ_Weather_Risk_Estimating_Tool_Rev2 exact formulas</x:v>
      </x:c>
      <x:c r="N117" s="778" t="str">
        <x:v>NIWA 1991-2020 Auckland normals; ERB-08 programme / ERB-06 concurrency</x:v>
      </x:c>
      <x:c r="O117" s="778" t="str">
        <x:v>Direct productivity + CP delay x time P&amp;G + billed hire; no concurrent delay duplication.</x:v>
      </x:c>
      <x:c r="P117" s="778" t="str">
        <x:v>Yes</x:v>
      </x:c>
      <x:c r="Q117" s="778" t="str">
        <x:v>AMBER</x:v>
      </x:c>
      <x:c r="R117" s="778" t="str">
        <x:v>Programme change required a refreshed weather calculation; task factors remain AMBER.</x:v>
      </x:c>
      <x:c r="S117" s="778" t="str">
        <x:v>ACCEPT CHANGE / RERUN COMPLETE</x:v>
      </x:c>
      <x:c r="T117" s="778" t="str">
        <x:v>CA10 $18,390.26 current for 01-Oct-2026 / 55WD Rev24 tender scenario</x:v>
      </x:c>
      <x:c r="U117" s="778" t="str">
        <x:v>Commercial Inputs CA10</x:v>
      </x:c>
      <x:c r="V117" s="778" t="str">
        <x:v>Yes</x:v>
      </x:c>
      <x:c r="W117" s="26" t="str">
        <x:v>CLOSED - QUALIFIED</x:v>
      </x:c>
      <x:c r="X117" s="778" t="str">
        <x:v>WEATHER-RERUN</x:v>
      </x:c>
    </x:row>
    <x:row r="118" ht="28" customHeight="1">
      <x:c r="A118" s="26" t="str">
        <x:v>ERF-002</x:v>
      </x:c>
      <x:c r="B118" s="778" t="str">
        <x:v>Scope</x:v>
      </x:c>
      <x:c r="C118" s="778" t="str">
        <x:v>PG01</x:v>
      </x:c>
      <x:c r="D118" s="778" t="str">
        <x:v>Whole-site temporary fencing / hoarding</x:v>
      </x:c>
      <x:c r="E118" s="778" t="str">
        <x:v>ERB-04</x:v>
      </x:c>
      <x:c r="F118" s="778" t="str">
        <x:v>Scope / interface</x:v>
      </x:c>
      <x:c r="G118" s="778" t="str">
        <x:v>Whole-site temporary perimeter fence belongs to principal site establishment unless specifically instructed.</x:v>
      </x:c>
      <x:c r="H118" s="778"/>
      <x:c r="I118" s="778"/>
      <x:c r="J118" s="778" t="str">
        <x:v>Not explicitly priced in PG01.</x:v>
      </x:c>
      <x:c r="K118" s="778"/>
      <x:c r="L118" s="781"/>
      <x:c r="M118" s="778" t="str">
        <x:v>Masterspec 1250 / Arch site temporary fencing note</x:v>
      </x:c>
      <x:c r="N118" s="778" t="str">
        <x:v>Siteworks nominated civil work-package boundary</x:v>
      </x:c>
      <x:c r="O118" s="778" t="str">
        <x:v>Whole-site fencing is a main-contractor site establishment item; Siteworks retains local workfront barriers.</x:v>
      </x:c>
      <x:c r="P118" s="778" t="str">
        <x:v>Yes</x:v>
      </x:c>
      <x:c r="Q118" s="778" t="str">
        <x:v>AMBER</x:v>
      </x:c>
      <x:c r="R118" s="778" t="str">
        <x:v>Without qualification the main contract documents could imply Siteworks carries whole-site fencing.</x:v>
      </x:c>
      <x:c r="S118" s="778" t="str">
        <x:v>QUALIFY / BY PRINCIPAL</x:v>
      </x:c>
      <x:c r="T118" s="778" t="str">
        <x:v>Whole-site fencing excluded; local barriers in PG01</x:v>
      </x:c>
      <x:c r="U118" s="778" t="str">
        <x:v>Cover Exclusions / PG01</x:v>
      </x:c>
      <x:c r="V118" s="778" t="str">
        <x:v>Yes</x:v>
      </x:c>
      <x:c r="W118" s="26" t="str">
        <x:v>CLOSED - QUALIFIED</x:v>
      </x:c>
      <x:c r="X118" s="778" t="str">
        <x:v>RFI-13</x:v>
      </x:c>
    </x:row>
    <x:row r="119" ht="28" customHeight="1">
      <x:c r="A119" s="26" t="str">
        <x:v>ERF-003</x:v>
      </x:c>
      <x:c r="B119" s="778" t="str">
        <x:v>Quantity / Design</x:v>
      </x:c>
      <x:c r="C119" s="778" t="str">
        <x:v>PV01</x:v>
      </x:c>
      <x:c r="D119" s="778" t="str">
        <x:v>AP40 thickness</x:v>
      </x:c>
      <x:c r="E119" s="778" t="str">
        <x:v>ERB-05</x:v>
      </x:c>
      <x:c r="F119" s="778" t="str">
        <x:v>Quantity / design conflict</x:v>
      </x:c>
      <x:c r="G119" s="778" t="str">
        <x:v>Retain specific 150mm DWG311 section until designer confirms otherwise.</x:v>
      </x:c>
      <x:c r="H119" s="778" t="n">
        <x:v>150</x:v>
      </x:c>
      <x:c r="I119" s="778" t="str">
        <x:v>mm</x:v>
      </x:c>
      <x:c r="J119" s="778" t="str">
        <x:v>PV01 currently includes 150mm AP40.</x:v>
      </x:c>
      <x:c r="K119" s="778" t="n">
        <x:v>150</x:v>
      </x:c>
      <x:c r="L119" s="781" t="n">
        <x:v>0</x:v>
      </x:c>
      <x:c r="M119" s="778" t="str">
        <x:v>Civil DWG311</x:v>
      </x:c>
      <x:c r="N119" s="778" t="str">
        <x:v>Geotech AK26-051AB CBR 5-6% + generic DWG301 note</x:v>
      </x:c>
      <x:c r="O119" s="778" t="str">
        <x:v>Specific detail governs tender baseline; 100mm is only a possible future credit.</x:v>
      </x:c>
      <x:c r="P119" s="778" t="str">
        <x:v>Yes</x:v>
      </x:c>
      <x:c r="Q119" s="778" t="str">
        <x:v>AMBER</x:v>
      </x:c>
      <x:c r="R119" s="778" t="str">
        <x:v>Generic CBR note could suggest 100mm, but reducing now would underprice the specific issued section.</x:v>
      </x:c>
      <x:c r="S119" s="778" t="str">
        <x:v>NO CHANGE / QUALIFY</x:v>
      </x:c>
      <x:c r="T119" s="778" t="str">
        <x:v>150mm AP40 retained</x:v>
      </x:c>
      <x:c r="U119" s="778" t="str">
        <x:v>PV01 Resource Build-Up</x:v>
      </x:c>
      <x:c r="V119" s="778" t="str">
        <x:v>Yes</x:v>
      </x:c>
      <x:c r="W119" s="26" t="str">
        <x:v>CLOSED - QUALIFIED</x:v>
      </x:c>
      <x:c r="X119" s="778" t="str">
        <x:v>RFI-11</x:v>
      </x:c>
    </x:row>
    <x:row r="120" ht="28" customHeight="1">
      <x:c r="A120" s="26" t="str">
        <x:v>ERF-004</x:v>
      </x:c>
      <x:c r="B120" s="778" t="str">
        <x:v>Scope / Product</x:v>
      </x:c>
      <x:c r="C120" s="778" t="str">
        <x:v>ES03</x:v>
      </x:c>
      <x:c r="D120" s="778" t="str">
        <x:v>Allproof threshold system</x:v>
      </x:c>
      <x:c r="E120" s="778" t="str">
        <x:v>ERB-04</x:v>
      </x:c>
      <x:c r="F120" s="778" t="str">
        <x:v>Scope / procurement</x:v>
      </x:c>
      <x:c r="G120" s="778" t="str">
        <x:v>Quantity is 44m + 44 caps; grate selection and outlet responsibility remain unresolved.</x:v>
      </x:c>
      <x:c r="H120" s="778" t="n">
        <x:v>44</x:v>
      </x:c>
      <x:c r="I120" s="778" t="str">
        <x:v>lm</x:v>
      </x:c>
      <x:c r="J120" s="778" t="str">
        <x:v>ES03 $40k PC based on 44m supplier quantity.</x:v>
      </x:c>
      <x:c r="K120" s="778" t="n">
        <x:v>40000</x:v>
      </x:c>
      <x:c r="L120" s="781"/>
      <x:c r="M120" s="778" t="str">
        <x:v>Tracey/Allproof clarification 07-Sep-2026</x:v>
      </x:c>
      <x:c r="N120" s="778" t="str">
        <x:v>Allproof technical + PlaceMakers/Allproof unit quotes</x:v>
      </x:c>
      <x:c r="O120" s="778" t="str">
        <x:v>22 doors x 2m = 44m; 2 caps/door = 44 caps. GFN/WW sensitivity retained.</x:v>
      </x:c>
      <x:c r="P120" s="778" t="str">
        <x:v>Yes</x:v>
      </x:c>
      <x:c r="Q120" s="778" t="str">
        <x:v>AMBER</x:v>
      </x:c>
      <x:c r="R120" s="778" t="str">
        <x:v>Supplier will not provide a full takeoff; estimator must build final selected system.</x:v>
      </x:c>
      <x:c r="S120" s="778" t="str">
        <x:v>PC RETAINED</x:v>
      </x:c>
      <x:c r="T120" s="778" t="str">
        <x:v>$40k PC pending product/interface</x:v>
      </x:c>
      <x:c r="U120" s="778" t="str">
        <x:v>ES03 Resource Build-Up</x:v>
      </x:c>
      <x:c r="V120" s="778" t="str">
        <x:v>Yes</x:v>
      </x:c>
      <x:c r="W120" s="26" t="str">
        <x:v>OPEN - AMBER</x:v>
      </x:c>
      <x:c r="X120" s="778" t="str">
        <x:v>Q-01 / RFI-02</x:v>
      </x:c>
    </x:row>
    <x:row r="121" ht="28" customHeight="1">
      <x:c r="A121" s="26" t="str">
        <x:v>ERF-005</x:v>
      </x:c>
      <x:c r="B121" s="778" t="str">
        <x:v>Design</x:v>
      </x:c>
      <x:c r="C121" s="778" t="str">
        <x:v>ES01</x:v>
      </x:c>
      <x:c r="D121" s="778" t="str">
        <x:v>Dry service trenches</x:v>
      </x:c>
      <x:c r="E121" s="778" t="str">
        <x:v>ERB-04</x:v>
      </x:c>
      <x:c r="F121" s="778" t="str">
        <x:v>Design completeness</x:v>
      </x:c>
      <x:c r="G121" s="778" t="str">
        <x:v>Do not invent lengths; retain explicit PC until coordinated service design is issued.</x:v>
      </x:c>
      <x:c r="H121" s="778" t="n">
        <x:v>15000</x:v>
      </x:c>
      <x:c r="I121" s="778" t="str">
        <x:v>NZD</x:v>
      </x:c>
      <x:c r="J121" s="778" t="str">
        <x:v>ES01 $15k PC.</x:v>
      </x:c>
      <x:c r="K121" s="778" t="n">
        <x:v>15000</x:v>
      </x:c>
      <x:c r="L121" s="781" t="n">
        <x:v>0</x:v>
      </x:c>
      <x:c r="M121" s="778" t="str">
        <x:v>Civil DWG311 - service trench details by others</x:v>
      </x:c>
      <x:c r="N121" s="778" t="str">
        <x:v>Tender scope / no coordinated service layout</x:v>
      </x:c>
      <x:c r="O121" s="778" t="str">
        <x:v>Unknown routes/depths/duct content prevent measured build-up.</x:v>
      </x:c>
      <x:c r="P121" s="778" t="str">
        <x:v>Yes</x:v>
      </x:c>
      <x:c r="Q121" s="778" t="str">
        <x:v>AMBER</x:v>
      </x:c>
      <x:c r="R121" s="778" t="str">
        <x:v>A measured quantity would be false precision.</x:v>
      </x:c>
      <x:c r="S121" s="778" t="str">
        <x:v>PC RETAINED</x:v>
      </x:c>
      <x:c r="T121" s="778" t="str">
        <x:v>$15k PC / design hold</x:v>
      </x:c>
      <x:c r="U121" s="778" t="str">
        <x:v>ES01</x:v>
      </x:c>
      <x:c r="V121" s="778" t="str">
        <x:v>Yes</x:v>
      </x:c>
      <x:c r="W121" s="26" t="str">
        <x:v>OPEN - AMBER</x:v>
      </x:c>
      <x:c r="X121" s="778" t="str">
        <x:v>RFI-08</x:v>
      </x:c>
    </x:row>
    <x:row r="122" ht="28" customHeight="1">
      <x:c r="A122" s="26" t="str">
        <x:v>ERF-006</x:v>
      </x:c>
      <x:c r="B122" s="778" t="str">
        <x:v>Quantity</x:v>
      </x:c>
      <x:c r="C122" s="778" t="str">
        <x:v>EW07</x:v>
      </x:c>
      <x:c r="D122" s="778" t="str">
        <x:v>F1-F7 footing excavation</x:v>
      </x:c>
      <x:c r="E122" s="778" t="str">
        <x:v>ERB-05</x:v>
      </x:c>
      <x:c r="F122" s="778" t="str">
        <x:v>Takeoff completeness</x:v>
      </x:c>
      <x:c r="G122" s="778" t="str">
        <x:v>Do not scale disconnected structural geometry; retain PC pending slab/foundation schedule.</x:v>
      </x:c>
      <x:c r="H122" s="778" t="n">
        <x:v>12500</x:v>
      </x:c>
      <x:c r="I122" s="778" t="str">
        <x:v>NZD</x:v>
      </x:c>
      <x:c r="J122" s="778" t="str">
        <x:v>EW07 $12.5k PC.</x:v>
      </x:c>
      <x:c r="K122" s="778" t="n">
        <x:v>12500</x:v>
      </x:c>
      <x:c r="L122" s="781" t="n">
        <x:v>0</x:v>
      </x:c>
      <x:c r="M122" s="778" t="str">
        <x:v>DHC S101/S301 + Arch A5.1</x:v>
      </x:c>
      <x:c r="N122" s="778" t="str">
        <x:v>Structural notes prohibit scaling</x:v>
      </x:c>
      <x:c r="O122" s="778" t="str">
        <x:v>Footing types are known but defensible lineal extents are not fully dimensioned.</x:v>
      </x:c>
      <x:c r="P122" s="778" t="str">
        <x:v>Yes</x:v>
      </x:c>
      <x:c r="Q122" s="778" t="str">
        <x:v>AMBER</x:v>
      </x:c>
      <x:c r="R122" s="778" t="str">
        <x:v>Forcing lineal quantities from plan graphics would violate the no-guess rule.</x:v>
      </x:c>
      <x:c r="S122" s="778" t="str">
        <x:v>PC RETAINED</x:v>
      </x:c>
      <x:c r="T122" s="778" t="str">
        <x:v>$12.5k PC</x:v>
      </x:c>
      <x:c r="U122" s="778" t="str">
        <x:v>EW07</x:v>
      </x:c>
      <x:c r="V122" s="778" t="str">
        <x:v>Yes</x:v>
      </x:c>
      <x:c r="W122" s="26" t="str">
        <x:v>OPEN - AMBER</x:v>
      </x:c>
      <x:c r="X122" s="778" t="str">
        <x:v>RFI-03</x:v>
      </x:c>
    </x:row>
    <x:row r="123" ht="28" customHeight="1">
      <x:c r="A123" s="26" t="str">
        <x:v>ERF-007</x:v>
      </x:c>
      <x:c r="B123" s="778" t="str">
        <x:v>Method / Cost</x:v>
      </x:c>
      <x:c r="C123" s="778" t="str">
        <x:v>EW06 / RW03</x:v>
      </x:c>
      <x:c r="D123" s="778" t="str">
        <x:v>In-house auger mobilisation</x:v>
      </x:c>
      <x:c r="E123" s="778" t="str">
        <x:v>ERB-06</x:v>
      </x:c>
      <x:c r="F123" s="778" t="str">
        <x:v>Method / resource scope</x:v>
      </x:c>
      <x:c r="G123" s="778" t="str">
        <x:v>Use one mobilisation/demobilisation only if 3t excavator + auger are not already onsite.</x:v>
      </x:c>
      <x:c r="H123" s="778"/>
      <x:c r="I123" s="778"/>
      <x:c r="J123" s="778" t="str">
        <x:v>Current $2,844 boring build is onsite production only.</x:v>
      </x:c>
      <x:c r="K123" s="778" t="n">
        <x:v>2844</x:v>
      </x:c>
      <x:c r="L123" s="781"/>
      <x:c r="M123" s="778" t="str">
        <x:v>48 Eastglen in-house plant/auger comparable</x:v>
      </x:c>
      <x:c r="N123" s="778" t="str">
        <x:v>Current resource inclusions/exclusions</x:v>
      </x:c>
      <x:c r="O123" s="778" t="str">
        <x:v>PILE1 + PILE2 share the same plant; mobilisation must not be duplicated.</x:v>
      </x:c>
      <x:c r="P123" s="778" t="str">
        <x:v>Yes</x:v>
      </x:c>
      <x:c r="Q123" s="778" t="str">
        <x:v>AMBER</x:v>
      </x:c>
      <x:c r="R123" s="778" t="str">
        <x:v>Hourly build excludes mobilisation; tender could be light only if machine must be brought specifically for boring.</x:v>
      </x:c>
      <x:c r="S123" s="778" t="str">
        <x:v>QUALIFY / PRESTART</x:v>
      </x:c>
      <x:c r="T123" s="778" t="str">
        <x:v>One combined mobilisation if required</x:v>
      </x:c>
      <x:c r="U123" s="778" t="str">
        <x:v>PG01 / EW06 / RW03</x:v>
      </x:c>
      <x:c r="V123" s="778" t="str">
        <x:v>Yes</x:v>
      </x:c>
      <x:c r="W123" s="26" t="str">
        <x:v>CLOSED - QUALIFIED</x:v>
      </x:c>
      <x:c r="X123" s="778" t="str">
        <x:v>Q-04</x:v>
      </x:c>
    </x:row>
    <x:row r="124" ht="28" customHeight="1">
      <x:c r="A124" s="26" t="str">
        <x:v>ERF-008</x:v>
      </x:c>
      <x:c r="B124" s="778" t="str">
        <x:v>Scope / Interface</x:v>
      </x:c>
      <x:c r="C124" s="778" t="str">
        <x:v>ES02 / ES03</x:v>
      </x:c>
      <x:c r="D124" s="778" t="str">
        <x:v>Downstream drainage boundary</x:v>
      </x:c>
      <x:c r="E124" s="778" t="str">
        <x:v>ERB-04</x:v>
      </x:c>
      <x:c r="F124" s="778" t="str">
        <x:v>Interface / double count</x:v>
      </x:c>
      <x:c r="G124" s="778" t="str">
        <x:v>Siteworks owns threshold/surface channel bodies; downstream piped drainage and network connections by others.</x:v>
      </x:c>
      <x:c r="H124" s="778"/>
      <x:c r="I124" s="778"/>
      <x:c r="J124" s="778" t="str">
        <x:v>General drainage excluded except interfaces.</x:v>
      </x:c>
      <x:c r="K124" s="778"/>
      <x:c r="L124" s="781"/>
      <x:c r="M124" s="778" t="str">
        <x:v>Dave Stewart scope emails</x:v>
      </x:c>
      <x:c r="N124" s="778" t="str">
        <x:v>Current QS scope and exclusion register</x:v>
      </x:c>
      <x:c r="O124" s="778" t="str">
        <x:v>Separates physical surface-channel work from piped drainage to avoid duplicate cost.</x:v>
      </x:c>
      <x:c r="P124" s="778" t="str">
        <x:v>Yes</x:v>
      </x:c>
      <x:c r="Q124" s="778" t="str">
        <x:v>AMBER</x:v>
      </x:c>
      <x:c r="R124" s="778" t="str">
        <x:v>Without a stated boundary both omission and double counting are possible.</x:v>
      </x:c>
      <x:c r="S124" s="778" t="str">
        <x:v>QUALIFY / NO CHANGE</x:v>
      </x:c>
      <x:c r="T124" s="778" t="str">
        <x:v>Downstream pipework by others</x:v>
      </x:c>
      <x:c r="U124" s="778" t="str">
        <x:v>Cover assumptions/exclusions / ES02/ES03</x:v>
      </x:c>
      <x:c r="V124" s="778" t="str">
        <x:v>Yes</x:v>
      </x:c>
      <x:c r="W124" s="26" t="str">
        <x:v>CLOSED - QUALIFIED</x:v>
      </x:c>
      <x:c r="X124" s="778" t="str">
        <x:v>RFI-04</x:v>
      </x:c>
    </x:row>
    <x:row r="125" ht="28" customHeight="1">
      <x:c r="A125" s="26" t="str">
        <x:v>ERF-009</x:v>
      </x:c>
      <x:c r="B125" s="778" t="str">
        <x:v>Commercial</x:v>
      </x:c>
      <x:c r="C125" s="778" t="str">
        <x:v>CA17 / CA18</x:v>
      </x:c>
      <x:c r="D125" s="778" t="str">
        <x:v>Siteworks OH and profit</x:v>
      </x:c>
      <x:c r="E125" s="778" t="str">
        <x:v>ERB-09</x:v>
      </x:c>
      <x:c r="F125" s="778" t="str">
        <x:v>Commercial</x:v>
      </x:c>
      <x:c r="G125" s="778" t="str">
        <x:v>Rick Jones provides 8% company OH markup and 12% contractor TRUE MARGIN as the Rev30 working commercial basis.</x:v>
      </x:c>
      <x:c r="H125" s="778"/>
      <x:c r="I125" s="778"/>
      <x:c r="J125" s="778" t="str">
        <x:v>Rev30 CA17/CA18 active. Siteworks subtotal before commercial adjustments $458,919.84.</x:v>
      </x:c>
      <x:c r="K125" s="778"/>
      <x:c r="L125" s="781"/>
      <x:c r="M125" s="778" t="str">
        <x:v>Rick Jones instruction 11-Sep-2026</x:v>
      </x:c>
      <x:c r="N125" s="778" t="str">
        <x:v>Commercial Inputs CA17/CA18</x:v>
      </x:c>
      <x:c r="O125" s="778" t="str">
        <x:v>8% OH is applied before 12% true margin; no Rosebank inference or generic contingency used.</x:v>
      </x:c>
      <x:c r="P125" s="778" t="str">
        <x:v>Yes</x:v>
      </x:c>
      <x:c r="Q125" s="778" t="str">
        <x:v>AMBER</x:v>
      </x:c>
      <x:c r="R125" s="778" t="str">
        <x:v>Commercial policy is user-provided and internally reconciled; company actual-account validation remains a future calibration action, not a tender blocker.</x:v>
      </x:c>
      <x:c r="S125" s="778" t="str">
        <x:v>ACCEPT PROVIDED COMMERCIAL BASIS</x:v>
      </x:c>
      <x:c r="T125" s="778" t="str">
        <x:v>8% OH + 12% true margin; Siteworks tender $563,219.80 excl GST</x:v>
      </x:c>
      <x:c r="U125" s="778" t="str">
        <x:v>Commercial Inputs CA17 / CA18</x:v>
      </x:c>
      <x:c r="V125" s="778" t="str">
        <x:v>Yes</x:v>
      </x:c>
      <x:c r="W125" s="26" t="str">
        <x:v>CLOSED - PROVIDED / AMBER</x:v>
      </x:c>
      <x:c r="X125" s="778" t="str">
        <x:v>VA-20 CLOSED</x:v>
      </x:c>
    </x:row>
    <x:row r="126" ht="28" customHeight="1">
      <x:c r="A126" s="26" t="str">
        <x:v>ERF-010</x:v>
      </x:c>
      <x:c r="B126" s="778" t="str">
        <x:v>Authority / Scope</x:v>
      </x:c>
      <x:c r="C126" s="778" t="str">
        <x:v>PV02 / PG01</x:v>
      </x:c>
      <x:c r="D126" s="778" t="str">
        <x:v>CAR/TMP and authority fees</x:v>
      </x:c>
      <x:c r="E126" s="778" t="str">
        <x:v>ERB-04</x:v>
      </x:c>
      <x:c r="F126" s="778" t="str">
        <x:v>Interface / authority</x:v>
      </x:c>
      <x:c r="G126" s="778" t="str">
        <x:v>Contractor applies for CAR; Siteworks carries Q-07 CAR/TMP PC; unquoted authority fees excluded unless instructed.</x:v>
      </x:c>
      <x:c r="H126" s="778" t="n">
        <x:v>37.7665</x:v>
      </x:c>
      <x:c r="I126" s="778" t="str">
        <x:v>m2</x:v>
      </x:c>
      <x:c r="J126" s="778" t="str">
        <x:v>PV02 $18.25k + PG01 CAR/TMP PC.</x:v>
      </x:c>
      <x:c r="K126" s="778" t="n">
        <x:v>18250</x:v>
      </x:c>
      <x:c r="L126" s="781"/>
      <x:c r="M126" s="778" t="str">
        <x:v>Civil DWG301/331</x:v>
      </x:c>
      <x:c r="N126" s="778" t="str">
        <x:v>Traffic Assessment / Q-07 request</x:v>
      </x:c>
      <x:c r="O126" s="778" t="str">
        <x:v>Public crossing measured; private ROW connection already in PV01.</x:v>
      </x:c>
      <x:c r="P126" s="778" t="str">
        <x:v>Yes</x:v>
      </x:c>
      <x:c r="Q126" s="778" t="str">
        <x:v>AMBER</x:v>
      </x:c>
      <x:c r="R126" s="778" t="str">
        <x:v>Fee ownership/TMP delivery scope remains quote-dependent.</x:v>
      </x:c>
      <x:c r="S126" s="778" t="str">
        <x:v>PARTIAL ACCEPT / QUOTED CORE</x:v>
      </x:c>
      <x:c r="T126" s="778" t="str">
        <x:v>Traffic Safe core $3,938.40 integrated in PG01; PV02 $18,250 crossing PC retained. Final measure, concrete quote and excluded authority/FAF/extra-shift costs remain open.</x:v>
      </x:c>
      <x:c r="U126" s="778" t="str">
        <x:v>PV02 / PG01</x:v>
      </x:c>
      <x:c r="V126" s="778" t="str">
        <x:v>Yes</x:v>
      </x:c>
      <x:c r="W126" s="26" t="str">
        <x:v>OPEN - AMBER</x:v>
      </x:c>
      <x:c r="X126" s="778" t="str">
        <x:v>Q-05 / Q-07 / RFI-07</x:v>
      </x:c>
    </x:row>
    <x:row r="127" ht="28" customHeight="1">
      <x:c r="A127" s="26" t="str">
        <x:v>ERF-011</x:v>
      </x:c>
      <x:c r="B127" s="778" t="str">
        <x:v>Quantity / Duplication</x:v>
      </x:c>
      <x:c r="C127" s="778" t="str">
        <x:v>EW04 / EW02</x:v>
      </x:c>
      <x:c r="D127" s="778" t="str">
        <x:v>OLFP diversion excavation</x:v>
      </x:c>
      <x:c r="E127" s="778" t="str">
        <x:v>ERB-05</x:v>
      </x:c>
      <x:c r="F127" s="778" t="str">
        <x:v>Double-count check</x:v>
      </x:c>
      <x:c r="G127" s="778" t="str">
        <x:v>Do not add approx. 39.5m3 OLFP cut again until Yodha confirms it sits outside the bulk mass balance.</x:v>
      </x:c>
      <x:c r="H127" s="778" t="n">
        <x:v>39.51</x:v>
      </x:c>
      <x:c r="I127" s="778" t="str">
        <x:v>m3</x:v>
      </x:c>
      <x:c r="J127" s="778" t="str">
        <x:v>EW04 carries $3k shaping PC only; no duplicate bulk cut.</x:v>
      </x:c>
      <x:c r="K127" s="778" t="n">
        <x:v>3000</x:v>
      </x:c>
      <x:c r="L127" s="781"/>
      <x:c r="M127" s="778" t="str">
        <x:v>Flood Assessment 94.08lm x 0.42m2</x:v>
      </x:c>
      <x:c r="N127" s="778" t="str">
        <x:v>Yodha RevB bulk earthworks mass balance</x:v>
      </x:c>
      <x:c r="O127" s="778" t="str">
        <x:v>Physical volume exists but may already be within 110m3 cut / 1033m3 fill model.</x:v>
      </x:c>
      <x:c r="P127" s="778" t="str">
        <x:v>Yes</x:v>
      </x:c>
      <x:c r="Q127" s="778" t="str">
        <x:v>AMBER</x:v>
      </x:c>
      <x:c r="R127" s="778" t="str">
        <x:v>Adding it independently could double-count earthworks.</x:v>
      </x:c>
      <x:c r="S127" s="778" t="str">
        <x:v>NO CHANGE / DUPLICATION CONTROL</x:v>
      </x:c>
      <x:c r="T127" s="778" t="str">
        <x:v>EW04 shaping PC only</x:v>
      </x:c>
      <x:c r="U127" s="778" t="str">
        <x:v>EW04 / EW02</x:v>
      </x:c>
      <x:c r="V127" s="778" t="str">
        <x:v>Yes</x:v>
      </x:c>
      <x:c r="W127" s="26" t="str">
        <x:v>CLOSED - QUALIFIED</x:v>
      </x:c>
      <x:c r="X127" s="778" t="str">
        <x:v>RFI-12</x:v>
      </x:c>
    </x:row>
    <x:row r="128" ht="28" customHeight="1">
      <x:c r="A128" s="26" t="str">
        <x:v>ERF-012</x:v>
      </x:c>
      <x:c r="B128" s="778" t="str">
        <x:v>Programme</x:v>
      </x:c>
      <x:c r="C128" s="778" t="str">
        <x:v>Programme</x:v>
      </x:c>
      <x:c r="D128" s="778" t="str">
        <x:v>Dry tender programme / time-related preliminaries</x:v>
      </x:c>
      <x:c r="E128" s="778" t="str">
        <x:v>ERB-08</x:v>
      </x:c>
      <x:c r="F128" s="778" t="str">
        <x:v>Programme / time-cost</x:v>
      </x:c>
      <x:c r="G128" s="778" t="str">
        <x:v>ERB-08 commits 59WD baseline; ERB-06 requires concurrent bulk + precision/retaining fronts. Adjudicated controlling sequence = 55WD.</x:v>
      </x:c>
      <x:c r="H128" s="778" t="n">
        <x:v>55</x:v>
      </x:c>
      <x:c r="I128" s="778" t="str">
        <x:v>WD</x:v>
      </x:c>
      <x:c r="J128" s="778" t="str">
        <x:v>Primary Rev19 = 40WD / 39WD derived controlling path.</x:v>
      </x:c>
      <x:c r="K128" s="778" t="n">
        <x:v>40</x:v>
      </x:c>
      <x:c r="L128" s="781" t="n">
        <x:v>0.375</x:v>
      </x:c>
      <x:c r="M128" s="778" t="str">
        <x:v>ERB-08 detailed sequence / hold points</x:v>
      </x:c>
      <x:c r="N128" s="778" t="str">
        <x:v>ERB-06 concurrent workfront and production challenge</x:v>
      </x:c>
      <x:c r="O128" s="778" t="str">
        <x:v>Zero-cost PRG-RF01/PROOF/CURE controls expose omitted sequence without duplicating productive cost.</x:v>
      </x:c>
      <x:c r="P128" s="778" t="str">
        <x:v>Yes</x:v>
      </x:c>
      <x:c r="Q128" s="778" t="str">
        <x:v>RED -&gt; AMBER</x:v>
      </x:c>
      <x:c r="R128" s="778" t="str">
        <x:v>Primary 40WD omitted explicit retained-zone release, post-services proof and cure/closeout logic.</x:v>
      </x:c>
      <x:c r="S128" s="778" t="str">
        <x:v>ACCEPT CHANGE</x:v>
      </x:c>
      <x:c r="T128" s="778" t="str">
        <x:v>55WD dry tender baseline; PG01 supervision/facilities revised</x:v>
      </x:c>
      <x:c r="U128" s="778" t="str">
        <x:v>Programme Export / Weather</x:v>
      </x:c>
      <x:c r="V128" s="778" t="str">
        <x:v>Yes</x:v>
      </x:c>
      <x:c r="W128" s="26" t="str">
        <x:v>CLOSED - QUALIFIED</x:v>
      </x:c>
      <x:c r="X128" s="778" t="str">
        <x:v>RFI-09</x:v>
      </x:c>
    </x:row>
    <x:row r="129" ht="28" customHeight="1">
      <x:c r="A129" s="26" t="str">
        <x:v>ERF-013</x:v>
      </x:c>
      <x:c r="B129" s="778" t="str">
        <x:v>Cost / P&amp;G</x:v>
      </x:c>
      <x:c r="C129" s="778" t="str">
        <x:v>PG01</x:v>
      </x:c>
      <x:c r="D129" s="778" t="str">
        <x:v>Programme-linked base preliminaries</x:v>
      </x:c>
      <x:c r="E129" s="778" t="str">
        <x:v>ERB-08</x:v>
      </x:c>
      <x:c r="F129" s="778" t="str">
        <x:v>Time-related P&amp;G</x:v>
      </x:c>
      <x:c r="G129" s="778" t="str">
        <x:v>Cost supervision to accepted dry working duration and facilities to billed weeks.</x:v>
      </x:c>
      <x:c r="H129" s="778" t="n">
        <x:v>52465</x:v>
      </x:c>
      <x:c r="I129" s="778" t="str">
        <x:v>NZD</x:v>
      </x:c>
      <x:c r="J129" s="778" t="str">
        <x:v>Rev19 PG01 = $42,820 based on 40WD / 8 weeks.</x:v>
      </x:c>
      <x:c r="K129" s="778" t="n">
        <x:v>42820</x:v>
      </x:c>
      <x:c r="L129" s="781" t="n">
        <x:v>0.22524521251751517</x:v>
      </x:c>
      <x:c r="M129" s="778" t="str">
        <x:v>Rev20 55WD programme</x:v>
      </x:c>
      <x:c r="N129" s="778" t="str">
        <x:v>Resource Build-Up supervisor/toilet/lockup rates</x:v>
      </x:c>
      <x:c r="O129" s="778" t="str">
        <x:v>55x8x$73 + 11x$120 + 11x$175 + unchanged fixed PG01 components.</x:v>
      </x:c>
      <x:c r="P129" s="778" t="str">
        <x:v>Yes</x:v>
      </x:c>
      <x:c r="Q129" s="778" t="str">
        <x:v>AMBER</x:v>
      </x:c>
      <x:c r="R129" s="778" t="str">
        <x:v>40WD base under-carried time-related P&amp;G after programme adjudication.</x:v>
      </x:c>
      <x:c r="S129" s="778" t="str">
        <x:v>ACCEPT CHANGE</x:v>
      </x:c>
      <x:c r="T129" s="778" t="str">
        <x:v>PG01 = $52,465</x:v>
      </x:c>
      <x:c r="U129" s="778"/>
      <x:c r="V129" s="778"/>
      <x:c r="W129" s="26" t="str">
        <x:f>IF(AND(C129="",R129=""),"",IF(P129&lt;&gt;"Yes","INFO",IF(Q129="RED",IF(S129="","OPEN - RED",IF(AND(OR(S129="CHANGE ACCEPTED",S129="PARTIAL CHANGE"),V129&lt;&gt;"Yes"),"RED - NOT INTEGRATED","RESOLVED")),IF(Q129="AMBER",IF(S129="","OPEN - AMBER",IF(AND(OR(S129="CHANGE ACCEPTED",S129="PARTIAL CHANGE"),V129&lt;&gt;"Yes"),"AMBER - NOT INTEGRATED","RESOLVED")),IF(S129="","REVIEWED","RESOLVED")))))</x:f>
        <x:v>RESOLVED</x:v>
      </x:c>
      <x:c r="X129" s="778"/>
    </x:row>
    <x:row r="130" ht="28" customHeight="1">
      <x:c r="A130" s="26" t="str">
        <x:v>ERF-014</x:v>
      </x:c>
      <x:c r="B130" s="778" t="str">
        <x:v>Quantity</x:v>
      </x:c>
      <x:c r="C130" s="778" t="str">
        <x:v>PV01 / PV04</x:v>
      </x:c>
      <x:c r="D130" s="778" t="str">
        <x:v>External concrete total and internal/path split</x:v>
      </x:c>
      <x:c r="E130" s="778" t="str">
        <x:v>ERB-05</x:v>
      </x:c>
      <x:c r="F130" s="778" t="str">
        <x:v>Quantity</x:v>
      </x:c>
      <x:c r="G130" s="778" t="str">
        <x:v>Architecture explicitly states 498m2 carpark including all paths; ERB-05 separately measures ~410m2 principal parking/manoeuvring area.</x:v>
      </x:c>
      <x:c r="H130" s="778" t="n">
        <x:v>498</x:v>
      </x:c>
      <x:c r="I130" s="778" t="str">
        <x:v>m2</x:v>
      </x:c>
      <x:c r="J130" s="778" t="str">
        <x:v>Primary = 451.1m2 PV01 + 46.9m2 PV04 = 498m2.</x:v>
      </x:c>
      <x:c r="K130" s="778" t="n">
        <x:v>498</x:v>
      </x:c>
      <x:c r="L130" s="781" t="n">
        <x:v>0</x:v>
      </x:c>
      <x:c r="M130" s="778" t="str">
        <x:v>Architectural Rev16 site plan</x:v>
      </x:c>
      <x:c r="N130" s="778" t="str">
        <x:v>ERB-05 clean-room takeoff</x:v>
      </x:c>
      <x:c r="O130" s="778" t="str">
        <x:v>Total is corroborated; allocation between structural pavement and paths remains AMBER.</x:v>
      </x:c>
      <x:c r="P130" s="778" t="str">
        <x:v>Yes</x:v>
      </x:c>
      <x:c r="Q130" s="778" t="str">
        <x:v>AMBER</x:v>
      </x:c>
      <x:c r="R130" s="778" t="str">
        <x:v>Later stamped RC / TPW clarification supersedes the earlier 498m2 total as tender basis.</x:v>
      </x:c>
      <x:c r="S130" s="778" t="str">
        <x:v>ACCEPT LATER STAMPED RC SOURCE</x:v>
      </x:c>
      <x:c r="T130" s="778" t="str">
        <x:v>568m2 confirmed overall pavement/footpath; Rev29 provisional split PV01 478.35 + PV04 89.65.</x:v>
      </x:c>
      <x:c r="U130" s="778" t="str">
        <x:v>PV01/PV04 Resource Build-Up / QS</x:v>
      </x:c>
      <x:c r="V130" s="778" t="str">
        <x:v>Yes</x:v>
      </x:c>
      <x:c r="W130" s="26" t="str">
        <x:v>SUPERSEDED / CLOSED</x:v>
      </x:c>
      <x:c r="X130" s="778" t="str">
        <x:v>RFI-14A CLOSED 11-SEP</x:v>
      </x:c>
    </x:row>
    <x:row r="131" ht="28" customHeight="1">
      <x:c r="A131" s="26" t="str">
        <x:v>ERF-015</x:v>
      </x:c>
      <x:c r="B131" s="778" t="str">
        <x:v>Quantity / Interface</x:v>
      </x:c>
      <x:c r="C131" s="778" t="str">
        <x:v>PV02</x:v>
      </x:c>
      <x:c r="D131" s="778" t="str">
        <x:v>Public vehicle crossing</x:v>
      </x:c>
      <x:c r="E131" s="778" t="str">
        <x:v>ERB-05</x:v>
      </x:c>
      <x:c r="F131" s="778" t="str">
        <x:v>Quantity / road interface</x:v>
      </x:c>
      <x:c r="G131" s="778" t="str">
        <x:v>Independent takeoff approx. 40-44m2 plus separate road-pavement reinstatement strip.</x:v>
      </x:c>
      <x:c r="H131" s="778" t="n">
        <x:v>42</x:v>
      </x:c>
      <x:c r="I131" s="778" t="str">
        <x:v>m2</x:v>
      </x:c>
      <x:c r="J131" s="778" t="str">
        <x:v>Primary measured 37.7665m2; $18,250 PC + separate CAR/TMP PC.</x:v>
      </x:c>
      <x:c r="K131" s="778" t="n">
        <x:v>37.7665</x:v>
      </x:c>
      <x:c r="L131" s="781" t="n">
        <x:v>0.11209669945586695</x:v>
      </x:c>
      <x:c r="M131" s="778" t="str">
        <x:v>Civil DWG301/331</x:v>
      </x:c>
      <x:c r="N131" s="778" t="str">
        <x:v>ERB-05 + ERB-03 independent controls</x:v>
      </x:c>
      <x:c r="O131" s="778" t="str">
        <x:v>Current price is a lump-sum PC, so do not scale cost mechanically. Re-measure/quote final interface.</x:v>
      </x:c>
      <x:c r="P131" s="778" t="str">
        <x:v>Yes</x:v>
      </x:c>
      <x:c r="Q131" s="778" t="str">
        <x:v>AMBER</x:v>
      </x:c>
      <x:c r="R131" s="778" t="str">
        <x:v>Primary footprint may be low and road reinstatement must not disappear.</x:v>
      </x:c>
      <x:c r="S131" s="778" t="str">
        <x:v>PC RETAINED / QTY RFI</x:v>
      </x:c>
      <x:c r="T131" s="778" t="str">
        <x:v>$18,250 PC retained pending Q-05/Q-07 and final measure</x:v>
      </x:c>
      <x:c r="U131" s="778"/>
      <x:c r="V131" s="778"/>
      <x:c r="W131" s="26" t="str">
        <x:f>IF(AND(C131="",R131=""),"",IF(P131&lt;&gt;"Yes","INFO",IF(Q131="RED",IF(S131="","OPEN - RED",IF(AND(OR(S131="CHANGE ACCEPTED",S131="PARTIAL CHANGE"),V131&lt;&gt;"Yes"),"RED - NOT INTEGRATED","RESOLVED")),IF(Q131="AMBER",IF(S131="","OPEN - AMBER",IF(AND(OR(S131="CHANGE ACCEPTED",S131="PARTIAL CHANGE"),V131&lt;&gt;"Yes"),"AMBER - NOT INTEGRATED","RESOLVED")),IF(S131="","REVIEWED","RESOLVED")))))</x:f>
        <x:v>RESOLVED</x:v>
      </x:c>
      <x:c r="X131" s="778"/>
    </x:row>
    <x:row r="132" ht="28" customHeight="1">
      <x:c r="A132" s="26" t="str">
        <x:v>ERF-016</x:v>
      </x:c>
      <x:c r="B132" s="778" t="str">
        <x:v>Design / Quantity</x:v>
      </x:c>
      <x:c r="C132" s="778" t="str">
        <x:v>RW01/RW02/RW04/RW05</x:v>
      </x:c>
      <x:c r="D132" s="778" t="str">
        <x:v>Retaining height/profile</x:v>
      </x:c>
      <x:c r="E132" s="778" t="str">
        <x:v>ERB-04 / ERB-05</x:v>
      </x:c>
      <x:c r="F132" s="778" t="str">
        <x:v>Document conflict</x:v>
      </x:c>
      <x:c r="G132" s="778" t="str">
        <x:v>Latest Architectural Rev17 expressly shows Keystone max 1.8m and stepped height labels, aligning with DHC and Citi. Civil max 1.5m remains contradictory.</x:v>
      </x:c>
      <x:c r="H132" s="778" t="n">
        <x:v>1.8</x:v>
      </x:c>
      <x:c r="I132" s="778" t="str">
        <x:v>m</x:v>
      </x:c>
      <x:c r="J132" s="778" t="str">
        <x:v>Current installed-system PCs remain $45k RW01 + $7k RW02 + $18k RW04; supplier block/no-fines quantities now strongly corroborated.</x:v>
      </x:c>
      <x:c r="K132" s="778" t="n">
        <x:v>1.5</x:v>
      </x:c>
      <x:c r="L132" s="781" t="n">
        <x:v>0.2</x:v>
      </x:c>
      <x:c r="M132" s="778" t="str">
        <x:v>Civil EPA DWG301</x:v>
      </x:c>
      <x:c r="N132" s="778" t="str">
        <x:v>Architectural Rev17 + DHC S303/S304 + Citi Q1020/Bryn bands + Allied Q-03</x:v>
      </x:c>
      <x:c r="O132" s="778" t="str">
        <x:v>Three current evidence streams support up-to-1.8m. Civil note remains uncoordinated, so design-authority RED is retained rather than self-resolved.</x:v>
      </x:c>
      <x:c r="P132" s="778" t="str">
        <x:v>Yes</x:v>
      </x:c>
      <x:c r="Q132" s="778" t="str">
        <x:v>RED</x:v>
      </x:c>
      <x:c r="R132" s="778" t="str">
        <x:v>Cost quantity concern is substantially closed; remaining RED is cross-discipline design coordination.</x:v>
      </x:c>
      <x:c r="S132" s="778" t="str">
        <x:v>LATEST REV17/DHC BASIS ACCEPTED FOR WORKING TENDER / DESIGN RFI RETAINED</x:v>
      </x:c>
      <x:c r="T132" s="778" t="str">
        <x:v>No cost change. Current blocks/no-fines already reflect bands up to 1.8m.</x:v>
      </x:c>
      <x:c r="U132" s="778" t="str">
        <x:v>RW01/RW02/RW04 / Materials / Source Register</x:v>
      </x:c>
      <x:c r="V132" s="778" t="str">
        <x:v>Yes</x:v>
      </x:c>
      <x:c r="W132" s="26" t="str">
        <x:v>OPEN - RED DESIGN / SUPPLY EVIDENCE AMBER</x:v>
      </x:c>
      <x:c r="X132" s="778" t="str">
        <x:v>RFI-16</x:v>
      </x:c>
    </x:row>
    <x:row r="133" ht="28" customHeight="1">
      <x:c r="A133" s="26" t="str">
        <x:v>ERF-017</x:v>
      </x:c>
      <x:c r="B133" s="778" t="str">
        <x:v>Quantity / Duplication</x:v>
      </x:c>
      <x:c r="C133" s="778" t="str">
        <x:v>EW01/EW08/EW10</x:v>
      </x:c>
      <x:c r="D133" s="778" t="str">
        <x:v>Topsoil handling / disposal</x:v>
      </x:c>
      <x:c r="E133" s="778" t="str">
        <x:v>ERB-05 / ERB-09</x:v>
      </x:c>
      <x:c r="F133" s="778" t="str">
        <x:v>Mass balance / double count</x:v>
      </x:c>
      <x:c r="G133" s="778" t="str">
        <x:v>0.3-0.4m over 2,100m2 gives 630-840m3 handling sensitivity, not an automatic export quantity.</x:v>
      </x:c>
      <x:c r="H133" s="778" t="n">
        <x:v>735</x:v>
      </x:c>
      <x:c r="I133" s="778" t="str">
        <x:v>m3 sensitivity</x:v>
      </x:c>
      <x:c r="J133" s="778" t="str">
        <x:v>Primary strips surface in EW01; $10k EW08 incidental disposal PC; no separate bulk topsoil disposal.</x:v>
      </x:c>
      <x:c r="K133" s="778" t="n">
        <x:v>10000</x:v>
      </x:c>
      <x:c r="L133" s="781"/>
      <x:c r="M133" s="778" t="str">
        <x:v>Geotech topsoil depth + Yodha mass balance</x:v>
      </x:c>
      <x:c r="N133" s="778" t="str">
        <x:v>ERB-05 / ERB-09</x:v>
      </x:c>
      <x:c r="O133" s="778" t="str">
        <x:v>Adding 630-840m3 disposal would double-count unless reuse/export is proven.</x:v>
      </x:c>
      <x:c r="P133" s="778" t="str">
        <x:v>Yes</x:v>
      </x:c>
      <x:c r="Q133" s="778" t="str">
        <x:v>AMBER</x:v>
      </x:c>
      <x:c r="R133" s="778" t="str">
        <x:v>Need stockpile/reuse/export instruction and tip class; current method is safer than inventing disposal.</x:v>
      </x:c>
      <x:c r="S133" s="778" t="str">
        <x:v>NO DUPLICATE ADD / PC VERIFY</x:v>
      </x:c>
      <x:c r="T133" s="778" t="str">
        <x:v>EW08 $10k retained</x:v>
      </x:c>
      <x:c r="U133" s="778"/>
      <x:c r="V133" s="778"/>
      <x:c r="W133" s="26" t="str">
        <x:f>IF(AND(C133="",R133=""),"",IF(P133&lt;&gt;"Yes","INFO",IF(Q133="RED",IF(S133="","OPEN - RED",IF(AND(OR(S133="CHANGE ACCEPTED",S133="PARTIAL CHANGE"),V133&lt;&gt;"Yes"),"RED - NOT INTEGRATED","RESOLVED")),IF(Q133="AMBER",IF(S133="","OPEN - AMBER",IF(AND(OR(S133="CHANGE ACCEPTED",S133="PARTIAL CHANGE"),V133&lt;&gt;"Yes"),"AMBER - NOT INTEGRATED","RESOLVED")),IF(S133="","REVIEWED","RESOLVED")))))</x:f>
        <x:v>RESOLVED</x:v>
      </x:c>
      <x:c r="X133" s="778"/>
    </x:row>
    <x:row r="134" ht="28" customHeight="1">
      <x:c r="A134" s="26" t="str">
        <x:v>ERF-018</x:v>
      </x:c>
      <x:c r="B134" s="778" t="str">
        <x:v>Scope</x:v>
      </x:c>
      <x:c r="C134" s="778" t="str">
        <x:v>PV06</x:v>
      </x:c>
      <x:c r="D134" s="778" t="str">
        <x:v>Speed-control devices</x:v>
      </x:c>
      <x:c r="E134" s="778" t="str">
        <x:v>ERB-05</x:v>
      </x:c>
      <x:c r="F134" s="778" t="str">
        <x:v>Scope status</x:v>
      </x:c>
      <x:c r="G134" s="778" t="str">
        <x:v>Only located Speed Bump evidence is an existing topographic survey feature; current proposed Arch/Civil drawings do not identify new devices.</x:v>
      </x:c>
      <x:c r="H134" s="778" t="n">
        <x:v>0</x:v>
      </x:c>
      <x:c r="I134" s="778" t="str">
        <x:v>ea</x:v>
      </x:c>
      <x:c r="J134" s="778" t="str">
        <x:v>Rev20 carried 2ea / $4,000 PC.</x:v>
      </x:c>
      <x:c r="K134" s="778" t="n">
        <x:v>4000</x:v>
      </x:c>
      <x:c r="L134" s="781"/>
      <x:c r="M134" s="778" t="str">
        <x:v>Infrastructure Assessment appendix topographical survey</x:v>
      </x:c>
      <x:c r="N134" s="778" t="str">
        <x:v>Arch Rev16 + Civil EPA proposed-work drawings</x:v>
      </x:c>
      <x:c r="O134" s="778" t="str">
        <x:v>No evidence-supported new-work quantity; no-invention rule requires exclusion/RFI rather than PC.</x:v>
      </x:c>
      <x:c r="P134" s="778" t="str">
        <x:v>Yes</x:v>
      </x:c>
      <x:c r="Q134" s="778" t="str">
        <x:v>AMBER</x:v>
      </x:c>
      <x:c r="R134" s="778" t="str">
        <x:v>Prior PC was based on an incorrect proposed-work interpretation.</x:v>
      </x:c>
      <x:c r="S134" s="778" t="str">
        <x:v>ACCEPT CHANGE - REMOVE</x:v>
      </x:c>
      <x:c r="T134" s="778" t="str">
        <x:v>$0 / exclude new devices unless expressly instructed</x:v>
      </x:c>
      <x:c r="U134" s="778"/>
      <x:c r="V134" s="778"/>
      <x:c r="W134" s="26" t="str">
        <x:f>IF(AND(C134="",R134=""),"",IF(P134&lt;&gt;"Yes","INFO",IF(Q134="RED",IF(S134="","OPEN - RED",IF(AND(OR(S134="CHANGE ACCEPTED",S134="PARTIAL CHANGE"),V134&lt;&gt;"Yes"),"RED - NOT INTEGRATED","RESOLVED")),IF(Q134="AMBER",IF(S134="","OPEN - AMBER",IF(AND(OR(S134="CHANGE ACCEPTED",S134="PARTIAL CHANGE"),V134&lt;&gt;"Yes"),"AMBER - NOT INTEGRATED","RESOLVED")),IF(S134="","REVIEWED","RESOLVED")))))</x:f>
        <x:v>RESOLVED</x:v>
      </x:c>
      <x:c r="X134" s="778"/>
    </x:row>
    <x:row r="135" ht="28" customHeight="1">
      <x:c r="A135" s="26" t="str">
        <x:v>ERF-019</x:v>
      </x:c>
      <x:c r="B135" s="778" t="str">
        <x:v>Quantity / Scope</x:v>
      </x:c>
      <x:c r="C135" s="778" t="str">
        <x:v>EW04/ES04</x:v>
      </x:c>
      <x:c r="D135" s="778" t="str">
        <x:v>OLFP formation / fence interface</x:v>
      </x:c>
      <x:c r="E135" s="778" t="str">
        <x:v>ERB-04 / ERB-05</x:v>
      </x:c>
      <x:c r="F135" s="778" t="str">
        <x:v>Source / duplication</x:v>
      </x:c>
      <x:c r="G135" s="778" t="str">
        <x:v>Primary 94.08lm remains traceable only as a working measured control; clean-room reviewers could not safely reproduce discrete extent.</x:v>
      </x:c>
      <x:c r="H135" s="778" t="n">
        <x:v>94.08</x:v>
      </x:c>
      <x:c r="I135" s="778" t="str">
        <x:v>lm</x:v>
      </x:c>
      <x:c r="J135" s="778" t="str">
        <x:v>Primary EW04 $3k + ES04 $2.5k PCs.</x:v>
      </x:c>
      <x:c r="K135" s="778" t="n">
        <x:v>5500</x:v>
      </x:c>
      <x:c r="L135" s="781"/>
      <x:c r="M135" s="778" t="str">
        <x:v>Flood assessment / primary measured alignment</x:v>
      </x:c>
      <x:c r="N135" s="778" t="str">
        <x:v>ERB-04/05 challenge</x:v>
      </x:c>
      <x:c r="O135" s="778" t="str">
        <x:v>Physical swale/fence scope may already sit partly inside bulk/landscape works; avoid double count.</x:v>
      </x:c>
      <x:c r="P135" s="778" t="str">
        <x:v>Yes</x:v>
      </x:c>
      <x:c r="Q135" s="778" t="str">
        <x:v>AMBER</x:v>
      </x:c>
      <x:c r="R135" s="778" t="str">
        <x:v>Extent/ownership should be confirmed before converting PCs to measured direct cost.</x:v>
      </x:c>
      <x:c r="S135" s="778" t="str">
        <x:v>PC RETAINED / SOURCE VERIFY</x:v>
      </x:c>
      <x:c r="T135" s="778" t="str">
        <x:v>94.08lm working control retained</x:v>
      </x:c>
      <x:c r="U135" s="778"/>
      <x:c r="V135" s="778"/>
      <x:c r="W135" s="26" t="str">
        <x:f>IF(AND(C135="",R135=""),"",IF(P135&lt;&gt;"Yes","INFO",IF(Q135="RED",IF(S135="","OPEN - RED",IF(AND(OR(S135="CHANGE ACCEPTED",S135="PARTIAL CHANGE"),V135&lt;&gt;"Yes"),"RED - NOT INTEGRATED","RESOLVED")),IF(Q135="AMBER",IF(S135="","OPEN - AMBER",IF(AND(OR(S135="CHANGE ACCEPTED",S135="PARTIAL CHANGE"),V135&lt;&gt;"Yes"),"AMBER - NOT INTEGRATED","RESOLVED")),IF(S135="","REVIEWED","RESOLVED")))))</x:f>
        <x:v>RESOLVED</x:v>
      </x:c>
      <x:c r="X135" s="778"/>
    </x:row>
    <x:row r="136" ht="28" customHeight="1">
      <x:c r="A136" s="26" t="str">
        <x:v>ERF-020</x:v>
      </x:c>
      <x:c r="B136" s="778" t="str">
        <x:v>Rates / Procurement</x:v>
      </x:c>
      <x:c r="C136" s="778" t="str">
        <x:v>Major PCs / resources</x:v>
      </x:c>
      <x:c r="D136" s="778" t="str">
        <x:v>Board rate challenge</x:v>
      </x:c>
      <x:c r="E136" s="778" t="str">
        <x:v>ERB-07</x:v>
      </x:c>
      <x:c r="F136" s="778" t="str">
        <x:v>Rate / procurement</x:v>
      </x:c>
      <x:c r="G136" s="778" t="str">
        <x:v>No wholesale rate reset. Use current aligned project quote where available; otherwise retain sourced current project/library benchmarks with AMBER status.</x:v>
      </x:c>
      <x:c r="H136" s="778"/>
      <x:c r="I136" s="778"/>
      <x:c r="J136" s="778" t="str">
        <x:v>Rev19 project/library rates and PCs.</x:v>
      </x:c>
      <x:c r="K136" s="778"/>
      <x:c r="L136" s="781"/>
      <x:c r="M136" s="778" t="str">
        <x:v>3Bears Construction Intelligence + current source register</x:v>
      </x:c>
      <x:c r="N136" s="778" t="str">
        <x:v>ERB-07 market benchmarks</x:v>
      </x:c>
      <x:c r="O136" s="778" t="str">
        <x:v>Several ERB-07 ranges corroborate aggregate/plant magnitude, while concrete/Allproof/TMP/testing still need project-specific normalization.</x:v>
      </x:c>
      <x:c r="P136" s="778" t="str">
        <x:v>Yes</x:v>
      </x:c>
      <x:c r="Q136" s="778" t="str">
        <x:v>AMBER</x:v>
      </x:c>
      <x:c r="R136" s="778" t="str">
        <x:v>Independent market evidence is a challenge source, not authority to overwrite unlike-basis project inputs.</x:v>
      </x:c>
      <x:c r="S136" s="778" t="str">
        <x:v>NO WHOLESALE CHANGE</x:v>
      </x:c>
      <x:c r="T136" s="778" t="str">
        <x:v>Replace individual PCs only on aligned quote return</x:v>
      </x:c>
      <x:c r="U136" s="778"/>
      <x:c r="V136" s="778"/>
      <x:c r="W136" s="26" t="str">
        <x:f>IF(AND(C136="",R136=""),"",IF(P136&lt;&gt;"Yes","INFO",IF(Q136="RED",IF(S136="","OPEN - RED",IF(AND(OR(S136="CHANGE ACCEPTED",S136="PARTIAL CHANGE"),V136&lt;&gt;"Yes"),"RED - NOT INTEGRATED","RESOLVED")),IF(Q136="AMBER",IF(S136="","OPEN - AMBER",IF(AND(OR(S136="CHANGE ACCEPTED",S136="PARTIAL CHANGE"),V136&lt;&gt;"Yes"),"AMBER - NOT INTEGRATED","RESOLVED")),IF(S136="","REVIEWED","RESOLVED")))))</x:f>
        <x:v>RESOLVED</x:v>
      </x:c>
      <x:c r="X136" s="778"/>
    </x:row>
    <x:row r="137" ht="28" customHeight="1">
      <x:c r="A137" s="26" t="str">
        <x:v>ERF-021</x:v>
      </x:c>
      <x:c r="B137" s="778" t="str">
        <x:v>Commercial / Scope</x:v>
      </x:c>
      <x:c r="C137" s="778" t="str">
        <x:v>Coast / MB schedule</x:v>
      </x:c>
      <x:c r="D137" s="778" t="str">
        <x:v>Coast Concrete subcontract allocation and Siteworks foundation overlap</x:v>
      </x:c>
      <x:c r="E137" s="778" t="str">
        <x:v>Chief adjudicator</x:v>
      </x:c>
      <x:c r="F137" s="778" t="str">
        <x:v>Subcontract allocation / double count</x:v>
      </x:c>
      <x:c r="G137" s="778" t="str">
        <x:v>Karl 11-Sep clarifies footing excavation, bulk excavation and hardfill to 350mm below FFL are excluded; Coast formal quote still expressly includes excavation of 15 P2 piles.</x:v>
      </x:c>
      <x:c r="H137" s="778" t="n">
        <x:v>210606</x:v>
      </x:c>
      <x:c r="I137" s="778" t="str">
        <x:v>NZD</x:v>
      </x:c>
      <x:c r="J137" s="778" t="str">
        <x:v>Siteworks now retains EW05 $2,500 + EW07 $12,500 only. EW06 PILE2 direct is zero / by Coast.</x:v>
      </x:c>
      <x:c r="K137" s="778" t="n">
        <x:v>0</x:v>
      </x:c>
      <x:c r="L137" s="781"/>
      <x:c r="M137" s="778" t="str">
        <x:v>Coast quote 09-Sep-2026 + Karl clarification 11-Sep-2026</x:v>
      </x:c>
      <x:c r="N137" s="778" t="str">
        <x:v>DHC Structural Rev B / Siteworks QS</x:v>
      </x:c>
      <x:c r="O137" s="778" t="str">
        <x:v>Rough component breakdown totals $210,605 vs quoted $210,606; $1 treated as rounding. Trade overlap is closed without deducting the remaining $15k Siteworks footing excavation.</x:v>
      </x:c>
      <x:c r="P137" s="778" t="str">
        <x:v>Yes</x:v>
      </x:c>
      <x:c r="Q137" s="778" t="str">
        <x:v>AMBER</x:v>
      </x:c>
      <x:c r="R137" s="778" t="str">
        <x:v>No duplicate foundation excavation remains. Exact Coast cost allocation across every TPW MB heading remains a presentation/AMBER item, not a cost-ownership RED.</x:v>
      </x:c>
      <x:c r="S137" s="778" t="str">
        <x:v>ACCEPT CLARIFICATION / REMOVE EW06 DUPLICATE</x:v>
      </x:c>
      <x:c r="T137" s="778" t="str">
        <x:v>Coast $210,606 retained once; Siteworks EW06 removed; EW05/EW07 retained.</x:v>
      </x:c>
      <x:c r="U137" s="778" t="str">
        <x:v>Consolidated Package / Tender Build-Up / EW06</x:v>
      </x:c>
      <x:c r="V137" s="778" t="str">
        <x:v>Yes</x:v>
      </x:c>
      <x:c r="W137" s="26" t="str">
        <x:v>CLOSED - QUALIFIED / AMBER</x:v>
      </x:c>
      <x:c r="X137" s="778" t="str">
        <x:v>VA-18 CLOSED 11-SEP</x:v>
      </x:c>
    </x:row>
    <x:row r="138" ht="28" customHeight="1">
      <x:c r="A138" s="26" t="str">
        <x:v>ERF-022</x:v>
      </x:c>
      <x:c r="B138" s="778" t="str">
        <x:v>Commercial / Scope</x:v>
      </x:c>
      <x:c r="C138" s="778" t="str">
        <x:v>Allied / CW schedule</x:v>
      </x:c>
      <x:c r="D138" s="778" t="str">
        <x:v>Allied drainage two-quote allocation and retaining-drainage overlap</x:v>
      </x:c>
      <x:c r="E138" s="778" t="str">
        <x:v>Chief adjudicator</x:v>
      </x:c>
      <x:c r="F138" s="778" t="str">
        <x:v>Subcontract allocation / double count</x:v>
      </x:c>
      <x:c r="G138" s="778" t="str">
        <x:v>Jason clarification 10-Sep closes the allocation: public Quote1078 $168,258.71 + confirmed $6,500 = $174,758.71; private $87,711.74 allocated SW $41,636.34, WW $26,864.36, retaining $19,211.04.</x:v>
      </x:c>
      <x:c r="H138" s="778" t="n">
        <x:v>262470.45</x:v>
      </x:c>
      <x:c r="I138" s="778" t="str">
        <x:v>NZD</x:v>
      </x:c>
      <x:c r="J138" s="778" t="str">
        <x:v>Siteworks RW05 $12,000 removed at source; Siteworks ES02/ES03 remain distinct surface/threshold interfaces.</x:v>
      </x:c>
      <x:c r="K138" s="778" t="n">
        <x:v>0</x:v>
      </x:c>
      <x:c r="L138" s="781"/>
      <x:c r="M138" s="778" t="str">
        <x:v>Allied Quote1078 + Ref25237 + Jason email 10-Sep-2026</x:v>
      </x:c>
      <x:c r="N138" s="778" t="str">
        <x:v>Current Siteworks QS / TPW Summary.pdf</x:v>
      </x:c>
      <x:c r="O138" s="778" t="str">
        <x:v>21-day labour pool = $2,590/day; 10/8/3 day split. Two Type1 cesspits reallocated to retaining per Jason confirmation. Allocation sums exactly to $87,711.74.</x:v>
      </x:c>
      <x:c r="P138" s="778" t="str">
        <x:v>Yes</x:v>
      </x:c>
      <x:c r="Q138" s="778" t="str">
        <x:v>AMBER</x:v>
      </x:c>
      <x:c r="R138" s="778" t="str">
        <x:v>Commercial allocation/double-count issue is closed. Remaining subcontract uncertainty is CCTV, possible trench shields, filter-fabric/accessory completeness and public-work duration.</x:v>
      </x:c>
      <x:c r="S138" s="778" t="str">
        <x:v>ACCEPT ALLOCATION / REMOVE DUPLICATE</x:v>
      </x:c>
      <x:c r="T138" s="778" t="str">
        <x:v>Allied current known $262,470.45; RW05 Siteworks direct $0; Civil TPW overlay allocated.</x:v>
      </x:c>
      <x:c r="U138" s="778" t="str">
        <x:v>Consolidated Package / Tender Build-Up / RW05</x:v>
      </x:c>
      <x:c r="V138" s="778" t="str">
        <x:v>Yes</x:v>
      </x:c>
      <x:c r="W138" s="26" t="str">
        <x:v>CLOSED - QUALIFIED / AMBER</x:v>
      </x:c>
      <x:c r="X138" s="778" t="str">
        <x:v>VA-19 CLOSED TO AMBER</x:v>
      </x:c>
    </x:row>
    <x:row r="139" ht="61.5" customHeight="1">
      <x:c r="A139" s="26" t="str">
        <x:v>ERF-023</x:v>
      </x:c>
      <x:c r="B139" s="661" t="str">
        <x:v>Quantity / Scope</x:v>
      </x:c>
      <x:c r="C139" s="661" t="str">
        <x:v>PV01/PV04 / OWNER TBC</x:v>
      </x:c>
      <x:c r="D139" s="661" t="str">
        <x:v>Later stamped RC pavement quantity and separate ramp/entry/steps</x:v>
      </x:c>
      <x:c r="E139" s="661" t="str">
        <x:v>Chief adjudicator</x:v>
      </x:c>
      <x:c r="F139" s="661" t="str">
        <x:v>Revision conflict / package ownership</x:v>
      </x:c>
      <x:c r="G139" s="661" t="str">
        <x:v>TPW confirms stamped RC basis and has now issued Architectural Rev17. Rev17 explicitly states Concrete Carpark 568m2 including all paths.</x:v>
      </x:c>
      <x:c r="H139" s="661" t="n">
        <x:v>568</x:v>
      </x:c>
      <x:c r="I139" s="661" t="str">
        <x:v>m2</x:v>
      </x:c>
      <x:c r="J139" s="661" t="str">
        <x:v>PV01 478.35m2 + PV04 89.65m2 provisional split = 568m2.</x:v>
      </x:c>
      <x:c r="K139" s="661" t="n">
        <x:v>568</x:v>
      </x:c>
      <x:c r="L139" s="781" t="n">
        <x:v>0</x:v>
      </x:c>
      <x:c r="M139" s="661" t="str">
        <x:v>Architectural A1 Rev17 11-Sep-2026</x:v>
      </x:c>
      <x:c r="N139" s="661" t="str">
        <x:v>Rhys Pemberton / TPW email 11-Sep-2026</x:v>
      </x:c>
      <x:c r="O139" s="661" t="str">
        <x:v>The 568m2 quantity is now carried into the current architectural set. Split remains AMBER pending marked-up remeasurement.</x:v>
      </x:c>
      <x:c r="P139" s="661" t="str">
        <x:v>Yes</x:v>
      </x:c>
      <x:c r="Q139" s="661" t="str">
        <x:v>AMBER</x:v>
      </x:c>
      <x:c r="R139" s="661" t="str">
        <x:v>Overall pavement quantity conflict is closed.</x:v>
      </x:c>
      <x:c r="S139" s="661" t="str">
        <x:v>ACCEPT REV17 / QUANTITY CLOSED</x:v>
      </x:c>
      <x:c r="T139" s="661" t="str">
        <x:v>568m2 adopted; provisional PV01/PV04 split retained.</x:v>
      </x:c>
      <x:c r="U139" s="661" t="str">
        <x:v>PV01/PV04 Resource Build-Up / QS / Materials</x:v>
      </x:c>
      <x:c r="V139" s="661" t="str">
        <x:v>Yes</x:v>
      </x:c>
      <x:c r="W139" s="26" t="str">
        <x:v>CLOSED - QUALIFIED / AMBER</x:v>
      </x:c>
      <x:c r="X139" s="661" t="str">
        <x:v>RFI-14A CLOSED / REV17</x:v>
      </x:c>
    </x:row>
    <x:row r="140" ht="28" customHeight="1">
      <x:c r="A140" s="26" t="str">
        <x:v>ERF-024</x:v>
      </x:c>
      <x:c r="B140" s="778" t="str">
        <x:v>Scope / Ownership</x:v>
      </x:c>
      <x:c r="C140" s="778" t="str">
        <x:v>OWNER TBC</x:v>
      </x:c>
      <x:c r="D140" s="778" t="str">
        <x:v>Separate stamped RC 33m2 ramp / entry / steps</x:v>
      </x:c>
      <x:c r="E140" s="778" t="str">
        <x:v>Chief adjudicator</x:v>
      </x:c>
      <x:c r="F140" s="778" t="str">
        <x:v>Package ownership / build-up</x:v>
      </x:c>
      <x:c r="G140" s="778" t="str">
        <x:v>Current Architectural Rev17 shows concrete stairs/ramps/landing and revised handrail/retaining geometry at A1/A15 but does not assign trade ownership. The prior stamped RC 33m2 label is not repeated.</x:v>
      </x:c>
      <x:c r="H140" s="778" t="n">
        <x:v>33</x:v>
      </x:c>
      <x:c r="I140" s="778" t="str">
        <x:v>m2 prior reference</x:v>
      </x:c>
      <x:c r="J140" s="778" t="str">
        <x:v>Current direct cost remains $0; MC-020 is OWNER TBC / RFI HOLD.</x:v>
      </x:c>
      <x:c r="K140" s="778" t="n">
        <x:v>0</x:v>
      </x:c>
      <x:c r="L140" s="781"/>
      <x:c r="M140" s="778" t="str">
        <x:v>Prior stamped RC A1 + current Architectural Rev17 A1/A15</x:v>
      </x:c>
      <x:c r="N140" s="778" t="str">
        <x:v>Rhys/TPW Rev17 issue 11-Sep-2026</x:v>
      </x:c>
      <x:c r="O140" s="778" t="str">
        <x:v>Rev17 gives current geometry but not ownership. The old 33m2 is now a reference/sensitivity, not a current provided quantity.</x:v>
      </x:c>
      <x:c r="P140" s="778" t="str">
        <x:v>Yes</x:v>
      </x:c>
      <x:c r="Q140" s="778" t="str">
        <x:v>RED</x:v>
      </x:c>
      <x:c r="R140" s="778" t="str">
        <x:v>Material ownership remains missing; remeasurement is required if assigned to Siteworks.</x:v>
      </x:c>
      <x:c r="S140" s="778" t="str">
        <x:v>HOLD / RFI</x:v>
      </x:c>
      <x:c r="T140" s="778" t="str">
        <x:v>OWNER TBC / $0 current direct / prior 33m2 reference only</x:v>
      </x:c>
      <x:c r="U140" s="778" t="str">
        <x:v>Materials MC-020 / future QS only if assigned</x:v>
      </x:c>
      <x:c r="V140" s="778" t="str">
        <x:v>Yes</x:v>
      </x:c>
      <x:c r="W140" s="26" t="str">
        <x:v>OPEN - RED</x:v>
      </x:c>
      <x:c r="X140" s="778" t="str">
        <x:v>RFI-14B</x:v>
      </x:c>
    </x:row>
    <x:row r="141" ht="28" customHeight="1">
      <x:c r="A141" s="26" t="str">
        <x:v>ERF-025</x:v>
      </x:c>
      <x:c r="B141" s="778" t="str">
        <x:v>Quantity / Revision</x:v>
      </x:c>
      <x:c r="C141" s="778" t="str">
        <x:v>EW01/EW02/EW03/EW09</x:v>
      </x:c>
      <x:c r="D141" s="778" t="str">
        <x:v>Rev17 architectural earthworks quantities vs Yodha Infrastructure RevB</x:v>
      </x:c>
      <x:c r="E141" s="778" t="str">
        <x:v>Chief adjudicator</x:v>
      </x:c>
      <x:c r="F141" s="778" t="str">
        <x:v>Revision conflict / mass balance</x:v>
      </x:c>
      <x:c r="G141" s="778" t="str">
        <x:v>Rhys/TPW Rev17 updates site calculations to 2,105m2 earthworks area, 1,310m3 fill and 113m3 cut. Yodha RevB current tender control is 1,033m3 fill, 110m3 cut and 923m3 net import.</x:v>
      </x:c>
      <x:c r="H141" s="778" t="n">
        <x:v>1197</x:v>
      </x:c>
      <x:c r="I141" s="778" t="str">
        <x:v>m3 implied Rev17 import</x:v>
      </x:c>
      <x:c r="J141" s="778" t="str">
        <x:v>Current live = EW02 1,033m3 fill + EW09 923m3 import. Rev17 area 2,105m2 is adopted for EW01/EW03 only.</x:v>
      </x:c>
      <x:c r="K141" s="778" t="n">
        <x:v>923</x:v>
      </x:c>
      <x:c r="L141" s="781" t="n">
        <x:v>274</x:v>
      </x:c>
      <x:c r="M141" s="778" t="str">
        <x:v>Architectural A1 Rev17 / Rhys TPW 11-Sep-2026</x:v>
      </x:c>
      <x:c r="N141" s="778" t="str">
        <x:v>Yodha Infrastructure Assessment RevB</x:v>
      </x:c>
      <x:c r="O141" s="778" t="str">
        <x:v>Rev17 implies 1,197m3 net import, +274m3. Non-additive direct sensitivity +$23,314.55 before Weather/OH/profit. Programme/Weather could also move.</x:v>
      </x:c>
      <x:c r="P141" s="778" t="str">
        <x:v>Yes</x:v>
      </x:c>
      <x:c r="Q141" s="778" t="str">
        <x:v>RED</x:v>
      </x:c>
      <x:c r="R141" s="778" t="str">
        <x:v>Current design quantities materially contradict the civil mass balance. Do not average or silently select one.</x:v>
      </x:c>
      <x:c r="S141" s="778" t="str">
        <x:v>HOLD YODHA LIVE / RFI-15</x:v>
      </x:c>
      <x:c r="T141" s="778" t="str">
        <x:v>Live tender unchanged for EW02/EW09; sensitivity only +$23,314.55.</x:v>
      </x:c>
      <x:c r="U141" s="778" t="str">
        <x:v>EW02/EW09 / Risk Truth RT01</x:v>
      </x:c>
      <x:c r="V141" s="778" t="str">
        <x:v>Yes</x:v>
      </x:c>
      <x:c r="W141" s="26" t="str">
        <x:v>OPEN - RED</x:v>
      </x:c>
      <x:c r="X141" s="778" t="str">
        <x:v>RFI-15</x:v>
      </x:c>
    </x:row>
    <x:row r="142" ht="28" customHeight="1">
      <x:c r="A142" s="26" t="str">
        <x:v>ERF-026</x:v>
      </x:c>
      <x:c r="B142" s="778" t="str">
        <x:v>Commercial / Adjudication</x:v>
      </x:c>
      <x:c r="C142" s="778" t="str">
        <x:v>CA16</x:v>
      </x:c>
      <x:c r="D142" s="778" t="str">
        <x:v>4.0% Management Reserve</x:v>
      </x:c>
      <x:c r="E142" s="778" t="str">
        <x:v>Chief adjudicator</x:v>
      </x:c>
      <x:c r="F142" s="778" t="str">
        <x:v>Commercial management judgement / residual tender-stage uncertainty</x:v>
      </x:c>
      <x:c r="G142" s="778" t="str">
        <x:v>Rick approved a separate Management Reserve at 4.0% of the Rev33 pre-OH/profit subtotal $456,726.56. Fixed pre-margin amount = $18,269.06; tender effect after current OH/margin = $22,421.12.</x:v>
      </x:c>
      <x:c r="H142" s="778" t="n">
        <x:v>18269.062591744714</x:v>
      </x:c>
      <x:c r="I142" s="778" t="str">
        <x:v>NZD pre-margin</x:v>
      </x:c>
      <x:c r="J142" s="778" t="str">
        <x:v>Not Risk Truth and not allocated against any specific RED. REDs remain separately visible and must be repriced when measurable.</x:v>
      </x:c>
      <x:c r="K142" s="778" t="n">
        <x:v>0</x:v>
      </x:c>
      <x:c r="L142" s="781"/>
      <x:c r="M142" s="778" t="str">
        <x:v>Rick Jones adjudication decision 11-Sep-2026</x:v>
      </x:c>
      <x:c r="N142" s="778" t="str">
        <x:v>Rev33 RED downside review: earthworks quantified, ramp/stairs proxy, retaining/PV01 tails partly unquantified</x:v>
      </x:c>
      <x:c r="O142" s="778" t="str">
        <x:v>The provision is deliberately held outside CA01/CA02 because the 4% rate is a management adjudication choice rather than an evidence-supported risk probability. This preserves Risk Truth integrity and prevents double counting.</x:v>
      </x:c>
      <x:c r="P142" s="778" t="str">
        <x:v>Yes</x:v>
      </x:c>
      <x:c r="Q142" s="778" t="str">
        <x:v>AMBER</x:v>
      </x:c>
      <x:c r="R142" s="778" t="str">
        <x:v>Reserve protects the working tender against aggregate residual uncertainty but is not evidence that the unresolved scope is fully priced.</x:v>
      </x:c>
      <x:c r="S142" s="778" t="str">
        <x:v>ACCEPT / INCLUDE CA16</x:v>
      </x:c>
      <x:c r="T142" s="778" t="str">
        <x:v>$18,269.06 pre-margin / $22,421.12 tender effect</x:v>
      </x:c>
      <x:c r="U142" s="778" t="str">
        <x:v>Commercial Inputs CA16 / Tender Build-Up</x:v>
      </x:c>
      <x:c r="V142" s="778" t="str">
        <x:v>Yes</x:v>
      </x:c>
      <x:c r="W142" s="26" t="str">
        <x:v>CLOSED - INCLUDED / TECHNICAL REDS UNCHANGED</x:v>
      </x:c>
      <x:c r="X142" s="778" t="str">
        <x:v>REV34 MANAGEMENT RESERVE</x:v>
      </x:c>
    </x:row>
    <x:row r="143" ht="28" customHeight="1">
      <x:c r="A143" s="26" t="str">
        <x:v>ERF-027</x:v>
      </x:c>
      <x:c r="B143" s="778"/>
      <x:c r="C143" s="778"/>
      <x:c r="D143" s="778"/>
      <x:c r="E143" s="778"/>
      <x:c r="F143" s="778"/>
      <x:c r="G143" s="778"/>
      <x:c r="H143" s="778"/>
      <x:c r="I143" s="778"/>
      <x:c r="J143" s="778"/>
      <x:c r="K143" s="778"/>
      <x:c r="L143" s="781" t="str">
        <x:f>IF(OR(H143="",K143="",K143=0),"",(H143-K143)/K143)</x:f>
      </x:c>
      <x:c r="M143" s="778"/>
      <x:c r="N143" s="778"/>
      <x:c r="O143" s="778"/>
      <x:c r="P143" s="778"/>
      <x:c r="Q143" s="778"/>
      <x:c r="R143" s="778"/>
      <x:c r="S143" s="778"/>
      <x:c r="T143" s="778"/>
      <x:c r="U143" s="778"/>
      <x:c r="V143" s="778"/>
      <x:c r="W143" s="26" t="str">
        <x:f>IF(AND(C143="",R143=""),"",IF(P143&lt;&gt;"Yes","INFO",IF(Q143="RED",IF(S143="","OPEN - RED",IF(AND(OR(S143="CHANGE ACCEPTED",S143="PARTIAL CHANGE"),V143&lt;&gt;"Yes"),"RED - NOT INTEGRATED","RESOLVED")),IF(Q143="AMBER",IF(S143="","OPEN - AMBER",IF(AND(OR(S143="CHANGE ACCEPTED",S143="PARTIAL CHANGE"),V143&lt;&gt;"Yes"),"AMBER - NOT INTEGRATED","RESOLVED")),IF(S143="","REVIEWED","RESOLVED")))))</x:f>
      </x:c>
      <x:c r="X143" s="778"/>
    </x:row>
    <x:row r="144" ht="28" customHeight="1">
      <x:c r="A144" s="26" t="str">
        <x:v>ERF-028</x:v>
      </x:c>
      <x:c r="B144" s="778"/>
      <x:c r="C144" s="778"/>
      <x:c r="D144" s="778"/>
      <x:c r="E144" s="778"/>
      <x:c r="F144" s="778"/>
      <x:c r="G144" s="778"/>
      <x:c r="H144" s="778"/>
      <x:c r="I144" s="778"/>
      <x:c r="J144" s="778"/>
      <x:c r="K144" s="778"/>
      <x:c r="L144" s="781" t="str">
        <x:f>IF(OR(H144="",K144="",K144=0),"",(H144-K144)/K144)</x:f>
      </x:c>
      <x:c r="M144" s="778"/>
      <x:c r="N144" s="778"/>
      <x:c r="O144" s="778"/>
      <x:c r="P144" s="778"/>
      <x:c r="Q144" s="778"/>
      <x:c r="R144" s="778"/>
      <x:c r="S144" s="778"/>
      <x:c r="T144" s="778"/>
      <x:c r="U144" s="778"/>
      <x:c r="V144" s="778"/>
      <x:c r="W144" s="26" t="str">
        <x:f>IF(AND(C144="",R144=""),"",IF(P144&lt;&gt;"Yes","INFO",IF(Q144="RED",IF(S144="","OPEN - RED",IF(AND(OR(S144="CHANGE ACCEPTED",S144="PARTIAL CHANGE"),V144&lt;&gt;"Yes"),"RED - NOT INTEGRATED","RESOLVED")),IF(Q144="AMBER",IF(S144="","OPEN - AMBER",IF(AND(OR(S144="CHANGE ACCEPTED",S144="PARTIAL CHANGE"),V144&lt;&gt;"Yes"),"AMBER - NOT INTEGRATED","RESOLVED")),IF(S144="","REVIEWED","RESOLVED")))))</x:f>
      </x:c>
      <x:c r="X144" s="778"/>
    </x:row>
    <x:row r="145" ht="28" customHeight="1">
      <x:c r="A145" s="26" t="str">
        <x:v>ERF-029</x:v>
      </x:c>
      <x:c r="B145" s="778"/>
      <x:c r="C145" s="778"/>
      <x:c r="D145" s="778"/>
      <x:c r="E145" s="778"/>
      <x:c r="F145" s="778"/>
      <x:c r="G145" s="778"/>
      <x:c r="H145" s="778"/>
      <x:c r="I145" s="778"/>
      <x:c r="J145" s="778"/>
      <x:c r="K145" s="778"/>
      <x:c r="L145" s="781" t="str">
        <x:f>IF(OR(H145="",K145="",K145=0),"",(H145-K145)/K145)</x:f>
      </x:c>
      <x:c r="M145" s="778"/>
      <x:c r="N145" s="778"/>
      <x:c r="O145" s="778"/>
      <x:c r="P145" s="778"/>
      <x:c r="Q145" s="778"/>
      <x:c r="R145" s="778"/>
      <x:c r="S145" s="778"/>
      <x:c r="T145" s="778"/>
      <x:c r="U145" s="778"/>
      <x:c r="V145" s="778"/>
      <x:c r="W145" s="26" t="str">
        <x:f>IF(AND(C145="",R145=""),"",IF(P145&lt;&gt;"Yes","INFO",IF(Q145="RED",IF(S145="","OPEN - RED",IF(AND(OR(S145="CHANGE ACCEPTED",S145="PARTIAL CHANGE"),V145&lt;&gt;"Yes"),"RED - NOT INTEGRATED","RESOLVED")),IF(Q145="AMBER",IF(S145="","OPEN - AMBER",IF(AND(OR(S145="CHANGE ACCEPTED",S145="PARTIAL CHANGE"),V145&lt;&gt;"Yes"),"AMBER - NOT INTEGRATED","RESOLVED")),IF(S145="","REVIEWED","RESOLVED")))))</x:f>
      </x:c>
      <x:c r="X145" s="778"/>
    </x:row>
    <x:row r="146" ht="28" customHeight="1">
      <x:c r="A146" s="26" t="str">
        <x:v>ERF-030</x:v>
      </x:c>
      <x:c r="B146" s="778"/>
      <x:c r="C146" s="778"/>
      <x:c r="D146" s="778"/>
      <x:c r="E146" s="778"/>
      <x:c r="F146" s="778"/>
      <x:c r="G146" s="778"/>
      <x:c r="H146" s="778"/>
      <x:c r="I146" s="778"/>
      <x:c r="J146" s="778"/>
      <x:c r="K146" s="778"/>
      <x:c r="L146" s="781" t="str">
        <x:f>IF(OR(H146="",K146="",K146=0),"",(H146-K146)/K146)</x:f>
      </x:c>
      <x:c r="M146" s="778"/>
      <x:c r="N146" s="778"/>
      <x:c r="O146" s="778"/>
      <x:c r="P146" s="778"/>
      <x:c r="Q146" s="778"/>
      <x:c r="R146" s="778"/>
      <x:c r="S146" s="778"/>
      <x:c r="T146" s="778"/>
      <x:c r="U146" s="778"/>
      <x:c r="V146" s="778"/>
      <x:c r="W146" s="26" t="str">
        <x:f>IF(AND(C146="",R146=""),"",IF(P146&lt;&gt;"Yes","INFO",IF(Q146="RED",IF(S146="","OPEN - RED",IF(AND(OR(S146="CHANGE ACCEPTED",S146="PARTIAL CHANGE"),V146&lt;&gt;"Yes"),"RED - NOT INTEGRATED","RESOLVED")),IF(Q146="AMBER",IF(S146="","OPEN - AMBER",IF(AND(OR(S146="CHANGE ACCEPTED",S146="PARTIAL CHANGE"),V146&lt;&gt;"Yes"),"AMBER - NOT INTEGRATED","RESOLVED")),IF(S146="","REVIEWED","RESOLVED")))))</x:f>
      </x:c>
      <x:c r="X146" s="778"/>
    </x:row>
    <x:row r="147" ht="28" customHeight="1">
      <x:c r="A147" s="26" t="str">
        <x:v>ERF-031</x:v>
      </x:c>
      <x:c r="B147" s="778"/>
      <x:c r="C147" s="778"/>
      <x:c r="D147" s="778"/>
      <x:c r="E147" s="778"/>
      <x:c r="F147" s="778"/>
      <x:c r="G147" s="778"/>
      <x:c r="H147" s="778"/>
      <x:c r="I147" s="778"/>
      <x:c r="J147" s="778"/>
      <x:c r="K147" s="778"/>
      <x:c r="L147" s="781" t="str">
        <x:f>IF(OR(H147="",K147="",K147=0),"",(H147-K147)/K147)</x:f>
      </x:c>
      <x:c r="M147" s="778"/>
      <x:c r="N147" s="778"/>
      <x:c r="O147" s="778"/>
      <x:c r="P147" s="778"/>
      <x:c r="Q147" s="778"/>
      <x:c r="R147" s="778"/>
      <x:c r="S147" s="778"/>
      <x:c r="T147" s="778"/>
      <x:c r="U147" s="778"/>
      <x:c r="V147" s="778"/>
      <x:c r="W147" s="26" t="str">
        <x:f>IF(AND(C147="",R147=""),"",IF(P147&lt;&gt;"Yes","INFO",IF(Q147="RED",IF(S147="","OPEN - RED",IF(AND(OR(S147="CHANGE ACCEPTED",S147="PARTIAL CHANGE"),V147&lt;&gt;"Yes"),"RED - NOT INTEGRATED","RESOLVED")),IF(Q147="AMBER",IF(S147="","OPEN - AMBER",IF(AND(OR(S147="CHANGE ACCEPTED",S147="PARTIAL CHANGE"),V147&lt;&gt;"Yes"),"AMBER - NOT INTEGRATED","RESOLVED")),IF(S147="","REVIEWED","RESOLVED")))))</x:f>
      </x:c>
      <x:c r="X147" s="778"/>
    </x:row>
    <x:row r="148" ht="28" customHeight="1">
      <x:c r="A148" s="26" t="str">
        <x:v>ERF-032</x:v>
      </x:c>
      <x:c r="B148" s="778"/>
      <x:c r="C148" s="778"/>
      <x:c r="D148" s="778"/>
      <x:c r="E148" s="778"/>
      <x:c r="F148" s="778"/>
      <x:c r="G148" s="778"/>
      <x:c r="H148" s="778"/>
      <x:c r="I148" s="778"/>
      <x:c r="J148" s="778"/>
      <x:c r="K148" s="778"/>
      <x:c r="L148" s="781" t="str">
        <x:f>IF(OR(H148="",K148="",K148=0),"",(H148-K148)/K148)</x:f>
      </x:c>
      <x:c r="M148" s="778"/>
      <x:c r="N148" s="778"/>
      <x:c r="O148" s="778"/>
      <x:c r="P148" s="778"/>
      <x:c r="Q148" s="778"/>
      <x:c r="R148" s="778"/>
      <x:c r="S148" s="778"/>
      <x:c r="T148" s="778"/>
      <x:c r="U148" s="778"/>
      <x:c r="V148" s="778"/>
      <x:c r="W148" s="26" t="str">
        <x:f>IF(AND(C148="",R148=""),"",IF(P148&lt;&gt;"Yes","INFO",IF(Q148="RED",IF(S148="","OPEN - RED",IF(AND(OR(S148="CHANGE ACCEPTED",S148="PARTIAL CHANGE"),V148&lt;&gt;"Yes"),"RED - NOT INTEGRATED","RESOLVED")),IF(Q148="AMBER",IF(S148="","OPEN - AMBER",IF(AND(OR(S148="CHANGE ACCEPTED",S148="PARTIAL CHANGE"),V148&lt;&gt;"Yes"),"AMBER - NOT INTEGRATED","RESOLVED")),IF(S148="","REVIEWED","RESOLVED")))))</x:f>
      </x:c>
      <x:c r="X148" s="778"/>
    </x:row>
    <x:row r="149" ht="28" customHeight="1">
      <x:c r="A149" s="26" t="str">
        <x:v>ERF-033</x:v>
      </x:c>
      <x:c r="B149" s="778"/>
      <x:c r="C149" s="778"/>
      <x:c r="D149" s="778"/>
      <x:c r="E149" s="778"/>
      <x:c r="F149" s="778"/>
      <x:c r="G149" s="778"/>
      <x:c r="H149" s="778"/>
      <x:c r="I149" s="778"/>
      <x:c r="J149" s="778"/>
      <x:c r="K149" s="778"/>
      <x:c r="L149" s="781" t="str">
        <x:f>IF(OR(H149="",K149="",K149=0),"",(H149-K149)/K149)</x:f>
      </x:c>
      <x:c r="M149" s="778"/>
      <x:c r="N149" s="778"/>
      <x:c r="O149" s="778"/>
      <x:c r="P149" s="778"/>
      <x:c r="Q149" s="778"/>
      <x:c r="R149" s="778"/>
      <x:c r="S149" s="778"/>
      <x:c r="T149" s="778"/>
      <x:c r="U149" s="778"/>
      <x:c r="V149" s="778"/>
      <x:c r="W149" s="26" t="str">
        <x:f>IF(AND(C149="",R149=""),"",IF(P149&lt;&gt;"Yes","INFO",IF(Q149="RED",IF(S149="","OPEN - RED",IF(AND(OR(S149="CHANGE ACCEPTED",S149="PARTIAL CHANGE"),V149&lt;&gt;"Yes"),"RED - NOT INTEGRATED","RESOLVED")),IF(Q149="AMBER",IF(S149="","OPEN - AMBER",IF(AND(OR(S149="CHANGE ACCEPTED",S149="PARTIAL CHANGE"),V149&lt;&gt;"Yes"),"AMBER - NOT INTEGRATED","RESOLVED")),IF(S149="","REVIEWED","RESOLVED")))))</x:f>
      </x:c>
      <x:c r="X149" s="778"/>
    </x:row>
    <x:row r="150" ht="28" customHeight="1">
      <x:c r="A150" s="26" t="str">
        <x:v>ERF-034</x:v>
      </x:c>
      <x:c r="B150" s="778"/>
      <x:c r="C150" s="778"/>
      <x:c r="D150" s="778"/>
      <x:c r="E150" s="778"/>
      <x:c r="F150" s="778"/>
      <x:c r="G150" s="778"/>
      <x:c r="H150" s="778"/>
      <x:c r="I150" s="778"/>
      <x:c r="J150" s="778"/>
      <x:c r="K150" s="778"/>
      <x:c r="L150" s="781" t="str">
        <x:f>IF(OR(H150="",K150="",K150=0),"",(H150-K150)/K150)</x:f>
      </x:c>
      <x:c r="M150" s="778"/>
      <x:c r="N150" s="778"/>
      <x:c r="O150" s="778"/>
      <x:c r="P150" s="778"/>
      <x:c r="Q150" s="778"/>
      <x:c r="R150" s="778"/>
      <x:c r="S150" s="778"/>
      <x:c r="T150" s="778"/>
      <x:c r="U150" s="778"/>
      <x:c r="V150" s="778"/>
      <x:c r="W150" s="26" t="str">
        <x:f>IF(AND(C150="",R150=""),"",IF(P150&lt;&gt;"Yes","INFO",IF(Q150="RED",IF(S150="","OPEN - RED",IF(AND(OR(S150="CHANGE ACCEPTED",S150="PARTIAL CHANGE"),V150&lt;&gt;"Yes"),"RED - NOT INTEGRATED","RESOLVED")),IF(Q150="AMBER",IF(S150="","OPEN - AMBER",IF(AND(OR(S150="CHANGE ACCEPTED",S150="PARTIAL CHANGE"),V150&lt;&gt;"Yes"),"AMBER - NOT INTEGRATED","RESOLVED")),IF(S150="","REVIEWED","RESOLVED")))))</x:f>
      </x:c>
      <x:c r="X150" s="778"/>
    </x:row>
    <x:row r="151" ht="28" customHeight="1">
      <x:c r="A151" s="26" t="str">
        <x:v>ERF-035</x:v>
      </x:c>
      <x:c r="B151" s="778"/>
      <x:c r="C151" s="778"/>
      <x:c r="D151" s="778"/>
      <x:c r="E151" s="778"/>
      <x:c r="F151" s="778"/>
      <x:c r="G151" s="778"/>
      <x:c r="H151" s="778"/>
      <x:c r="I151" s="778"/>
      <x:c r="J151" s="778"/>
      <x:c r="K151" s="778"/>
      <x:c r="L151" s="781" t="str">
        <x:f>IF(OR(H151="",K151="",K151=0),"",(H151-K151)/K151)</x:f>
      </x:c>
      <x:c r="M151" s="778"/>
      <x:c r="N151" s="778"/>
      <x:c r="O151" s="778"/>
      <x:c r="P151" s="778"/>
      <x:c r="Q151" s="778"/>
      <x:c r="R151" s="778"/>
      <x:c r="S151" s="778"/>
      <x:c r="T151" s="778"/>
      <x:c r="U151" s="778"/>
      <x:c r="V151" s="778"/>
      <x:c r="W151" s="26" t="str">
        <x:f>IF(AND(C151="",R151=""),"",IF(P151&lt;&gt;"Yes","INFO",IF(Q151="RED",IF(S151="","OPEN - RED",IF(AND(OR(S151="CHANGE ACCEPTED",S151="PARTIAL CHANGE"),V151&lt;&gt;"Yes"),"RED - NOT INTEGRATED","RESOLVED")),IF(Q151="AMBER",IF(S151="","OPEN - AMBER",IF(AND(OR(S151="CHANGE ACCEPTED",S151="PARTIAL CHANGE"),V151&lt;&gt;"Yes"),"AMBER - NOT INTEGRATED","RESOLVED")),IF(S151="","REVIEWED","RESOLVED")))))</x:f>
      </x:c>
      <x:c r="X151" s="778"/>
    </x:row>
    <x:row r="152" ht="28" customHeight="1">
      <x:c r="A152" s="26" t="str">
        <x:v>ERF-036</x:v>
      </x:c>
      <x:c r="B152" s="778"/>
      <x:c r="C152" s="778"/>
      <x:c r="D152" s="778"/>
      <x:c r="E152" s="778"/>
      <x:c r="F152" s="778"/>
      <x:c r="G152" s="778"/>
      <x:c r="H152" s="778"/>
      <x:c r="I152" s="778"/>
      <x:c r="J152" s="778"/>
      <x:c r="K152" s="778"/>
      <x:c r="L152" s="781" t="str">
        <x:f>IF(OR(H152="",K152="",K152=0),"",(H152-K152)/K152)</x:f>
      </x:c>
      <x:c r="M152" s="778"/>
      <x:c r="N152" s="778"/>
      <x:c r="O152" s="778"/>
      <x:c r="P152" s="778"/>
      <x:c r="Q152" s="778"/>
      <x:c r="R152" s="778"/>
      <x:c r="S152" s="778"/>
      <x:c r="T152" s="778"/>
      <x:c r="U152" s="778"/>
      <x:c r="V152" s="778"/>
      <x:c r="W152" s="26" t="str">
        <x:f>IF(AND(C152="",R152=""),"",IF(P152&lt;&gt;"Yes","INFO",IF(Q152="RED",IF(S152="","OPEN - RED",IF(AND(OR(S152="CHANGE ACCEPTED",S152="PARTIAL CHANGE"),V152&lt;&gt;"Yes"),"RED - NOT INTEGRATED","RESOLVED")),IF(Q152="AMBER",IF(S152="","OPEN - AMBER",IF(AND(OR(S152="CHANGE ACCEPTED",S152="PARTIAL CHANGE"),V152&lt;&gt;"Yes"),"AMBER - NOT INTEGRATED","RESOLVED")),IF(S152="","REVIEWED","RESOLVED")))))</x:f>
      </x:c>
      <x:c r="X152" s="778"/>
    </x:row>
    <x:row r="153" ht="28" customHeight="1">
      <x:c r="A153" s="26" t="str">
        <x:v>ERF-037</x:v>
      </x:c>
      <x:c r="B153" s="778"/>
      <x:c r="C153" s="778"/>
      <x:c r="D153" s="778"/>
      <x:c r="E153" s="778"/>
      <x:c r="F153" s="778"/>
      <x:c r="G153" s="778"/>
      <x:c r="H153" s="778"/>
      <x:c r="I153" s="778"/>
      <x:c r="J153" s="778"/>
      <x:c r="K153" s="778"/>
      <x:c r="L153" s="781" t="str">
        <x:f>IF(OR(H153="",K153="",K153=0),"",(H153-K153)/K153)</x:f>
      </x:c>
      <x:c r="M153" s="778"/>
      <x:c r="N153" s="778"/>
      <x:c r="O153" s="778"/>
      <x:c r="P153" s="778"/>
      <x:c r="Q153" s="778"/>
      <x:c r="R153" s="778"/>
      <x:c r="S153" s="778"/>
      <x:c r="T153" s="778"/>
      <x:c r="U153" s="778"/>
      <x:c r="V153" s="778"/>
      <x:c r="W153" s="26" t="str">
        <x:f>IF(AND(C153="",R153=""),"",IF(P153&lt;&gt;"Yes","INFO",IF(Q153="RED",IF(S153="","OPEN - RED",IF(AND(OR(S153="CHANGE ACCEPTED",S153="PARTIAL CHANGE"),V153&lt;&gt;"Yes"),"RED - NOT INTEGRATED","RESOLVED")),IF(Q153="AMBER",IF(S153="","OPEN - AMBER",IF(AND(OR(S153="CHANGE ACCEPTED",S153="PARTIAL CHANGE"),V153&lt;&gt;"Yes"),"AMBER - NOT INTEGRATED","RESOLVED")),IF(S153="","REVIEWED","RESOLVED")))))</x:f>
      </x:c>
      <x:c r="X153" s="778"/>
    </x:row>
    <x:row r="154" ht="28" customHeight="1">
      <x:c r="A154" s="26" t="str">
        <x:v>ERF-038</x:v>
      </x:c>
      <x:c r="B154" s="778"/>
      <x:c r="C154" s="778"/>
      <x:c r="D154" s="778"/>
      <x:c r="E154" s="778"/>
      <x:c r="F154" s="778"/>
      <x:c r="G154" s="778"/>
      <x:c r="H154" s="778"/>
      <x:c r="I154" s="778"/>
      <x:c r="J154" s="778"/>
      <x:c r="K154" s="778"/>
      <x:c r="L154" s="781" t="str">
        <x:f>IF(OR(H154="",K154="",K154=0),"",(H154-K154)/K154)</x:f>
      </x:c>
      <x:c r="M154" s="778"/>
      <x:c r="N154" s="778"/>
      <x:c r="O154" s="778"/>
      <x:c r="P154" s="778"/>
      <x:c r="Q154" s="778"/>
      <x:c r="R154" s="778"/>
      <x:c r="S154" s="778"/>
      <x:c r="T154" s="778"/>
      <x:c r="U154" s="778"/>
      <x:c r="V154" s="778"/>
      <x:c r="W154" s="26" t="str">
        <x:f>IF(AND(C154="",R154=""),"",IF(P154&lt;&gt;"Yes","INFO",IF(Q154="RED",IF(S154="","OPEN - RED",IF(AND(OR(S154="CHANGE ACCEPTED",S154="PARTIAL CHANGE"),V154&lt;&gt;"Yes"),"RED - NOT INTEGRATED","RESOLVED")),IF(Q154="AMBER",IF(S154="","OPEN - AMBER",IF(AND(OR(S154="CHANGE ACCEPTED",S154="PARTIAL CHANGE"),V154&lt;&gt;"Yes"),"AMBER - NOT INTEGRATED","RESOLVED")),IF(S154="","REVIEWED","RESOLVED")))))</x:f>
      </x:c>
      <x:c r="X154" s="778"/>
    </x:row>
    <x:row r="155" ht="28" customHeight="1">
      <x:c r="A155" s="26" t="str">
        <x:v>ERF-039</x:v>
      </x:c>
      <x:c r="B155" s="778"/>
      <x:c r="C155" s="778"/>
      <x:c r="D155" s="778"/>
      <x:c r="E155" s="778"/>
      <x:c r="F155" s="778"/>
      <x:c r="G155" s="778"/>
      <x:c r="H155" s="778"/>
      <x:c r="I155" s="778"/>
      <x:c r="J155" s="778"/>
      <x:c r="K155" s="778"/>
      <x:c r="L155" s="781" t="str">
        <x:f>IF(OR(H155="",K155="",K155=0),"",(H155-K155)/K155)</x:f>
      </x:c>
      <x:c r="M155" s="778"/>
      <x:c r="N155" s="778"/>
      <x:c r="O155" s="778"/>
      <x:c r="P155" s="778"/>
      <x:c r="Q155" s="778"/>
      <x:c r="R155" s="778"/>
      <x:c r="S155" s="778"/>
      <x:c r="T155" s="778"/>
      <x:c r="U155" s="778"/>
      <x:c r="V155" s="778"/>
      <x:c r="W155" s="26" t="str">
        <x:f>IF(AND(C155="",R155=""),"",IF(P155&lt;&gt;"Yes","INFO",IF(Q155="RED",IF(S155="","OPEN - RED",IF(AND(OR(S155="CHANGE ACCEPTED",S155="PARTIAL CHANGE"),V155&lt;&gt;"Yes"),"RED - NOT INTEGRATED","RESOLVED")),IF(Q155="AMBER",IF(S155="","OPEN - AMBER",IF(AND(OR(S155="CHANGE ACCEPTED",S155="PARTIAL CHANGE"),V155&lt;&gt;"Yes"),"AMBER - NOT INTEGRATED","RESOLVED")),IF(S155="","REVIEWED","RESOLVED")))))</x:f>
      </x:c>
      <x:c r="X155" s="778"/>
    </x:row>
    <x:row r="156" ht="28" customHeight="1">
      <x:c r="A156" s="26" t="str">
        <x:v>ERF-040</x:v>
      </x:c>
      <x:c r="B156" s="778"/>
      <x:c r="C156" s="778"/>
      <x:c r="D156" s="778"/>
      <x:c r="E156" s="778"/>
      <x:c r="F156" s="778"/>
      <x:c r="G156" s="778"/>
      <x:c r="H156" s="778"/>
      <x:c r="I156" s="778"/>
      <x:c r="J156" s="778"/>
      <x:c r="K156" s="778"/>
      <x:c r="L156" s="781" t="str">
        <x:f>IF(OR(H156="",K156="",K156=0),"",(H156-K156)/K156)</x:f>
      </x:c>
      <x:c r="M156" s="778"/>
      <x:c r="N156" s="778"/>
      <x:c r="O156" s="778"/>
      <x:c r="P156" s="778"/>
      <x:c r="Q156" s="778"/>
      <x:c r="R156" s="778"/>
      <x:c r="S156" s="778"/>
      <x:c r="T156" s="778"/>
      <x:c r="U156" s="778"/>
      <x:c r="V156" s="778"/>
      <x:c r="W156" s="26" t="str">
        <x:f>IF(AND(C156="",R156=""),"",IF(P156&lt;&gt;"Yes","INFO",IF(Q156="RED",IF(S156="","OPEN - RED",IF(AND(OR(S156="CHANGE ACCEPTED",S156="PARTIAL CHANGE"),V156&lt;&gt;"Yes"),"RED - NOT INTEGRATED","RESOLVED")),IF(Q156="AMBER",IF(S156="","OPEN - AMBER",IF(AND(OR(S156="CHANGE ACCEPTED",S156="PARTIAL CHANGE"),V156&lt;&gt;"Yes"),"AMBER - NOT INTEGRATED","RESOLVED")),IF(S156="","REVIEWED","RESOLVED")))))</x:f>
      </x:c>
      <x:c r="X156" s="778"/>
    </x:row>
    <x:row r="157" ht="28" customHeight="1">
      <x:c r="A157" s="26" t="str">
        <x:v>ERF-041</x:v>
      </x:c>
      <x:c r="B157" s="778"/>
      <x:c r="C157" s="778"/>
      <x:c r="D157" s="778"/>
      <x:c r="E157" s="778"/>
      <x:c r="F157" s="778"/>
      <x:c r="G157" s="778"/>
      <x:c r="H157" s="778"/>
      <x:c r="I157" s="778"/>
      <x:c r="J157" s="778"/>
      <x:c r="K157" s="778"/>
      <x:c r="L157" s="781" t="str">
        <x:f>IF(OR(H157="",K157="",K157=0),"",(H157-K157)/K157)</x:f>
      </x:c>
      <x:c r="M157" s="778"/>
      <x:c r="N157" s="778"/>
      <x:c r="O157" s="778"/>
      <x:c r="P157" s="778"/>
      <x:c r="Q157" s="778"/>
      <x:c r="R157" s="778"/>
      <x:c r="S157" s="778"/>
      <x:c r="T157" s="778"/>
      <x:c r="U157" s="778"/>
      <x:c r="V157" s="778"/>
      <x:c r="W157" s="26" t="str">
        <x:f>IF(AND(C157="",R157=""),"",IF(P157&lt;&gt;"Yes","INFO",IF(Q157="RED",IF(S157="","OPEN - RED",IF(AND(OR(S157="CHANGE ACCEPTED",S157="PARTIAL CHANGE"),V157&lt;&gt;"Yes"),"RED - NOT INTEGRATED","RESOLVED")),IF(Q157="AMBER",IF(S157="","OPEN - AMBER",IF(AND(OR(S157="CHANGE ACCEPTED",S157="PARTIAL CHANGE"),V157&lt;&gt;"Yes"),"AMBER - NOT INTEGRATED","RESOLVED")),IF(S157="","REVIEWED","RESOLVED")))))</x:f>
      </x:c>
      <x:c r="X157" s="778"/>
    </x:row>
    <x:row r="158" ht="28" customHeight="1">
      <x:c r="A158" s="26" t="str">
        <x:v>ERF-042</x:v>
      </x:c>
      <x:c r="B158" s="778"/>
      <x:c r="C158" s="778"/>
      <x:c r="D158" s="778"/>
      <x:c r="E158" s="778"/>
      <x:c r="F158" s="778"/>
      <x:c r="G158" s="778"/>
      <x:c r="H158" s="778"/>
      <x:c r="I158" s="778"/>
      <x:c r="J158" s="778"/>
      <x:c r="K158" s="778"/>
      <x:c r="L158" s="781" t="str">
        <x:f>IF(OR(H158="",K158="",K158=0),"",(H158-K158)/K158)</x:f>
      </x:c>
      <x:c r="M158" s="778"/>
      <x:c r="N158" s="778"/>
      <x:c r="O158" s="778"/>
      <x:c r="P158" s="778"/>
      <x:c r="Q158" s="778"/>
      <x:c r="R158" s="778"/>
      <x:c r="S158" s="778"/>
      <x:c r="T158" s="778"/>
      <x:c r="U158" s="778"/>
      <x:c r="V158" s="778"/>
      <x:c r="W158" s="26" t="str">
        <x:f>IF(AND(C158="",R158=""),"",IF(P158&lt;&gt;"Yes","INFO",IF(Q158="RED",IF(S158="","OPEN - RED",IF(AND(OR(S158="CHANGE ACCEPTED",S158="PARTIAL CHANGE"),V158&lt;&gt;"Yes"),"RED - NOT INTEGRATED","RESOLVED")),IF(Q158="AMBER",IF(S158="","OPEN - AMBER",IF(AND(OR(S158="CHANGE ACCEPTED",S158="PARTIAL CHANGE"),V158&lt;&gt;"Yes"),"AMBER - NOT INTEGRATED","RESOLVED")),IF(S158="","REVIEWED","RESOLVED")))))</x:f>
      </x:c>
      <x:c r="X158" s="778"/>
    </x:row>
    <x:row r="159" ht="28" customHeight="1">
      <x:c r="A159" s="26" t="str">
        <x:v>ERF-043</x:v>
      </x:c>
      <x:c r="B159" s="778"/>
      <x:c r="C159" s="778"/>
      <x:c r="D159" s="778"/>
      <x:c r="E159" s="778"/>
      <x:c r="F159" s="778"/>
      <x:c r="G159" s="778"/>
      <x:c r="H159" s="778"/>
      <x:c r="I159" s="778"/>
      <x:c r="J159" s="778"/>
      <x:c r="K159" s="778"/>
      <x:c r="L159" s="781" t="str">
        <x:f>IF(OR(H159="",K159="",K159=0),"",(H159-K159)/K159)</x:f>
      </x:c>
      <x:c r="M159" s="778"/>
      <x:c r="N159" s="778"/>
      <x:c r="O159" s="778"/>
      <x:c r="P159" s="778"/>
      <x:c r="Q159" s="778"/>
      <x:c r="R159" s="778"/>
      <x:c r="S159" s="778"/>
      <x:c r="T159" s="778"/>
      <x:c r="U159" s="778"/>
      <x:c r="V159" s="778"/>
      <x:c r="W159" s="26" t="str">
        <x:f>IF(AND(C159="",R159=""),"",IF(P159&lt;&gt;"Yes","INFO",IF(Q159="RED",IF(S159="","OPEN - RED",IF(AND(OR(S159="CHANGE ACCEPTED",S159="PARTIAL CHANGE"),V159&lt;&gt;"Yes"),"RED - NOT INTEGRATED","RESOLVED")),IF(Q159="AMBER",IF(S159="","OPEN - AMBER",IF(AND(OR(S159="CHANGE ACCEPTED",S159="PARTIAL CHANGE"),V159&lt;&gt;"Yes"),"AMBER - NOT INTEGRATED","RESOLVED")),IF(S159="","REVIEWED","RESOLVED")))))</x:f>
      </x:c>
      <x:c r="X159" s="778"/>
    </x:row>
    <x:row r="160" ht="28" customHeight="1">
      <x:c r="A160" s="26" t="str">
        <x:v>ERF-044</x:v>
      </x:c>
      <x:c r="B160" s="778"/>
      <x:c r="C160" s="778"/>
      <x:c r="D160" s="778"/>
      <x:c r="E160" s="778"/>
      <x:c r="F160" s="778"/>
      <x:c r="G160" s="778"/>
      <x:c r="H160" s="778"/>
      <x:c r="I160" s="778"/>
      <x:c r="J160" s="778"/>
      <x:c r="K160" s="778"/>
      <x:c r="L160" s="781" t="str">
        <x:f>IF(OR(H160="",K160="",K160=0),"",(H160-K160)/K160)</x:f>
      </x:c>
      <x:c r="M160" s="778"/>
      <x:c r="N160" s="778"/>
      <x:c r="O160" s="778"/>
      <x:c r="P160" s="778"/>
      <x:c r="Q160" s="778"/>
      <x:c r="R160" s="778"/>
      <x:c r="S160" s="778"/>
      <x:c r="T160" s="778"/>
      <x:c r="U160" s="778"/>
      <x:c r="V160" s="778"/>
      <x:c r="W160" s="26" t="str">
        <x:f>IF(AND(C160="",R160=""),"",IF(P160&lt;&gt;"Yes","INFO",IF(Q160="RED",IF(S160="","OPEN - RED",IF(AND(OR(S160="CHANGE ACCEPTED",S160="PARTIAL CHANGE"),V160&lt;&gt;"Yes"),"RED - NOT INTEGRATED","RESOLVED")),IF(Q160="AMBER",IF(S160="","OPEN - AMBER",IF(AND(OR(S160="CHANGE ACCEPTED",S160="PARTIAL CHANGE"),V160&lt;&gt;"Yes"),"AMBER - NOT INTEGRATED","RESOLVED")),IF(S160="","REVIEWED","RESOLVED")))))</x:f>
      </x:c>
      <x:c r="X160" s="778"/>
    </x:row>
    <x:row r="161" ht="28" customHeight="1">
      <x:c r="A161" s="26" t="str">
        <x:v>ERF-045</x:v>
      </x:c>
      <x:c r="B161" s="778"/>
      <x:c r="C161" s="778"/>
      <x:c r="D161" s="778"/>
      <x:c r="E161" s="778"/>
      <x:c r="F161" s="778"/>
      <x:c r="G161" s="778"/>
      <x:c r="H161" s="778"/>
      <x:c r="I161" s="778"/>
      <x:c r="J161" s="778"/>
      <x:c r="K161" s="778"/>
      <x:c r="L161" s="781" t="str">
        <x:f>IF(OR(H161="",K161="",K161=0),"",(H161-K161)/K161)</x:f>
      </x:c>
      <x:c r="M161" s="778"/>
      <x:c r="N161" s="778"/>
      <x:c r="O161" s="778"/>
      <x:c r="P161" s="778"/>
      <x:c r="Q161" s="778"/>
      <x:c r="R161" s="778"/>
      <x:c r="S161" s="778"/>
      <x:c r="T161" s="778"/>
      <x:c r="U161" s="778"/>
      <x:c r="V161" s="778"/>
      <x:c r="W161" s="26" t="str">
        <x:f>IF(AND(C161="",R161=""),"",IF(P161&lt;&gt;"Yes","INFO",IF(Q161="RED",IF(S161="","OPEN - RED",IF(AND(OR(S161="CHANGE ACCEPTED",S161="PARTIAL CHANGE"),V161&lt;&gt;"Yes"),"RED - NOT INTEGRATED","RESOLVED")),IF(Q161="AMBER",IF(S161="","OPEN - AMBER",IF(AND(OR(S161="CHANGE ACCEPTED",S161="PARTIAL CHANGE"),V161&lt;&gt;"Yes"),"AMBER - NOT INTEGRATED","RESOLVED")),IF(S161="","REVIEWED","RESOLVED")))))</x:f>
      </x:c>
      <x:c r="X161" s="778"/>
    </x:row>
    <x:row r="162" ht="28" customHeight="1">
      <x:c r="A162" s="26" t="str">
        <x:v>ERF-046</x:v>
      </x:c>
      <x:c r="B162" s="778"/>
      <x:c r="C162" s="778"/>
      <x:c r="D162" s="778"/>
      <x:c r="E162" s="778"/>
      <x:c r="F162" s="778"/>
      <x:c r="G162" s="778"/>
      <x:c r="H162" s="778"/>
      <x:c r="I162" s="778"/>
      <x:c r="J162" s="778"/>
      <x:c r="K162" s="778"/>
      <x:c r="L162" s="781" t="str">
        <x:f>IF(OR(H162="",K162="",K162=0),"",(H162-K162)/K162)</x:f>
      </x:c>
      <x:c r="M162" s="778"/>
      <x:c r="N162" s="778"/>
      <x:c r="O162" s="778"/>
      <x:c r="P162" s="778"/>
      <x:c r="Q162" s="778"/>
      <x:c r="R162" s="778"/>
      <x:c r="S162" s="778"/>
      <x:c r="T162" s="778"/>
      <x:c r="U162" s="778"/>
      <x:c r="V162" s="778"/>
      <x:c r="W162" s="26" t="str">
        <x:f>IF(AND(C162="",R162=""),"",IF(P162&lt;&gt;"Yes","INFO",IF(Q162="RED",IF(S162="","OPEN - RED",IF(AND(OR(S162="CHANGE ACCEPTED",S162="PARTIAL CHANGE"),V162&lt;&gt;"Yes"),"RED - NOT INTEGRATED","RESOLVED")),IF(Q162="AMBER",IF(S162="","OPEN - AMBER",IF(AND(OR(S162="CHANGE ACCEPTED",S162="PARTIAL CHANGE"),V162&lt;&gt;"Yes"),"AMBER - NOT INTEGRATED","RESOLVED")),IF(S162="","REVIEWED","RESOLVED")))))</x:f>
      </x:c>
      <x:c r="X162" s="778"/>
    </x:row>
    <x:row r="163" ht="28" customHeight="1">
      <x:c r="A163" s="26" t="str">
        <x:v>ERF-047</x:v>
      </x:c>
      <x:c r="B163" s="778"/>
      <x:c r="C163" s="778"/>
      <x:c r="D163" s="778"/>
      <x:c r="E163" s="778"/>
      <x:c r="F163" s="778"/>
      <x:c r="G163" s="778"/>
      <x:c r="H163" s="778"/>
      <x:c r="I163" s="778"/>
      <x:c r="J163" s="778"/>
      <x:c r="K163" s="778"/>
      <x:c r="L163" s="781" t="str">
        <x:f>IF(OR(H163="",K163="",K163=0),"",(H163-K163)/K163)</x:f>
      </x:c>
      <x:c r="M163" s="778"/>
      <x:c r="N163" s="778"/>
      <x:c r="O163" s="778"/>
      <x:c r="P163" s="778"/>
      <x:c r="Q163" s="778"/>
      <x:c r="R163" s="778"/>
      <x:c r="S163" s="778"/>
      <x:c r="T163" s="778"/>
      <x:c r="U163" s="778"/>
      <x:c r="V163" s="778"/>
      <x:c r="W163" s="26" t="str">
        <x:f>IF(AND(C163="",R163=""),"",IF(P163&lt;&gt;"Yes","INFO",IF(Q163="RED",IF(S163="","OPEN - RED",IF(AND(OR(S163="CHANGE ACCEPTED",S163="PARTIAL CHANGE"),V163&lt;&gt;"Yes"),"RED - NOT INTEGRATED","RESOLVED")),IF(Q163="AMBER",IF(S163="","OPEN - AMBER",IF(AND(OR(S163="CHANGE ACCEPTED",S163="PARTIAL CHANGE"),V163&lt;&gt;"Yes"),"AMBER - NOT INTEGRATED","RESOLVED")),IF(S163="","REVIEWED","RESOLVED")))))</x:f>
      </x:c>
      <x:c r="X163" s="778"/>
    </x:row>
    <x:row r="164" ht="28" customHeight="1">
      <x:c r="A164" s="26" t="str">
        <x:v>ERF-048</x:v>
      </x:c>
      <x:c r="B164" s="778"/>
      <x:c r="C164" s="778"/>
      <x:c r="D164" s="778"/>
      <x:c r="E164" s="778"/>
      <x:c r="F164" s="778"/>
      <x:c r="G164" s="778"/>
      <x:c r="H164" s="778"/>
      <x:c r="I164" s="778"/>
      <x:c r="J164" s="778"/>
      <x:c r="K164" s="778"/>
      <x:c r="L164" s="781" t="str">
        <x:f>IF(OR(H164="",K164="",K164=0),"",(H164-K164)/K164)</x:f>
      </x:c>
      <x:c r="M164" s="778"/>
      <x:c r="N164" s="778"/>
      <x:c r="O164" s="778"/>
      <x:c r="P164" s="778"/>
      <x:c r="Q164" s="778"/>
      <x:c r="R164" s="778"/>
      <x:c r="S164" s="778"/>
      <x:c r="T164" s="778"/>
      <x:c r="U164" s="778"/>
      <x:c r="V164" s="778"/>
      <x:c r="W164" s="26" t="str">
        <x:f>IF(AND(C164="",R164=""),"",IF(P164&lt;&gt;"Yes","INFO",IF(Q164="RED",IF(S164="","OPEN - RED",IF(AND(OR(S164="CHANGE ACCEPTED",S164="PARTIAL CHANGE"),V164&lt;&gt;"Yes"),"RED - NOT INTEGRATED","RESOLVED")),IF(Q164="AMBER",IF(S164="","OPEN - AMBER",IF(AND(OR(S164="CHANGE ACCEPTED",S164="PARTIAL CHANGE"),V164&lt;&gt;"Yes"),"AMBER - NOT INTEGRATED","RESOLVED")),IF(S164="","REVIEWED","RESOLVED")))))</x:f>
      </x:c>
      <x:c r="X164" s="778"/>
    </x:row>
    <x:row r="165" ht="28" customHeight="1">
      <x:c r="A165" s="26" t="str">
        <x:v>ERF-049</x:v>
      </x:c>
      <x:c r="B165" s="778"/>
      <x:c r="C165" s="778"/>
      <x:c r="D165" s="778"/>
      <x:c r="E165" s="778"/>
      <x:c r="F165" s="778"/>
      <x:c r="G165" s="778"/>
      <x:c r="H165" s="778"/>
      <x:c r="I165" s="778"/>
      <x:c r="J165" s="778"/>
      <x:c r="K165" s="778"/>
      <x:c r="L165" s="781" t="str">
        <x:f>IF(OR(H165="",K165="",K165=0),"",(H165-K165)/K165)</x:f>
      </x:c>
      <x:c r="M165" s="778"/>
      <x:c r="N165" s="778"/>
      <x:c r="O165" s="778"/>
      <x:c r="P165" s="778"/>
      <x:c r="Q165" s="778"/>
      <x:c r="R165" s="778"/>
      <x:c r="S165" s="778"/>
      <x:c r="T165" s="778"/>
      <x:c r="U165" s="778"/>
      <x:c r="V165" s="778"/>
      <x:c r="W165" s="26" t="str">
        <x:f>IF(AND(C165="",R165=""),"",IF(P165&lt;&gt;"Yes","INFO",IF(Q165="RED",IF(S165="","OPEN - RED",IF(AND(OR(S165="CHANGE ACCEPTED",S165="PARTIAL CHANGE"),V165&lt;&gt;"Yes"),"RED - NOT INTEGRATED","RESOLVED")),IF(Q165="AMBER",IF(S165="","OPEN - AMBER",IF(AND(OR(S165="CHANGE ACCEPTED",S165="PARTIAL CHANGE"),V165&lt;&gt;"Yes"),"AMBER - NOT INTEGRATED","RESOLVED")),IF(S165="","REVIEWED","RESOLVED")))))</x:f>
      </x:c>
      <x:c r="X165" s="778"/>
    </x:row>
    <x:row r="166" ht="28" customHeight="1">
      <x:c r="A166" s="26" t="str">
        <x:v>ERF-050</x:v>
      </x:c>
      <x:c r="B166" s="778"/>
      <x:c r="C166" s="778"/>
      <x:c r="D166" s="778"/>
      <x:c r="E166" s="778"/>
      <x:c r="F166" s="778"/>
      <x:c r="G166" s="778"/>
      <x:c r="H166" s="778"/>
      <x:c r="I166" s="778"/>
      <x:c r="J166" s="778"/>
      <x:c r="K166" s="778"/>
      <x:c r="L166" s="781" t="str">
        <x:f>IF(OR(H166="",K166="",K166=0),"",(H166-K166)/K166)</x:f>
      </x:c>
      <x:c r="M166" s="778"/>
      <x:c r="N166" s="778"/>
      <x:c r="O166" s="778"/>
      <x:c r="P166" s="778"/>
      <x:c r="Q166" s="778"/>
      <x:c r="R166" s="778"/>
      <x:c r="S166" s="778"/>
      <x:c r="T166" s="778"/>
      <x:c r="U166" s="778"/>
      <x:c r="V166" s="778"/>
      <x:c r="W166" s="26" t="str">
        <x:f>IF(AND(C166="",R166=""),"",IF(P166&lt;&gt;"Yes","INFO",IF(Q166="RED",IF(S166="","OPEN - RED",IF(AND(OR(S166="CHANGE ACCEPTED",S166="PARTIAL CHANGE"),V166&lt;&gt;"Yes"),"RED - NOT INTEGRATED","RESOLVED")),IF(Q166="AMBER",IF(S166="","OPEN - AMBER",IF(AND(OR(S166="CHANGE ACCEPTED",S166="PARTIAL CHANGE"),V166&lt;&gt;"Yes"),"AMBER - NOT INTEGRATED","RESOLVED")),IF(S166="","REVIEWED","RESOLVED")))))</x:f>
      </x:c>
      <x:c r="X166" s="778"/>
    </x:row>
    <x:row r="167" ht="28" customHeight="1">
      <x:c r="A167" s="26" t="str">
        <x:v>ERF-051</x:v>
      </x:c>
      <x:c r="B167" s="778"/>
      <x:c r="C167" s="778"/>
      <x:c r="D167" s="778"/>
      <x:c r="E167" s="778"/>
      <x:c r="F167" s="778"/>
      <x:c r="G167" s="778"/>
      <x:c r="H167" s="778"/>
      <x:c r="I167" s="778"/>
      <x:c r="J167" s="778"/>
      <x:c r="K167" s="778"/>
      <x:c r="L167" s="781" t="str">
        <x:f>IF(OR(H167="",K167="",K167=0),"",(H167-K167)/K167)</x:f>
      </x:c>
      <x:c r="M167" s="778"/>
      <x:c r="N167" s="778"/>
      <x:c r="O167" s="778"/>
      <x:c r="P167" s="778"/>
      <x:c r="Q167" s="778"/>
      <x:c r="R167" s="778"/>
      <x:c r="S167" s="778"/>
      <x:c r="T167" s="778"/>
      <x:c r="U167" s="778"/>
      <x:c r="V167" s="778"/>
      <x:c r="W167" s="26" t="str">
        <x:f>IF(AND(C167="",R167=""),"",IF(P167&lt;&gt;"Yes","INFO",IF(Q167="RED",IF(S167="","OPEN - RED",IF(AND(OR(S167="CHANGE ACCEPTED",S167="PARTIAL CHANGE"),V167&lt;&gt;"Yes"),"RED - NOT INTEGRATED","RESOLVED")),IF(Q167="AMBER",IF(S167="","OPEN - AMBER",IF(AND(OR(S167="CHANGE ACCEPTED",S167="PARTIAL CHANGE"),V167&lt;&gt;"Yes"),"AMBER - NOT INTEGRATED","RESOLVED")),IF(S167="","REVIEWED","RESOLVED")))))</x:f>
      </x:c>
      <x:c r="X167" s="778"/>
    </x:row>
    <x:row r="168" ht="28" customHeight="1">
      <x:c r="A168" s="26" t="str">
        <x:v>ERF-052</x:v>
      </x:c>
      <x:c r="B168" s="778"/>
      <x:c r="C168" s="778"/>
      <x:c r="D168" s="778"/>
      <x:c r="E168" s="778"/>
      <x:c r="F168" s="778"/>
      <x:c r="G168" s="778"/>
      <x:c r="H168" s="778"/>
      <x:c r="I168" s="778"/>
      <x:c r="J168" s="778"/>
      <x:c r="K168" s="778"/>
      <x:c r="L168" s="781" t="str">
        <x:f>IF(OR(H168="",K168="",K168=0),"",(H168-K168)/K168)</x:f>
      </x:c>
      <x:c r="M168" s="778"/>
      <x:c r="N168" s="778"/>
      <x:c r="O168" s="778"/>
      <x:c r="P168" s="778"/>
      <x:c r="Q168" s="778"/>
      <x:c r="R168" s="778"/>
      <x:c r="S168" s="778"/>
      <x:c r="T168" s="778"/>
      <x:c r="U168" s="778"/>
      <x:c r="V168" s="778"/>
      <x:c r="W168" s="26" t="str">
        <x:f>IF(AND(C168="",R168=""),"",IF(P168&lt;&gt;"Yes","INFO",IF(Q168="RED",IF(S168="","OPEN - RED",IF(AND(OR(S168="CHANGE ACCEPTED",S168="PARTIAL CHANGE"),V168&lt;&gt;"Yes"),"RED - NOT INTEGRATED","RESOLVED")),IF(Q168="AMBER",IF(S168="","OPEN - AMBER",IF(AND(OR(S168="CHANGE ACCEPTED",S168="PARTIAL CHANGE"),V168&lt;&gt;"Yes"),"AMBER - NOT INTEGRATED","RESOLVED")),IF(S168="","REVIEWED","RESOLVED")))))</x:f>
      </x:c>
      <x:c r="X168" s="778"/>
    </x:row>
    <x:row r="169" ht="28" customHeight="1">
      <x:c r="A169" s="26" t="str">
        <x:v>ERF-053</x:v>
      </x:c>
      <x:c r="B169" s="778"/>
      <x:c r="C169" s="778"/>
      <x:c r="D169" s="778"/>
      <x:c r="E169" s="778"/>
      <x:c r="F169" s="778"/>
      <x:c r="G169" s="778"/>
      <x:c r="H169" s="778"/>
      <x:c r="I169" s="778"/>
      <x:c r="J169" s="778"/>
      <x:c r="K169" s="778"/>
      <x:c r="L169" s="781" t="str">
        <x:f>IF(OR(H169="",K169="",K169=0),"",(H169-K169)/K169)</x:f>
      </x:c>
      <x:c r="M169" s="778"/>
      <x:c r="N169" s="778"/>
      <x:c r="O169" s="778"/>
      <x:c r="P169" s="778"/>
      <x:c r="Q169" s="778"/>
      <x:c r="R169" s="778"/>
      <x:c r="S169" s="778"/>
      <x:c r="T169" s="778"/>
      <x:c r="U169" s="778"/>
      <x:c r="V169" s="778"/>
      <x:c r="W169" s="26" t="str">
        <x:f>IF(AND(C169="",R169=""),"",IF(P169&lt;&gt;"Yes","INFO",IF(Q169="RED",IF(S169="","OPEN - RED",IF(AND(OR(S169="CHANGE ACCEPTED",S169="PARTIAL CHANGE"),V169&lt;&gt;"Yes"),"RED - NOT INTEGRATED","RESOLVED")),IF(Q169="AMBER",IF(S169="","OPEN - AMBER",IF(AND(OR(S169="CHANGE ACCEPTED",S169="PARTIAL CHANGE"),V169&lt;&gt;"Yes"),"AMBER - NOT INTEGRATED","RESOLVED")),IF(S169="","REVIEWED","RESOLVED")))))</x:f>
      </x:c>
      <x:c r="X169" s="778"/>
    </x:row>
    <x:row r="170" ht="28" customHeight="1">
      <x:c r="A170" s="26" t="str">
        <x:v>ERF-054</x:v>
      </x:c>
      <x:c r="B170" s="778"/>
      <x:c r="C170" s="778"/>
      <x:c r="D170" s="778"/>
      <x:c r="E170" s="778"/>
      <x:c r="F170" s="778"/>
      <x:c r="G170" s="778"/>
      <x:c r="H170" s="778"/>
      <x:c r="I170" s="778"/>
      <x:c r="J170" s="778"/>
      <x:c r="K170" s="778"/>
      <x:c r="L170" s="781" t="str">
        <x:f>IF(OR(H170="",K170="",K170=0),"",(H170-K170)/K170)</x:f>
      </x:c>
      <x:c r="M170" s="778"/>
      <x:c r="N170" s="778"/>
      <x:c r="O170" s="778"/>
      <x:c r="P170" s="778"/>
      <x:c r="Q170" s="778"/>
      <x:c r="R170" s="778"/>
      <x:c r="S170" s="778"/>
      <x:c r="T170" s="778"/>
      <x:c r="U170" s="778"/>
      <x:c r="V170" s="778"/>
      <x:c r="W170" s="26" t="str">
        <x:f>IF(AND(C170="",R170=""),"",IF(P170&lt;&gt;"Yes","INFO",IF(Q170="RED",IF(S170="","OPEN - RED",IF(AND(OR(S170="CHANGE ACCEPTED",S170="PARTIAL CHANGE"),V170&lt;&gt;"Yes"),"RED - NOT INTEGRATED","RESOLVED")),IF(Q170="AMBER",IF(S170="","OPEN - AMBER",IF(AND(OR(S170="CHANGE ACCEPTED",S170="PARTIAL CHANGE"),V170&lt;&gt;"Yes"),"AMBER - NOT INTEGRATED","RESOLVED")),IF(S170="","REVIEWED","RESOLVED")))))</x:f>
      </x:c>
      <x:c r="X170" s="778"/>
    </x:row>
    <x:row r="171" ht="28" customHeight="1">
      <x:c r="A171" s="26" t="str">
        <x:v>ERF-021</x:v>
      </x:c>
      <x:c r="B171" s="778" t="str">
        <x:v>Productivity / Programme</x:v>
      </x:c>
      <x:c r="C171" s="778" t="str">
        <x:v>PV01</x:v>
      </x:c>
      <x:c r="D171" s="778" t="str">
        <x:v>Concrete placing/finishing</x:v>
      </x:c>
      <x:c r="E171" s="778" t="str">
        <x:v>ERB-06 / ERB-08</x:v>
      </x:c>
      <x:c r="F171" s="778" t="str">
        <x:v>Productivity / crew / programme reconciliation</x:v>
      </x:c>
      <x:c r="G171" s="778" t="str">
        <x:v>Current 3m2/hr, 3-person labour build implies 150.37 workfront hours; independent programme evidence supports a substantially shorter specialist concrete workfront with different crew/method.</x:v>
      </x:c>
      <x:c r="H171" s="778" t="n">
        <x:v>150.36666666666667</x:v>
      </x:c>
      <x:c r="I171" s="778" t="str">
        <x:v>workfront hr</x:v>
      </x:c>
      <x:c r="J171" s="778" t="str">
        <x:v>PV01 10WD programme includes base prep and concrete; current direct labour build separately prices 451.1m2 at 3m2/hr x 3 labour.</x:v>
      </x:c>
      <x:c r="K171" s="778" t="n">
        <x:v>10</x:v>
      </x:c>
      <x:c r="L171" s="781"/>
      <x:c r="M171" s="778" t="str">
        <x:v>PV01 Resource Build-Up / Programme Export</x:v>
      </x:c>
      <x:c r="N171" s="778" t="str">
        <x:v>ERB-06 method/productivity challenge + ERB-08 programme challenge</x:v>
      </x:c>
      <x:c r="O171" s="778" t="str">
        <x:v>The two bases are not comparable enough to overwrite either. Q-05 is required to normalize crew, hours, pours, pump/boxing/joints.</x:v>
      </x:c>
      <x:c r="P171" s="778" t="str">
        <x:v>Yes</x:v>
      </x:c>
      <x:c r="Q171" s="778" t="str">
        <x:v>RED</x:v>
      </x:c>
      <x:c r="R171" s="778" t="str">
        <x:v>Price and programme cannot both be described as fully verified until the same construction method reconciles them.</x:v>
      </x:c>
      <x:c r="S171" s="778" t="str">
        <x:v>RFI HOLD / Q-05</x:v>
      </x:c>
      <x:c r="T171" s="778" t="str">
        <x:v>No cost change in Rev21; reconcile at source on aligned quote return</x:v>
      </x:c>
      <x:c r="U171" s="778"/>
      <x:c r="V171" s="778"/>
      <x:c r="W171" s="26" t="str">
        <x:f>IF(AND(C171="",R171=""),"",IF(P171&lt;&gt;"Yes","INFO",IF(Q171="RED",IF(S171="","OPEN - RED",IF(AND(OR(S171="CHANGE ACCEPTED",S171="PARTIAL CHANGE"),V171&lt;&gt;"Yes"),"RED - NOT INTEGRATED","RESOLVED")),IF(Q171="AMBER",IF(S171="","OPEN - AMBER",IF(AND(OR(S171="CHANGE ACCEPTED",S171="PARTIAL CHANGE"),V171&lt;&gt;"Yes"),"AMBER - NOT INTEGRATED","RESOLVED")),IF(S171="","REVIEWED","RESOLVED")))))</x:f>
        <x:v>RESOLVED</x:v>
      </x:c>
      <x:c r="X171" s="778"/>
    </x:row>
    <x:row r="172" ht="28" customHeight="1">
      <x:c r="A172" s="26" t="str">
        <x:v>ERF-056</x:v>
      </x:c>
      <x:c r="B172" s="778"/>
      <x:c r="C172" s="778"/>
      <x:c r="D172" s="778"/>
      <x:c r="E172" s="778"/>
      <x:c r="F172" s="778"/>
      <x:c r="G172" s="778"/>
      <x:c r="H172" s="778"/>
      <x:c r="I172" s="778"/>
      <x:c r="J172" s="778"/>
      <x:c r="K172" s="778"/>
      <x:c r="L172" s="781" t="str">
        <x:f>IF(OR(H172="",K172="",K172=0),"",(H172-K172)/K172)</x:f>
      </x:c>
      <x:c r="M172" s="778"/>
      <x:c r="N172" s="778"/>
      <x:c r="O172" s="778"/>
      <x:c r="P172" s="778"/>
      <x:c r="Q172" s="778"/>
      <x:c r="R172" s="778"/>
      <x:c r="S172" s="778"/>
      <x:c r="T172" s="778"/>
      <x:c r="U172" s="778"/>
      <x:c r="V172" s="778"/>
      <x:c r="W172" s="26" t="str">
        <x:f>IF(AND(C172="",R172=""),"",IF(P172&lt;&gt;"Yes","INFO",IF(Q172="RED",IF(S172="","OPEN - RED",IF(AND(OR(S172="CHANGE ACCEPTED",S172="PARTIAL CHANGE"),V172&lt;&gt;"Yes"),"RED - NOT INTEGRATED","RESOLVED")),IF(Q172="AMBER",IF(S172="","OPEN - AMBER",IF(AND(OR(S172="CHANGE ACCEPTED",S172="PARTIAL CHANGE"),V172&lt;&gt;"Yes"),"AMBER - NOT INTEGRATED","RESOLVED")),IF(S172="","REVIEWED","RESOLVED")))))</x:f>
      </x:c>
      <x:c r="X172" s="778"/>
    </x:row>
    <x:row r="173" ht="28" customHeight="1">
      <x:c r="A173" s="26" t="str">
        <x:v>ERF-057</x:v>
      </x:c>
      <x:c r="B173" s="778"/>
      <x:c r="C173" s="778"/>
      <x:c r="D173" s="778"/>
      <x:c r="E173" s="778"/>
      <x:c r="F173" s="778"/>
      <x:c r="G173" s="778"/>
      <x:c r="H173" s="778"/>
      <x:c r="I173" s="778"/>
      <x:c r="J173" s="778"/>
      <x:c r="K173" s="778"/>
      <x:c r="L173" s="781" t="str">
        <x:f>IF(OR(H173="",K173="",K173=0),"",(H173-K173)/K173)</x:f>
      </x:c>
      <x:c r="M173" s="778"/>
      <x:c r="N173" s="778"/>
      <x:c r="O173" s="778"/>
      <x:c r="P173" s="778"/>
      <x:c r="Q173" s="778"/>
      <x:c r="R173" s="778"/>
      <x:c r="S173" s="778"/>
      <x:c r="T173" s="778"/>
      <x:c r="U173" s="778"/>
      <x:c r="V173" s="778"/>
      <x:c r="W173" s="26" t="str">
        <x:f>IF(AND(C173="",R173=""),"",IF(P173&lt;&gt;"Yes","INFO",IF(Q173="RED",IF(S173="","OPEN - RED",IF(AND(OR(S173="CHANGE ACCEPTED",S173="PARTIAL CHANGE"),V173&lt;&gt;"Yes"),"RED - NOT INTEGRATED","RESOLVED")),IF(Q173="AMBER",IF(S173="","OPEN - AMBER",IF(AND(OR(S173="CHANGE ACCEPTED",S173="PARTIAL CHANGE"),V173&lt;&gt;"Yes"),"AMBER - NOT INTEGRATED","RESOLVED")),IF(S173="","REVIEWED","RESOLVED")))))</x:f>
      </x:c>
      <x:c r="X173" s="778"/>
    </x:row>
    <x:row r="174" ht="28" customHeight="1">
      <x:c r="A174" s="26" t="str">
        <x:v>ERF-058</x:v>
      </x:c>
      <x:c r="B174" s="778"/>
      <x:c r="C174" s="778"/>
      <x:c r="D174" s="778"/>
      <x:c r="E174" s="778"/>
      <x:c r="F174" s="778"/>
      <x:c r="G174" s="778"/>
      <x:c r="H174" s="778"/>
      <x:c r="I174" s="778"/>
      <x:c r="J174" s="778"/>
      <x:c r="K174" s="778"/>
      <x:c r="L174" s="781" t="str">
        <x:f>IF(OR(H174="",K174="",K174=0),"",(H174-K174)/K174)</x:f>
      </x:c>
      <x:c r="M174" s="778"/>
      <x:c r="N174" s="778"/>
      <x:c r="O174" s="778"/>
      <x:c r="P174" s="778"/>
      <x:c r="Q174" s="778"/>
      <x:c r="R174" s="778"/>
      <x:c r="S174" s="778"/>
      <x:c r="T174" s="778"/>
      <x:c r="U174" s="778"/>
      <x:c r="V174" s="778"/>
      <x:c r="W174" s="26" t="str">
        <x:f>IF(AND(C174="",R174=""),"",IF(P174&lt;&gt;"Yes","INFO",IF(Q174="RED",IF(S174="","OPEN - RED",IF(AND(OR(S174="CHANGE ACCEPTED",S174="PARTIAL CHANGE"),V174&lt;&gt;"Yes"),"RED - NOT INTEGRATED","RESOLVED")),IF(Q174="AMBER",IF(S174="","OPEN - AMBER",IF(AND(OR(S174="CHANGE ACCEPTED",S174="PARTIAL CHANGE"),V174&lt;&gt;"Yes"),"AMBER - NOT INTEGRATED","RESOLVED")),IF(S174="","REVIEWED","RESOLVED")))))</x:f>
      </x:c>
      <x:c r="X174" s="778"/>
    </x:row>
    <x:row r="175" ht="28" customHeight="1">
      <x:c r="A175" s="26" t="str">
        <x:v>ERF-059</x:v>
      </x:c>
      <x:c r="B175" s="778"/>
      <x:c r="C175" s="778"/>
      <x:c r="D175" s="778"/>
      <x:c r="E175" s="778"/>
      <x:c r="F175" s="778"/>
      <x:c r="G175" s="778"/>
      <x:c r="H175" s="778"/>
      <x:c r="I175" s="778"/>
      <x:c r="J175" s="778"/>
      <x:c r="K175" s="778"/>
      <x:c r="L175" s="781" t="str">
        <x:f>IF(OR(H175="",K175="",K175=0),"",(H175-K175)/K175)</x:f>
      </x:c>
      <x:c r="M175" s="778"/>
      <x:c r="N175" s="778"/>
      <x:c r="O175" s="778"/>
      <x:c r="P175" s="778"/>
      <x:c r="Q175" s="778"/>
      <x:c r="R175" s="778"/>
      <x:c r="S175" s="778"/>
      <x:c r="T175" s="778"/>
      <x:c r="U175" s="778"/>
      <x:c r="V175" s="778"/>
      <x:c r="W175" s="26" t="str">
        <x:f>IF(AND(C175="",R175=""),"",IF(P175&lt;&gt;"Yes","INFO",IF(Q175="RED",IF(S175="","OPEN - RED",IF(AND(OR(S175="CHANGE ACCEPTED",S175="PARTIAL CHANGE"),V175&lt;&gt;"Yes"),"RED - NOT INTEGRATED","RESOLVED")),IF(Q175="AMBER",IF(S175="","OPEN - AMBER",IF(AND(OR(S175="CHANGE ACCEPTED",S175="PARTIAL CHANGE"),V175&lt;&gt;"Yes"),"AMBER - NOT INTEGRATED","RESOLVED")),IF(S175="","REVIEWED","RESOLVED")))))</x:f>
      </x:c>
      <x:c r="X175" s="778"/>
    </x:row>
    <x:row r="176" ht="28" customHeight="1">
      <x:c r="A176" s="26" t="str">
        <x:v>ERF-060</x:v>
      </x:c>
      <x:c r="B176" s="778"/>
      <x:c r="C176" s="778"/>
      <x:c r="D176" s="778"/>
      <x:c r="E176" s="778"/>
      <x:c r="F176" s="778"/>
      <x:c r="G176" s="778"/>
      <x:c r="H176" s="778"/>
      <x:c r="I176" s="778"/>
      <x:c r="J176" s="778"/>
      <x:c r="K176" s="778"/>
      <x:c r="L176" s="781" t="str">
        <x:f>IF(OR(H176="",K176="",K176=0),"",(H176-K176)/K176)</x:f>
      </x:c>
      <x:c r="M176" s="778"/>
      <x:c r="N176" s="778"/>
      <x:c r="O176" s="778"/>
      <x:c r="P176" s="778"/>
      <x:c r="Q176" s="778"/>
      <x:c r="R176" s="778"/>
      <x:c r="S176" s="778"/>
      <x:c r="T176" s="778"/>
      <x:c r="U176" s="778"/>
      <x:c r="V176" s="778"/>
      <x:c r="W176" s="26" t="str">
        <x:f>IF(AND(C176="",R176=""),"",IF(P176&lt;&gt;"Yes","INFO",IF(Q176="RED",IF(S176="","OPEN - RED",IF(AND(OR(S176="CHANGE ACCEPTED",S176="PARTIAL CHANGE"),V176&lt;&gt;"Yes"),"RED - NOT INTEGRATED","RESOLVED")),IF(Q176="AMBER",IF(S176="","OPEN - AMBER",IF(AND(OR(S176="CHANGE ACCEPTED",S176="PARTIAL CHANGE"),V176&lt;&gt;"Yes"),"AMBER - NOT INTEGRATED","RESOLVED")),IF(S176="","REVIEWED","RESOLVED")))))</x:f>
      </x:c>
      <x:c r="X176" s="778"/>
    </x:row>
    <x:row r="177" ht="28" customHeight="1">
      <x:c r="A177" s="26" t="str">
        <x:v>ERF-061</x:v>
      </x:c>
      <x:c r="B177" s="778"/>
      <x:c r="C177" s="778"/>
      <x:c r="D177" s="778"/>
      <x:c r="E177" s="778"/>
      <x:c r="F177" s="778"/>
      <x:c r="G177" s="778"/>
      <x:c r="H177" s="778"/>
      <x:c r="I177" s="778"/>
      <x:c r="J177" s="778"/>
      <x:c r="K177" s="778"/>
      <x:c r="L177" s="781" t="str">
        <x:f>IF(OR(H177="",K177="",K177=0),"",(H177-K177)/K177)</x:f>
      </x:c>
      <x:c r="M177" s="778"/>
      <x:c r="N177" s="778"/>
      <x:c r="O177" s="778"/>
      <x:c r="P177" s="778"/>
      <x:c r="Q177" s="778"/>
      <x:c r="R177" s="778"/>
      <x:c r="S177" s="778"/>
      <x:c r="T177" s="778"/>
      <x:c r="U177" s="778"/>
      <x:c r="V177" s="778"/>
      <x:c r="W177" s="26" t="str">
        <x:f>IF(AND(C177="",R177=""),"",IF(P177&lt;&gt;"Yes","INFO",IF(Q177="RED",IF(S177="","OPEN - RED",IF(AND(OR(S177="CHANGE ACCEPTED",S177="PARTIAL CHANGE"),V177&lt;&gt;"Yes"),"RED - NOT INTEGRATED","RESOLVED")),IF(Q177="AMBER",IF(S177="","OPEN - AMBER",IF(AND(OR(S177="CHANGE ACCEPTED",S177="PARTIAL CHANGE"),V177&lt;&gt;"Yes"),"AMBER - NOT INTEGRATED","RESOLVED")),IF(S177="","REVIEWED","RESOLVED")))))</x:f>
      </x:c>
      <x:c r="X177" s="778"/>
    </x:row>
    <x:row r="178" ht="28" customHeight="1">
      <x:c r="A178" s="26" t="str">
        <x:v>ERF-062</x:v>
      </x:c>
      <x:c r="B178" s="778"/>
      <x:c r="C178" s="778"/>
      <x:c r="D178" s="778"/>
      <x:c r="E178" s="778"/>
      <x:c r="F178" s="778"/>
      <x:c r="G178" s="778"/>
      <x:c r="H178" s="778"/>
      <x:c r="I178" s="778"/>
      <x:c r="J178" s="778"/>
      <x:c r="K178" s="778"/>
      <x:c r="L178" s="781" t="str">
        <x:f>IF(OR(H178="",K178="",K178=0),"",(H178-K178)/K178)</x:f>
      </x:c>
      <x:c r="M178" s="778"/>
      <x:c r="N178" s="778"/>
      <x:c r="O178" s="778"/>
      <x:c r="P178" s="778"/>
      <x:c r="Q178" s="778"/>
      <x:c r="R178" s="778"/>
      <x:c r="S178" s="778"/>
      <x:c r="T178" s="778"/>
      <x:c r="U178" s="778"/>
      <x:c r="V178" s="778"/>
      <x:c r="W178" s="26" t="str">
        <x:f>IF(AND(C178="",R178=""),"",IF(P178&lt;&gt;"Yes","INFO",IF(Q178="RED",IF(S178="","OPEN - RED",IF(AND(OR(S178="CHANGE ACCEPTED",S178="PARTIAL CHANGE"),V178&lt;&gt;"Yes"),"RED - NOT INTEGRATED","RESOLVED")),IF(Q178="AMBER",IF(S178="","OPEN - AMBER",IF(AND(OR(S178="CHANGE ACCEPTED",S178="PARTIAL CHANGE"),V178&lt;&gt;"Yes"),"AMBER - NOT INTEGRATED","RESOLVED")),IF(S178="","REVIEWED","RESOLVED")))))</x:f>
      </x:c>
      <x:c r="X178" s="778"/>
    </x:row>
    <x:row r="179" ht="28" customHeight="1">
      <x:c r="A179" s="26" t="str">
        <x:v>ERF-063</x:v>
      </x:c>
      <x:c r="B179" s="778"/>
      <x:c r="C179" s="778"/>
      <x:c r="D179" s="778"/>
      <x:c r="E179" s="778"/>
      <x:c r="F179" s="778"/>
      <x:c r="G179" s="778"/>
      <x:c r="H179" s="778"/>
      <x:c r="I179" s="778"/>
      <x:c r="J179" s="778"/>
      <x:c r="K179" s="778"/>
      <x:c r="L179" s="781" t="str">
        <x:f>IF(OR(H179="",K179="",K179=0),"",(H179-K179)/K179)</x:f>
      </x:c>
      <x:c r="M179" s="778"/>
      <x:c r="N179" s="778"/>
      <x:c r="O179" s="778"/>
      <x:c r="P179" s="778"/>
      <x:c r="Q179" s="778"/>
      <x:c r="R179" s="778"/>
      <x:c r="S179" s="778"/>
      <x:c r="T179" s="778"/>
      <x:c r="U179" s="778"/>
      <x:c r="V179" s="778"/>
      <x:c r="W179" s="26" t="str">
        <x:f>IF(AND(C179="",R179=""),"",IF(P179&lt;&gt;"Yes","INFO",IF(Q179="RED",IF(S179="","OPEN - RED",IF(AND(OR(S179="CHANGE ACCEPTED",S179="PARTIAL CHANGE"),V179&lt;&gt;"Yes"),"RED - NOT INTEGRATED","RESOLVED")),IF(Q179="AMBER",IF(S179="","OPEN - AMBER",IF(AND(OR(S179="CHANGE ACCEPTED",S179="PARTIAL CHANGE"),V179&lt;&gt;"Yes"),"AMBER - NOT INTEGRATED","RESOLVED")),IF(S179="","REVIEWED","RESOLVED")))))</x:f>
      </x:c>
      <x:c r="X179" s="778"/>
    </x:row>
    <x:row r="180" ht="28" customHeight="1">
      <x:c r="A180" s="26" t="str">
        <x:v>ERF-064</x:v>
      </x:c>
      <x:c r="B180" s="778"/>
      <x:c r="C180" s="778"/>
      <x:c r="D180" s="778"/>
      <x:c r="E180" s="778"/>
      <x:c r="F180" s="778"/>
      <x:c r="G180" s="778"/>
      <x:c r="H180" s="778"/>
      <x:c r="I180" s="778"/>
      <x:c r="J180" s="778"/>
      <x:c r="K180" s="778"/>
      <x:c r="L180" s="781" t="str">
        <x:f>IF(OR(H180="",K180="",K180=0),"",(H180-K180)/K180)</x:f>
      </x:c>
      <x:c r="M180" s="778"/>
      <x:c r="N180" s="778"/>
      <x:c r="O180" s="778"/>
      <x:c r="P180" s="778"/>
      <x:c r="Q180" s="778"/>
      <x:c r="R180" s="778"/>
      <x:c r="S180" s="778"/>
      <x:c r="T180" s="778"/>
      <x:c r="U180" s="778"/>
      <x:c r="V180" s="778"/>
      <x:c r="W180" s="26" t="str">
        <x:f>IF(AND(C180="",R180=""),"",IF(P180&lt;&gt;"Yes","INFO",IF(Q180="RED",IF(S180="","OPEN - RED",IF(AND(OR(S180="CHANGE ACCEPTED",S180="PARTIAL CHANGE"),V180&lt;&gt;"Yes"),"RED - NOT INTEGRATED","RESOLVED")),IF(Q180="AMBER",IF(S180="","OPEN - AMBER",IF(AND(OR(S180="CHANGE ACCEPTED",S180="PARTIAL CHANGE"),V180&lt;&gt;"Yes"),"AMBER - NOT INTEGRATED","RESOLVED")),IF(S180="","REVIEWED","RESOLVED")))))</x:f>
      </x:c>
      <x:c r="X180" s="778"/>
    </x:row>
    <x:row r="181" ht="28" customHeight="1">
      <x:c r="A181" s="26" t="str">
        <x:v>ERF-065</x:v>
      </x:c>
      <x:c r="B181" s="778"/>
      <x:c r="C181" s="778"/>
      <x:c r="D181" s="778"/>
      <x:c r="E181" s="778"/>
      <x:c r="F181" s="778"/>
      <x:c r="G181" s="778"/>
      <x:c r="H181" s="778"/>
      <x:c r="I181" s="778"/>
      <x:c r="J181" s="778"/>
      <x:c r="K181" s="778"/>
      <x:c r="L181" s="781" t="str">
        <x:f>IF(OR(H181="",K181="",K181=0),"",(H181-K181)/K181)</x:f>
      </x:c>
      <x:c r="M181" s="778"/>
      <x:c r="N181" s="778"/>
      <x:c r="O181" s="778"/>
      <x:c r="P181" s="778"/>
      <x:c r="Q181" s="778"/>
      <x:c r="R181" s="778"/>
      <x:c r="S181" s="778"/>
      <x:c r="T181" s="778"/>
      <x:c r="U181" s="778"/>
      <x:c r="V181" s="778"/>
      <x:c r="W181" s="26" t="str">
        <x:f>IF(AND(C181="",R181=""),"",IF(P181&lt;&gt;"Yes","INFO",IF(Q181="RED",IF(S181="","OPEN - RED",IF(AND(OR(S181="CHANGE ACCEPTED",S181="PARTIAL CHANGE"),V181&lt;&gt;"Yes"),"RED - NOT INTEGRATED","RESOLVED")),IF(Q181="AMBER",IF(S181="","OPEN - AMBER",IF(AND(OR(S181="CHANGE ACCEPTED",S181="PARTIAL CHANGE"),V181&lt;&gt;"Yes"),"AMBER - NOT INTEGRATED","RESOLVED")),IF(S181="","REVIEWED","RESOLVED")))))</x:f>
      </x:c>
      <x:c r="X181" s="778"/>
    </x:row>
    <x:row r="182" ht="28" customHeight="1">
      <x:c r="A182" s="26" t="str">
        <x:v>ERF-066</x:v>
      </x:c>
      <x:c r="B182" s="778"/>
      <x:c r="C182" s="778"/>
      <x:c r="D182" s="778"/>
      <x:c r="E182" s="778"/>
      <x:c r="F182" s="778"/>
      <x:c r="G182" s="778"/>
      <x:c r="H182" s="778"/>
      <x:c r="I182" s="778"/>
      <x:c r="J182" s="778"/>
      <x:c r="K182" s="778"/>
      <x:c r="L182" s="781" t="str">
        <x:f>IF(OR(H182="",K182="",K182=0),"",(H182-K182)/K182)</x:f>
      </x:c>
      <x:c r="M182" s="778"/>
      <x:c r="N182" s="778"/>
      <x:c r="O182" s="778"/>
      <x:c r="P182" s="778"/>
      <x:c r="Q182" s="778"/>
      <x:c r="R182" s="778"/>
      <x:c r="S182" s="778"/>
      <x:c r="T182" s="778"/>
      <x:c r="U182" s="778"/>
      <x:c r="V182" s="778"/>
      <x:c r="W182" s="26" t="str">
        <x:f>IF(AND(C182="",R182=""),"",IF(P182&lt;&gt;"Yes","INFO",IF(Q182="RED",IF(S182="","OPEN - RED",IF(AND(OR(S182="CHANGE ACCEPTED",S182="PARTIAL CHANGE"),V182&lt;&gt;"Yes"),"RED - NOT INTEGRATED","RESOLVED")),IF(Q182="AMBER",IF(S182="","OPEN - AMBER",IF(AND(OR(S182="CHANGE ACCEPTED",S182="PARTIAL CHANGE"),V182&lt;&gt;"Yes"),"AMBER - NOT INTEGRATED","RESOLVED")),IF(S182="","REVIEWED","RESOLVED")))))</x:f>
      </x:c>
      <x:c r="X182" s="778"/>
    </x:row>
    <x:row r="183" ht="28" customHeight="1">
      <x:c r="A183" s="26" t="str">
        <x:v>ERF-067</x:v>
      </x:c>
      <x:c r="B183" s="778"/>
      <x:c r="C183" s="778"/>
      <x:c r="D183" s="778"/>
      <x:c r="E183" s="778"/>
      <x:c r="F183" s="778"/>
      <x:c r="G183" s="778"/>
      <x:c r="H183" s="778"/>
      <x:c r="I183" s="778"/>
      <x:c r="J183" s="778"/>
      <x:c r="K183" s="778"/>
      <x:c r="L183" s="781" t="str">
        <x:f>IF(OR(H183="",K183="",K183=0),"",(H183-K183)/K183)</x:f>
      </x:c>
      <x:c r="M183" s="778"/>
      <x:c r="N183" s="778"/>
      <x:c r="O183" s="778"/>
      <x:c r="P183" s="778"/>
      <x:c r="Q183" s="778"/>
      <x:c r="R183" s="778"/>
      <x:c r="S183" s="778"/>
      <x:c r="T183" s="778"/>
      <x:c r="U183" s="778"/>
      <x:c r="V183" s="778"/>
      <x:c r="W183" s="26" t="str">
        <x:f>IF(AND(C183="",R183=""),"",IF(P183&lt;&gt;"Yes","INFO",IF(Q183="RED",IF(S183="","OPEN - RED",IF(AND(OR(S183="CHANGE ACCEPTED",S183="PARTIAL CHANGE"),V183&lt;&gt;"Yes"),"RED - NOT INTEGRATED","RESOLVED")),IF(Q183="AMBER",IF(S183="","OPEN - AMBER",IF(AND(OR(S183="CHANGE ACCEPTED",S183="PARTIAL CHANGE"),V183&lt;&gt;"Yes"),"AMBER - NOT INTEGRATED","RESOLVED")),IF(S183="","REVIEWED","RESOLVED")))))</x:f>
      </x:c>
      <x:c r="X183" s="778"/>
    </x:row>
    <x:row r="184" ht="28" customHeight="1">
      <x:c r="A184" s="26" t="str">
        <x:v>ERF-068</x:v>
      </x:c>
      <x:c r="B184" s="778"/>
      <x:c r="C184" s="778"/>
      <x:c r="D184" s="778"/>
      <x:c r="E184" s="778"/>
      <x:c r="F184" s="778"/>
      <x:c r="G184" s="778"/>
      <x:c r="H184" s="778"/>
      <x:c r="I184" s="778"/>
      <x:c r="J184" s="778"/>
      <x:c r="K184" s="778"/>
      <x:c r="L184" s="781" t="str">
        <x:f>IF(OR(H184="",K184="",K184=0),"",(H184-K184)/K184)</x:f>
      </x:c>
      <x:c r="M184" s="778"/>
      <x:c r="N184" s="778"/>
      <x:c r="O184" s="778"/>
      <x:c r="P184" s="778"/>
      <x:c r="Q184" s="778"/>
      <x:c r="R184" s="778"/>
      <x:c r="S184" s="778"/>
      <x:c r="T184" s="778"/>
      <x:c r="U184" s="778"/>
      <x:c r="V184" s="778"/>
      <x:c r="W184" s="26" t="str">
        <x:f>IF(AND(C184="",R184=""),"",IF(P184&lt;&gt;"Yes","INFO",IF(Q184="RED",IF(S184="","OPEN - RED",IF(AND(OR(S184="CHANGE ACCEPTED",S184="PARTIAL CHANGE"),V184&lt;&gt;"Yes"),"RED - NOT INTEGRATED","RESOLVED")),IF(Q184="AMBER",IF(S184="","OPEN - AMBER",IF(AND(OR(S184="CHANGE ACCEPTED",S184="PARTIAL CHANGE"),V184&lt;&gt;"Yes"),"AMBER - NOT INTEGRATED","RESOLVED")),IF(S184="","REVIEWED","RESOLVED")))))</x:f>
      </x:c>
      <x:c r="X184" s="778"/>
    </x:row>
    <x:row r="185" ht="28" customHeight="1">
      <x:c r="A185" s="26" t="str">
        <x:v>ERF-069</x:v>
      </x:c>
      <x:c r="B185" s="778"/>
      <x:c r="C185" s="778"/>
      <x:c r="D185" s="778"/>
      <x:c r="E185" s="778"/>
      <x:c r="F185" s="778"/>
      <x:c r="G185" s="778"/>
      <x:c r="H185" s="778"/>
      <x:c r="I185" s="778"/>
      <x:c r="J185" s="778"/>
      <x:c r="K185" s="778"/>
      <x:c r="L185" s="781" t="str">
        <x:f>IF(OR(H185="",K185="",K185=0),"",(H185-K185)/K185)</x:f>
      </x:c>
      <x:c r="M185" s="778"/>
      <x:c r="N185" s="778"/>
      <x:c r="O185" s="778"/>
      <x:c r="P185" s="778"/>
      <x:c r="Q185" s="778"/>
      <x:c r="R185" s="778"/>
      <x:c r="S185" s="778"/>
      <x:c r="T185" s="778"/>
      <x:c r="U185" s="778"/>
      <x:c r="V185" s="778"/>
      <x:c r="W185" s="26" t="str">
        <x:f>IF(AND(C185="",R185=""),"",IF(P185&lt;&gt;"Yes","INFO",IF(Q185="RED",IF(S185="","OPEN - RED",IF(AND(OR(S185="CHANGE ACCEPTED",S185="PARTIAL CHANGE"),V185&lt;&gt;"Yes"),"RED - NOT INTEGRATED","RESOLVED")),IF(Q185="AMBER",IF(S185="","OPEN - AMBER",IF(AND(OR(S185="CHANGE ACCEPTED",S185="PARTIAL CHANGE"),V185&lt;&gt;"Yes"),"AMBER - NOT INTEGRATED","RESOLVED")),IF(S185="","REVIEWED","RESOLVED")))))</x:f>
      </x:c>
      <x:c r="X185" s="778"/>
    </x:row>
    <x:row r="186" ht="28" customHeight="1">
      <x:c r="A186" s="26" t="str">
        <x:v>ERF-070</x:v>
      </x:c>
      <x:c r="B186" s="778"/>
      <x:c r="C186" s="778"/>
      <x:c r="D186" s="778"/>
      <x:c r="E186" s="778"/>
      <x:c r="F186" s="778"/>
      <x:c r="G186" s="778"/>
      <x:c r="H186" s="778"/>
      <x:c r="I186" s="778"/>
      <x:c r="J186" s="778"/>
      <x:c r="K186" s="778"/>
      <x:c r="L186" s="781" t="str">
        <x:f>IF(OR(H186="",K186="",K186=0),"",(H186-K186)/K186)</x:f>
      </x:c>
      <x:c r="M186" s="778"/>
      <x:c r="N186" s="778"/>
      <x:c r="O186" s="778"/>
      <x:c r="P186" s="778"/>
      <x:c r="Q186" s="778"/>
      <x:c r="R186" s="778"/>
      <x:c r="S186" s="778"/>
      <x:c r="T186" s="778"/>
      <x:c r="U186" s="778"/>
      <x:c r="V186" s="778"/>
      <x:c r="W186" s="26" t="str">
        <x:f>IF(AND(C186="",R186=""),"",IF(P186&lt;&gt;"Yes","INFO",IF(Q186="RED",IF(S186="","OPEN - RED",IF(AND(OR(S186="CHANGE ACCEPTED",S186="PARTIAL CHANGE"),V186&lt;&gt;"Yes"),"RED - NOT INTEGRATED","RESOLVED")),IF(Q186="AMBER",IF(S186="","OPEN - AMBER",IF(AND(OR(S186="CHANGE ACCEPTED",S186="PARTIAL CHANGE"),V186&lt;&gt;"Yes"),"AMBER - NOT INTEGRATED","RESOLVED")),IF(S186="","REVIEWED","RESOLVED")))))</x:f>
      </x:c>
      <x:c r="X186" s="778"/>
    </x:row>
    <x:row r="187" ht="28" customHeight="1">
      <x:c r="A187" s="26" t="str">
        <x:v>ERF-071</x:v>
      </x:c>
      <x:c r="B187" s="778"/>
      <x:c r="C187" s="778"/>
      <x:c r="D187" s="778"/>
      <x:c r="E187" s="778"/>
      <x:c r="F187" s="778"/>
      <x:c r="G187" s="778"/>
      <x:c r="H187" s="778"/>
      <x:c r="I187" s="778"/>
      <x:c r="J187" s="778"/>
      <x:c r="K187" s="778"/>
      <x:c r="L187" s="781" t="str">
        <x:f>IF(OR(H187="",K187="",K187=0),"",(H187-K187)/K187)</x:f>
      </x:c>
      <x:c r="M187" s="778"/>
      <x:c r="N187" s="778"/>
      <x:c r="O187" s="778"/>
      <x:c r="P187" s="778"/>
      <x:c r="Q187" s="778"/>
      <x:c r="R187" s="778"/>
      <x:c r="S187" s="778"/>
      <x:c r="T187" s="778"/>
      <x:c r="U187" s="778"/>
      <x:c r="V187" s="778"/>
      <x:c r="W187" s="26" t="str">
        <x:f>IF(AND(C187="",R187=""),"",IF(P187&lt;&gt;"Yes","INFO",IF(Q187="RED",IF(S187="","OPEN - RED",IF(AND(OR(S187="CHANGE ACCEPTED",S187="PARTIAL CHANGE"),V187&lt;&gt;"Yes"),"RED - NOT INTEGRATED","RESOLVED")),IF(Q187="AMBER",IF(S187="","OPEN - AMBER",IF(AND(OR(S187="CHANGE ACCEPTED",S187="PARTIAL CHANGE"),V187&lt;&gt;"Yes"),"AMBER - NOT INTEGRATED","RESOLVED")),IF(S187="","REVIEWED","RESOLVED")))))</x:f>
      </x:c>
      <x:c r="X187" s="778"/>
    </x:row>
    <x:row r="188" ht="28" customHeight="1">
      <x:c r="A188" s="26" t="str">
        <x:v>ERF-072</x:v>
      </x:c>
      <x:c r="B188" s="778"/>
      <x:c r="C188" s="778"/>
      <x:c r="D188" s="778"/>
      <x:c r="E188" s="778"/>
      <x:c r="F188" s="778"/>
      <x:c r="G188" s="778"/>
      <x:c r="H188" s="778"/>
      <x:c r="I188" s="778"/>
      <x:c r="J188" s="778"/>
      <x:c r="K188" s="778"/>
      <x:c r="L188" s="781" t="str">
        <x:f>IF(OR(H188="",K188="",K188=0),"",(H188-K188)/K188)</x:f>
      </x:c>
      <x:c r="M188" s="778"/>
      <x:c r="N188" s="778"/>
      <x:c r="O188" s="778"/>
      <x:c r="P188" s="778"/>
      <x:c r="Q188" s="778"/>
      <x:c r="R188" s="778"/>
      <x:c r="S188" s="778"/>
      <x:c r="T188" s="778"/>
      <x:c r="U188" s="778"/>
      <x:c r="V188" s="778"/>
      <x:c r="W188" s="26" t="str">
        <x:f>IF(AND(C188="",R188=""),"",IF(P188&lt;&gt;"Yes","INFO",IF(Q188="RED",IF(S188="","OPEN - RED",IF(AND(OR(S188="CHANGE ACCEPTED",S188="PARTIAL CHANGE"),V188&lt;&gt;"Yes"),"RED - NOT INTEGRATED","RESOLVED")),IF(Q188="AMBER",IF(S188="","OPEN - AMBER",IF(AND(OR(S188="CHANGE ACCEPTED",S188="PARTIAL CHANGE"),V188&lt;&gt;"Yes"),"AMBER - NOT INTEGRATED","RESOLVED")),IF(S188="","REVIEWED","RESOLVED")))))</x:f>
      </x:c>
      <x:c r="X188" s="778"/>
    </x:row>
    <x:row r="189" ht="28" customHeight="1">
      <x:c r="A189" s="26" t="str">
        <x:v>ERF-073</x:v>
      </x:c>
      <x:c r="B189" s="778"/>
      <x:c r="C189" s="778"/>
      <x:c r="D189" s="778"/>
      <x:c r="E189" s="778"/>
      <x:c r="F189" s="778"/>
      <x:c r="G189" s="778"/>
      <x:c r="H189" s="778"/>
      <x:c r="I189" s="778"/>
      <x:c r="J189" s="778"/>
      <x:c r="K189" s="778"/>
      <x:c r="L189" s="781" t="str">
        <x:f>IF(OR(H189="",K189="",K189=0),"",(H189-K189)/K189)</x:f>
      </x:c>
      <x:c r="M189" s="778"/>
      <x:c r="N189" s="778"/>
      <x:c r="O189" s="778"/>
      <x:c r="P189" s="778"/>
      <x:c r="Q189" s="778"/>
      <x:c r="R189" s="778"/>
      <x:c r="S189" s="778"/>
      <x:c r="T189" s="778"/>
      <x:c r="U189" s="778"/>
      <x:c r="V189" s="778"/>
      <x:c r="W189" s="26" t="str">
        <x:f>IF(AND(C189="",R189=""),"",IF(P189&lt;&gt;"Yes","INFO",IF(Q189="RED",IF(S189="","OPEN - RED",IF(AND(OR(S189="CHANGE ACCEPTED",S189="PARTIAL CHANGE"),V189&lt;&gt;"Yes"),"RED - NOT INTEGRATED","RESOLVED")),IF(Q189="AMBER",IF(S189="","OPEN - AMBER",IF(AND(OR(S189="CHANGE ACCEPTED",S189="PARTIAL CHANGE"),V189&lt;&gt;"Yes"),"AMBER - NOT INTEGRATED","RESOLVED")),IF(S189="","REVIEWED","RESOLVED")))))</x:f>
      </x:c>
      <x:c r="X189" s="778"/>
    </x:row>
    <x:row r="190" ht="28" customHeight="1">
      <x:c r="A190" s="26" t="str">
        <x:v>ERF-074</x:v>
      </x:c>
      <x:c r="B190" s="778"/>
      <x:c r="C190" s="778"/>
      <x:c r="D190" s="778"/>
      <x:c r="E190" s="778"/>
      <x:c r="F190" s="778"/>
      <x:c r="G190" s="778"/>
      <x:c r="H190" s="778"/>
      <x:c r="I190" s="778"/>
      <x:c r="J190" s="778"/>
      <x:c r="K190" s="778"/>
      <x:c r="L190" s="781" t="str">
        <x:f>IF(OR(H190="",K190="",K190=0),"",(H190-K190)/K190)</x:f>
      </x:c>
      <x:c r="M190" s="778"/>
      <x:c r="N190" s="778"/>
      <x:c r="O190" s="778"/>
      <x:c r="P190" s="778"/>
      <x:c r="Q190" s="778"/>
      <x:c r="R190" s="778"/>
      <x:c r="S190" s="778"/>
      <x:c r="T190" s="778"/>
      <x:c r="U190" s="778"/>
      <x:c r="V190" s="778"/>
      <x:c r="W190" s="26" t="str">
        <x:f>IF(AND(C190="",R190=""),"",IF(P190&lt;&gt;"Yes","INFO",IF(Q190="RED",IF(S190="","OPEN - RED",IF(AND(OR(S190="CHANGE ACCEPTED",S190="PARTIAL CHANGE"),V190&lt;&gt;"Yes"),"RED - NOT INTEGRATED","RESOLVED")),IF(Q190="AMBER",IF(S190="","OPEN - AMBER",IF(AND(OR(S190="CHANGE ACCEPTED",S190="PARTIAL CHANGE"),V190&lt;&gt;"Yes"),"AMBER - NOT INTEGRATED","RESOLVED")),IF(S190="","REVIEWED","RESOLVED")))))</x:f>
      </x:c>
      <x:c r="X190" s="778"/>
    </x:row>
    <x:row r="191" ht="28" customHeight="1">
      <x:c r="A191" s="26" t="str">
        <x:v>ERF-075</x:v>
      </x:c>
      <x:c r="B191" s="778"/>
      <x:c r="C191" s="778"/>
      <x:c r="D191" s="778"/>
      <x:c r="E191" s="778"/>
      <x:c r="F191" s="778"/>
      <x:c r="G191" s="778"/>
      <x:c r="H191" s="778"/>
      <x:c r="I191" s="778"/>
      <x:c r="J191" s="778"/>
      <x:c r="K191" s="778"/>
      <x:c r="L191" s="781" t="str">
        <x:f>IF(OR(H191="",K191="",K191=0),"",(H191-K191)/K191)</x:f>
      </x:c>
      <x:c r="M191" s="778"/>
      <x:c r="N191" s="778"/>
      <x:c r="O191" s="778"/>
      <x:c r="P191" s="778"/>
      <x:c r="Q191" s="778"/>
      <x:c r="R191" s="778"/>
      <x:c r="S191" s="778"/>
      <x:c r="T191" s="778"/>
      <x:c r="U191" s="778"/>
      <x:c r="V191" s="778"/>
      <x:c r="W191" s="26" t="str">
        <x:f>IF(AND(C191="",R191=""),"",IF(P191&lt;&gt;"Yes","INFO",IF(Q191="RED",IF(S191="","OPEN - RED",IF(AND(OR(S191="CHANGE ACCEPTED",S191="PARTIAL CHANGE"),V191&lt;&gt;"Yes"),"RED - NOT INTEGRATED","RESOLVED")),IF(Q191="AMBER",IF(S191="","OPEN - AMBER",IF(AND(OR(S191="CHANGE ACCEPTED",S191="PARTIAL CHANGE"),V191&lt;&gt;"Yes"),"AMBER - NOT INTEGRATED","RESOLVED")),IF(S191="","REVIEWED","RESOLVED")))))</x:f>
      </x:c>
      <x:c r="X191" s="778"/>
    </x:row>
    <x:row r="192" ht="28" customHeight="1">
      <x:c r="A192" s="26" t="str">
        <x:v>ERF-076</x:v>
      </x:c>
      <x:c r="B192" s="778"/>
      <x:c r="C192" s="778"/>
      <x:c r="D192" s="778"/>
      <x:c r="E192" s="778"/>
      <x:c r="F192" s="778"/>
      <x:c r="G192" s="778"/>
      <x:c r="H192" s="778"/>
      <x:c r="I192" s="778"/>
      <x:c r="J192" s="778"/>
      <x:c r="K192" s="778"/>
      <x:c r="L192" s="781" t="str">
        <x:f>IF(OR(H192="",K192="",K192=0),"",(H192-K192)/K192)</x:f>
      </x:c>
      <x:c r="M192" s="778"/>
      <x:c r="N192" s="778"/>
      <x:c r="O192" s="778"/>
      <x:c r="P192" s="778"/>
      <x:c r="Q192" s="778"/>
      <x:c r="R192" s="778"/>
      <x:c r="S192" s="778"/>
      <x:c r="T192" s="778"/>
      <x:c r="U192" s="778"/>
      <x:c r="V192" s="778"/>
      <x:c r="W192" s="26" t="str">
        <x:f>IF(AND(C192="",R192=""),"",IF(P192&lt;&gt;"Yes","INFO",IF(Q192="RED",IF(S192="","OPEN - RED",IF(AND(OR(S192="CHANGE ACCEPTED",S192="PARTIAL CHANGE"),V192&lt;&gt;"Yes"),"RED - NOT INTEGRATED","RESOLVED")),IF(Q192="AMBER",IF(S192="","OPEN - AMBER",IF(AND(OR(S192="CHANGE ACCEPTED",S192="PARTIAL CHANGE"),V192&lt;&gt;"Yes"),"AMBER - NOT INTEGRATED","RESOLVED")),IF(S192="","REVIEWED","RESOLVED")))))</x:f>
      </x:c>
      <x:c r="X192" s="778"/>
    </x:row>
    <x:row r="193" ht="28" customHeight="1">
      <x:c r="A193" s="26" t="str">
        <x:v>ERF-077</x:v>
      </x:c>
      <x:c r="B193" s="778"/>
      <x:c r="C193" s="778"/>
      <x:c r="D193" s="778"/>
      <x:c r="E193" s="778"/>
      <x:c r="F193" s="778"/>
      <x:c r="G193" s="778"/>
      <x:c r="H193" s="778"/>
      <x:c r="I193" s="778"/>
      <x:c r="J193" s="778"/>
      <x:c r="K193" s="778"/>
      <x:c r="L193" s="781" t="str">
        <x:f>IF(OR(H193="",K193="",K193=0),"",(H193-K193)/K193)</x:f>
      </x:c>
      <x:c r="M193" s="778"/>
      <x:c r="N193" s="778"/>
      <x:c r="O193" s="778"/>
      <x:c r="P193" s="778"/>
      <x:c r="Q193" s="778"/>
      <x:c r="R193" s="778"/>
      <x:c r="S193" s="778"/>
      <x:c r="T193" s="778"/>
      <x:c r="U193" s="778"/>
      <x:c r="V193" s="778"/>
      <x:c r="W193" s="26" t="str">
        <x:f>IF(AND(C193="",R193=""),"",IF(P193&lt;&gt;"Yes","INFO",IF(Q193="RED",IF(S193="","OPEN - RED",IF(AND(OR(S193="CHANGE ACCEPTED",S193="PARTIAL CHANGE"),V193&lt;&gt;"Yes"),"RED - NOT INTEGRATED","RESOLVED")),IF(Q193="AMBER",IF(S193="","OPEN - AMBER",IF(AND(OR(S193="CHANGE ACCEPTED",S193="PARTIAL CHANGE"),V193&lt;&gt;"Yes"),"AMBER - NOT INTEGRATED","RESOLVED")),IF(S193="","REVIEWED","RESOLVED")))))</x:f>
      </x:c>
      <x:c r="X193" s="778"/>
    </x:row>
    <x:row r="194" ht="28" customHeight="1">
      <x:c r="A194" s="26" t="str">
        <x:v>ERF-078</x:v>
      </x:c>
      <x:c r="B194" s="778"/>
      <x:c r="C194" s="778"/>
      <x:c r="D194" s="778"/>
      <x:c r="E194" s="778"/>
      <x:c r="F194" s="778"/>
      <x:c r="G194" s="778"/>
      <x:c r="H194" s="778"/>
      <x:c r="I194" s="778"/>
      <x:c r="J194" s="778"/>
      <x:c r="K194" s="778"/>
      <x:c r="L194" s="781" t="str">
        <x:f>IF(OR(H194="",K194="",K194=0),"",(H194-K194)/K194)</x:f>
      </x:c>
      <x:c r="M194" s="778"/>
      <x:c r="N194" s="778"/>
      <x:c r="O194" s="778"/>
      <x:c r="P194" s="778"/>
      <x:c r="Q194" s="778"/>
      <x:c r="R194" s="778"/>
      <x:c r="S194" s="778"/>
      <x:c r="T194" s="778"/>
      <x:c r="U194" s="778"/>
      <x:c r="V194" s="778"/>
      <x:c r="W194" s="26" t="str">
        <x:f>IF(AND(C194="",R194=""),"",IF(P194&lt;&gt;"Yes","INFO",IF(Q194="RED",IF(S194="","OPEN - RED",IF(AND(OR(S194="CHANGE ACCEPTED",S194="PARTIAL CHANGE"),V194&lt;&gt;"Yes"),"RED - NOT INTEGRATED","RESOLVED")),IF(Q194="AMBER",IF(S194="","OPEN - AMBER",IF(AND(OR(S194="CHANGE ACCEPTED",S194="PARTIAL CHANGE"),V194&lt;&gt;"Yes"),"AMBER - NOT INTEGRATED","RESOLVED")),IF(S194="","REVIEWED","RESOLVED")))))</x:f>
      </x:c>
      <x:c r="X194" s="778"/>
    </x:row>
    <x:row r="195" ht="28" customHeight="1">
      <x:c r="A195" s="26" t="str">
        <x:v>ERF-079</x:v>
      </x:c>
      <x:c r="B195" s="778"/>
      <x:c r="C195" s="778"/>
      <x:c r="D195" s="778"/>
      <x:c r="E195" s="778"/>
      <x:c r="F195" s="778"/>
      <x:c r="G195" s="778"/>
      <x:c r="H195" s="778"/>
      <x:c r="I195" s="778"/>
      <x:c r="J195" s="778"/>
      <x:c r="K195" s="778"/>
      <x:c r="L195" s="781" t="str">
        <x:f>IF(OR(H195="",K195="",K195=0),"",(H195-K195)/K195)</x:f>
      </x:c>
      <x:c r="M195" s="778"/>
      <x:c r="N195" s="778"/>
      <x:c r="O195" s="778"/>
      <x:c r="P195" s="778"/>
      <x:c r="Q195" s="778"/>
      <x:c r="R195" s="778"/>
      <x:c r="S195" s="778"/>
      <x:c r="T195" s="778"/>
      <x:c r="U195" s="778"/>
      <x:c r="V195" s="778"/>
      <x:c r="W195" s="26" t="str">
        <x:f>IF(AND(C195="",R195=""),"",IF(P195&lt;&gt;"Yes","INFO",IF(Q195="RED",IF(S195="","OPEN - RED",IF(AND(OR(S195="CHANGE ACCEPTED",S195="PARTIAL CHANGE"),V195&lt;&gt;"Yes"),"RED - NOT INTEGRATED","RESOLVED")),IF(Q195="AMBER",IF(S195="","OPEN - AMBER",IF(AND(OR(S195="CHANGE ACCEPTED",S195="PARTIAL CHANGE"),V195&lt;&gt;"Yes"),"AMBER - NOT INTEGRATED","RESOLVED")),IF(S195="","REVIEWED","RESOLVED")))))</x:f>
      </x:c>
      <x:c r="X195" s="778"/>
    </x:row>
    <x:row r="196" ht="28" customHeight="1">
      <x:c r="A196" s="26" t="str">
        <x:v>ERF-080</x:v>
      </x:c>
      <x:c r="B196" s="778"/>
      <x:c r="C196" s="778"/>
      <x:c r="D196" s="778"/>
      <x:c r="E196" s="778"/>
      <x:c r="F196" s="778"/>
      <x:c r="G196" s="778"/>
      <x:c r="H196" s="778"/>
      <x:c r="I196" s="778"/>
      <x:c r="J196" s="778"/>
      <x:c r="K196" s="778"/>
      <x:c r="L196" s="781" t="str">
        <x:f>IF(OR(H196="",K196="",K196=0),"",(H196-K196)/K196)</x:f>
      </x:c>
      <x:c r="M196" s="778"/>
      <x:c r="N196" s="778"/>
      <x:c r="O196" s="778"/>
      <x:c r="P196" s="778"/>
      <x:c r="Q196" s="778"/>
      <x:c r="R196" s="778"/>
      <x:c r="S196" s="778"/>
      <x:c r="T196" s="778"/>
      <x:c r="U196" s="778"/>
      <x:c r="V196" s="778"/>
      <x:c r="W196" s="26" t="str">
        <x:f>IF(AND(C196="",R196=""),"",IF(P196&lt;&gt;"Yes","INFO",IF(Q196="RED",IF(S196="","OPEN - RED",IF(AND(OR(S196="CHANGE ACCEPTED",S196="PARTIAL CHANGE"),V196&lt;&gt;"Yes"),"RED - NOT INTEGRATED","RESOLVED")),IF(Q196="AMBER",IF(S196="","OPEN - AMBER",IF(AND(OR(S196="CHANGE ACCEPTED",S196="PARTIAL CHANGE"),V196&lt;&gt;"Yes"),"AMBER - NOT INTEGRATED","RESOLVED")),IF(S196="","REVIEWED","RESOLVED")))))</x:f>
      </x:c>
      <x:c r="X196" s="778"/>
    </x:row>
    <x:row r="197" ht="28" customHeight="1">
      <x:c r="A197" s="26" t="str">
        <x:v>ERF-081</x:v>
      </x:c>
      <x:c r="B197" s="778"/>
      <x:c r="C197" s="778"/>
      <x:c r="D197" s="778"/>
      <x:c r="E197" s="778"/>
      <x:c r="F197" s="778"/>
      <x:c r="G197" s="778"/>
      <x:c r="H197" s="778"/>
      <x:c r="I197" s="778"/>
      <x:c r="J197" s="778"/>
      <x:c r="K197" s="778"/>
      <x:c r="L197" s="781" t="str">
        <x:f>IF(OR(H197="",K197="",K197=0),"",(H197-K197)/K197)</x:f>
      </x:c>
      <x:c r="M197" s="778"/>
      <x:c r="N197" s="778"/>
      <x:c r="O197" s="778"/>
      <x:c r="P197" s="778"/>
      <x:c r="Q197" s="778"/>
      <x:c r="R197" s="778"/>
      <x:c r="S197" s="778"/>
      <x:c r="T197" s="778"/>
      <x:c r="U197" s="778"/>
      <x:c r="V197" s="778"/>
      <x:c r="W197" s="26" t="str">
        <x:f>IF(AND(C197="",R197=""),"",IF(P197&lt;&gt;"Yes","INFO",IF(Q197="RED",IF(S197="","OPEN - RED",IF(AND(OR(S197="CHANGE ACCEPTED",S197="PARTIAL CHANGE"),V197&lt;&gt;"Yes"),"RED - NOT INTEGRATED","RESOLVED")),IF(Q197="AMBER",IF(S197="","OPEN - AMBER",IF(AND(OR(S197="CHANGE ACCEPTED",S197="PARTIAL CHANGE"),V197&lt;&gt;"Yes"),"AMBER - NOT INTEGRATED","RESOLVED")),IF(S197="","REVIEWED","RESOLVED")))))</x:f>
      </x:c>
      <x:c r="X197" s="778"/>
    </x:row>
    <x:row r="198" ht="28" customHeight="1">
      <x:c r="A198" s="26" t="str">
        <x:v>ERF-082</x:v>
      </x:c>
      <x:c r="B198" s="778"/>
      <x:c r="C198" s="778"/>
      <x:c r="D198" s="778"/>
      <x:c r="E198" s="778"/>
      <x:c r="F198" s="778"/>
      <x:c r="G198" s="778"/>
      <x:c r="H198" s="778"/>
      <x:c r="I198" s="778"/>
      <x:c r="J198" s="778"/>
      <x:c r="K198" s="778"/>
      <x:c r="L198" s="781" t="str">
        <x:f>IF(OR(H198="",K198="",K198=0),"",(H198-K198)/K198)</x:f>
      </x:c>
      <x:c r="M198" s="778"/>
      <x:c r="N198" s="778"/>
      <x:c r="O198" s="778"/>
      <x:c r="P198" s="778"/>
      <x:c r="Q198" s="778"/>
      <x:c r="R198" s="778"/>
      <x:c r="S198" s="778"/>
      <x:c r="T198" s="778"/>
      <x:c r="U198" s="778"/>
      <x:c r="V198" s="778"/>
      <x:c r="W198" s="26" t="str">
        <x:f>IF(AND(C198="",R198=""),"",IF(P198&lt;&gt;"Yes","INFO",IF(Q198="RED",IF(S198="","OPEN - RED",IF(AND(OR(S198="CHANGE ACCEPTED",S198="PARTIAL CHANGE"),V198&lt;&gt;"Yes"),"RED - NOT INTEGRATED","RESOLVED")),IF(Q198="AMBER",IF(S198="","OPEN - AMBER",IF(AND(OR(S198="CHANGE ACCEPTED",S198="PARTIAL CHANGE"),V198&lt;&gt;"Yes"),"AMBER - NOT INTEGRATED","RESOLVED")),IF(S198="","REVIEWED","RESOLVED")))))</x:f>
      </x:c>
      <x:c r="X198" s="778"/>
    </x:row>
    <x:row r="199" ht="28" customHeight="1">
      <x:c r="A199" s="26" t="str">
        <x:v>ERF-083</x:v>
      </x:c>
      <x:c r="B199" s="778"/>
      <x:c r="C199" s="778"/>
      <x:c r="D199" s="778"/>
      <x:c r="E199" s="778"/>
      <x:c r="F199" s="778"/>
      <x:c r="G199" s="778"/>
      <x:c r="H199" s="778"/>
      <x:c r="I199" s="778"/>
      <x:c r="J199" s="778"/>
      <x:c r="K199" s="778"/>
      <x:c r="L199" s="781" t="str">
        <x:f>IF(OR(H199="",K199="",K199=0),"",(H199-K199)/K199)</x:f>
      </x:c>
      <x:c r="M199" s="778"/>
      <x:c r="N199" s="778"/>
      <x:c r="O199" s="778"/>
      <x:c r="P199" s="778"/>
      <x:c r="Q199" s="778"/>
      <x:c r="R199" s="778"/>
      <x:c r="S199" s="778"/>
      <x:c r="T199" s="778"/>
      <x:c r="U199" s="778"/>
      <x:c r="V199" s="778"/>
      <x:c r="W199" s="26" t="str">
        <x:f>IF(AND(C199="",R199=""),"",IF(P199&lt;&gt;"Yes","INFO",IF(Q199="RED",IF(S199="","OPEN - RED",IF(AND(OR(S199="CHANGE ACCEPTED",S199="PARTIAL CHANGE"),V199&lt;&gt;"Yes"),"RED - NOT INTEGRATED","RESOLVED")),IF(Q199="AMBER",IF(S199="","OPEN - AMBER",IF(AND(OR(S199="CHANGE ACCEPTED",S199="PARTIAL CHANGE"),V199&lt;&gt;"Yes"),"AMBER - NOT INTEGRATED","RESOLVED")),IF(S199="","REVIEWED","RESOLVED")))))</x:f>
      </x:c>
      <x:c r="X199" s="778"/>
    </x:row>
    <x:row r="200" ht="28" customHeight="1">
      <x:c r="A200" s="26" t="str">
        <x:v>ERF-084</x:v>
      </x:c>
      <x:c r="B200" s="778"/>
      <x:c r="C200" s="778"/>
      <x:c r="D200" s="778"/>
      <x:c r="E200" s="778"/>
      <x:c r="F200" s="778"/>
      <x:c r="G200" s="778"/>
      <x:c r="H200" s="778"/>
      <x:c r="I200" s="778"/>
      <x:c r="J200" s="778"/>
      <x:c r="K200" s="778"/>
      <x:c r="L200" s="781" t="str">
        <x:f>IF(OR(H200="",K200="",K200=0),"",(H200-K200)/K200)</x:f>
      </x:c>
      <x:c r="M200" s="778"/>
      <x:c r="N200" s="778"/>
      <x:c r="O200" s="778"/>
      <x:c r="P200" s="778"/>
      <x:c r="Q200" s="778"/>
      <x:c r="R200" s="778"/>
      <x:c r="S200" s="778"/>
      <x:c r="T200" s="778"/>
      <x:c r="U200" s="778"/>
      <x:c r="V200" s="778"/>
      <x:c r="W200" s="26" t="str">
        <x:f>IF(AND(C200="",R200=""),"",IF(P200&lt;&gt;"Yes","INFO",IF(Q200="RED",IF(S200="","OPEN - RED",IF(AND(OR(S200="CHANGE ACCEPTED",S200="PARTIAL CHANGE"),V200&lt;&gt;"Yes"),"RED - NOT INTEGRATED","RESOLVED")),IF(Q200="AMBER",IF(S200="","OPEN - AMBER",IF(AND(OR(S200="CHANGE ACCEPTED",S200="PARTIAL CHANGE"),V200&lt;&gt;"Yes"),"AMBER - NOT INTEGRATED","RESOLVED")),IF(S200="","REVIEWED","RESOLVED")))))</x:f>
      </x:c>
      <x:c r="X200" s="778"/>
    </x:row>
    <x:row r="201" ht="28" customHeight="1">
      <x:c r="A201" s="26" t="str">
        <x:v>ERF-085</x:v>
      </x:c>
      <x:c r="B201" s="778"/>
      <x:c r="C201" s="778"/>
      <x:c r="D201" s="778"/>
      <x:c r="E201" s="778"/>
      <x:c r="F201" s="778"/>
      <x:c r="G201" s="778"/>
      <x:c r="H201" s="778"/>
      <x:c r="I201" s="778"/>
      <x:c r="J201" s="778"/>
      <x:c r="K201" s="778"/>
      <x:c r="L201" s="781" t="str">
        <x:f>IF(OR(H201="",K201="",K201=0),"",(H201-K201)/K201)</x:f>
      </x:c>
      <x:c r="M201" s="778"/>
      <x:c r="N201" s="778"/>
      <x:c r="O201" s="778"/>
      <x:c r="P201" s="778"/>
      <x:c r="Q201" s="778"/>
      <x:c r="R201" s="778"/>
      <x:c r="S201" s="778"/>
      <x:c r="T201" s="778"/>
      <x:c r="U201" s="778"/>
      <x:c r="V201" s="778"/>
      <x:c r="W201" s="26" t="str">
        <x:f>IF(AND(C201="",R201=""),"",IF(P201&lt;&gt;"Yes","INFO",IF(Q201="RED",IF(S201="","OPEN - RED",IF(AND(OR(S201="CHANGE ACCEPTED",S201="PARTIAL CHANGE"),V201&lt;&gt;"Yes"),"RED - NOT INTEGRATED","RESOLVED")),IF(Q201="AMBER",IF(S201="","OPEN - AMBER",IF(AND(OR(S201="CHANGE ACCEPTED",S201="PARTIAL CHANGE"),V201&lt;&gt;"Yes"),"AMBER - NOT INTEGRATED","RESOLVED")),IF(S201="","REVIEWED","RESOLVED")))))</x:f>
      </x:c>
      <x:c r="X201" s="778"/>
    </x:row>
    <x:row r="202" ht="28" customHeight="1">
      <x:c r="A202" s="26" t="str">
        <x:v>ERF-086</x:v>
      </x:c>
      <x:c r="B202" s="778"/>
      <x:c r="C202" s="778"/>
      <x:c r="D202" s="778"/>
      <x:c r="E202" s="778"/>
      <x:c r="F202" s="778"/>
      <x:c r="G202" s="778"/>
      <x:c r="H202" s="778"/>
      <x:c r="I202" s="778"/>
      <x:c r="J202" s="778"/>
      <x:c r="K202" s="778"/>
      <x:c r="L202" s="781" t="str">
        <x:f>IF(OR(H202="",K202="",K202=0),"",(H202-K202)/K202)</x:f>
      </x:c>
      <x:c r="M202" s="778"/>
      <x:c r="N202" s="778"/>
      <x:c r="O202" s="778"/>
      <x:c r="P202" s="778"/>
      <x:c r="Q202" s="778"/>
      <x:c r="R202" s="778"/>
      <x:c r="S202" s="778"/>
      <x:c r="T202" s="778"/>
      <x:c r="U202" s="778"/>
      <x:c r="V202" s="778"/>
      <x:c r="W202" s="26" t="str">
        <x:f>IF(AND(C202="",R202=""),"",IF(P202&lt;&gt;"Yes","INFO",IF(Q202="RED",IF(S202="","OPEN - RED",IF(AND(OR(S202="CHANGE ACCEPTED",S202="PARTIAL CHANGE"),V202&lt;&gt;"Yes"),"RED - NOT INTEGRATED","RESOLVED")),IF(Q202="AMBER",IF(S202="","OPEN - AMBER",IF(AND(OR(S202="CHANGE ACCEPTED",S202="PARTIAL CHANGE"),V202&lt;&gt;"Yes"),"AMBER - NOT INTEGRATED","RESOLVED")),IF(S202="","REVIEWED","RESOLVED")))))</x:f>
      </x:c>
      <x:c r="X202" s="778"/>
    </x:row>
    <x:row r="203" ht="28" customHeight="1">
      <x:c r="A203" s="26" t="str">
        <x:v>ERF-087</x:v>
      </x:c>
      <x:c r="B203" s="778"/>
      <x:c r="C203" s="778"/>
      <x:c r="D203" s="778"/>
      <x:c r="E203" s="778"/>
      <x:c r="F203" s="778"/>
      <x:c r="G203" s="778"/>
      <x:c r="H203" s="778"/>
      <x:c r="I203" s="778"/>
      <x:c r="J203" s="778"/>
      <x:c r="K203" s="778"/>
      <x:c r="L203" s="781" t="str">
        <x:f>IF(OR(H203="",K203="",K203=0),"",(H203-K203)/K203)</x:f>
      </x:c>
      <x:c r="M203" s="778"/>
      <x:c r="N203" s="778"/>
      <x:c r="O203" s="778"/>
      <x:c r="P203" s="778"/>
      <x:c r="Q203" s="778"/>
      <x:c r="R203" s="778"/>
      <x:c r="S203" s="778"/>
      <x:c r="T203" s="778"/>
      <x:c r="U203" s="778"/>
      <x:c r="V203" s="778"/>
      <x:c r="W203" s="26" t="str">
        <x:f>IF(AND(C203="",R203=""),"",IF(P203&lt;&gt;"Yes","INFO",IF(Q203="RED",IF(S203="","OPEN - RED",IF(AND(OR(S203="CHANGE ACCEPTED",S203="PARTIAL CHANGE"),V203&lt;&gt;"Yes"),"RED - NOT INTEGRATED","RESOLVED")),IF(Q203="AMBER",IF(S203="","OPEN - AMBER",IF(AND(OR(S203="CHANGE ACCEPTED",S203="PARTIAL CHANGE"),V203&lt;&gt;"Yes"),"AMBER - NOT INTEGRATED","RESOLVED")),IF(S203="","REVIEWED","RESOLVED")))))</x:f>
      </x:c>
      <x:c r="X203" s="778"/>
    </x:row>
    <x:row r="204" ht="28" customHeight="1">
      <x:c r="A204" s="26" t="str">
        <x:v>ERF-088</x:v>
      </x:c>
      <x:c r="B204" s="778"/>
      <x:c r="C204" s="778"/>
      <x:c r="D204" s="778"/>
      <x:c r="E204" s="778"/>
      <x:c r="F204" s="778"/>
      <x:c r="G204" s="778"/>
      <x:c r="H204" s="778"/>
      <x:c r="I204" s="778"/>
      <x:c r="J204" s="778"/>
      <x:c r="K204" s="778"/>
      <x:c r="L204" s="781" t="str">
        <x:f>IF(OR(H204="",K204="",K204=0),"",(H204-K204)/K204)</x:f>
      </x:c>
      <x:c r="M204" s="778"/>
      <x:c r="N204" s="778"/>
      <x:c r="O204" s="778"/>
      <x:c r="P204" s="778"/>
      <x:c r="Q204" s="778"/>
      <x:c r="R204" s="778"/>
      <x:c r="S204" s="778"/>
      <x:c r="T204" s="778"/>
      <x:c r="U204" s="778"/>
      <x:c r="V204" s="778"/>
      <x:c r="W204" s="26" t="str">
        <x:f>IF(AND(C204="",R204=""),"",IF(P204&lt;&gt;"Yes","INFO",IF(Q204="RED",IF(S204="","OPEN - RED",IF(AND(OR(S204="CHANGE ACCEPTED",S204="PARTIAL CHANGE"),V204&lt;&gt;"Yes"),"RED - NOT INTEGRATED","RESOLVED")),IF(Q204="AMBER",IF(S204="","OPEN - AMBER",IF(AND(OR(S204="CHANGE ACCEPTED",S204="PARTIAL CHANGE"),V204&lt;&gt;"Yes"),"AMBER - NOT INTEGRATED","RESOLVED")),IF(S204="","REVIEWED","RESOLVED")))))</x:f>
      </x:c>
      <x:c r="X204" s="778"/>
    </x:row>
    <x:row r="205" ht="28" customHeight="1">
      <x:c r="A205" s="26" t="str">
        <x:v>ERF-089</x:v>
      </x:c>
      <x:c r="B205" s="778"/>
      <x:c r="C205" s="778"/>
      <x:c r="D205" s="778"/>
      <x:c r="E205" s="778"/>
      <x:c r="F205" s="778"/>
      <x:c r="G205" s="778"/>
      <x:c r="H205" s="778"/>
      <x:c r="I205" s="778"/>
      <x:c r="J205" s="778"/>
      <x:c r="K205" s="778"/>
      <x:c r="L205" s="781" t="str">
        <x:f>IF(OR(H205="",K205="",K205=0),"",(H205-K205)/K205)</x:f>
      </x:c>
      <x:c r="M205" s="778"/>
      <x:c r="N205" s="778"/>
      <x:c r="O205" s="778"/>
      <x:c r="P205" s="778"/>
      <x:c r="Q205" s="778"/>
      <x:c r="R205" s="778"/>
      <x:c r="S205" s="778"/>
      <x:c r="T205" s="778"/>
      <x:c r="U205" s="778"/>
      <x:c r="V205" s="778"/>
      <x:c r="W205" s="26" t="str">
        <x:f>IF(AND(C205="",R205=""),"",IF(P205&lt;&gt;"Yes","INFO",IF(Q205="RED",IF(S205="","OPEN - RED",IF(AND(OR(S205="CHANGE ACCEPTED",S205="PARTIAL CHANGE"),V205&lt;&gt;"Yes"),"RED - NOT INTEGRATED","RESOLVED")),IF(Q205="AMBER",IF(S205="","OPEN - AMBER",IF(AND(OR(S205="CHANGE ACCEPTED",S205="PARTIAL CHANGE"),V205&lt;&gt;"Yes"),"AMBER - NOT INTEGRATED","RESOLVED")),IF(S205="","REVIEWED","RESOLVED")))))</x:f>
      </x:c>
      <x:c r="X205" s="778"/>
    </x:row>
    <x:row r="206" ht="28" customHeight="1">
      <x:c r="A206" s="26" t="str">
        <x:v>ERF-090</x:v>
      </x:c>
      <x:c r="B206" s="778"/>
      <x:c r="C206" s="778"/>
      <x:c r="D206" s="778"/>
      <x:c r="E206" s="778"/>
      <x:c r="F206" s="778"/>
      <x:c r="G206" s="778"/>
      <x:c r="H206" s="778"/>
      <x:c r="I206" s="778"/>
      <x:c r="J206" s="778"/>
      <x:c r="K206" s="778"/>
      <x:c r="L206" s="781" t="str">
        <x:f>IF(OR(H206="",K206="",K206=0),"",(H206-K206)/K206)</x:f>
      </x:c>
      <x:c r="M206" s="778"/>
      <x:c r="N206" s="778"/>
      <x:c r="O206" s="778"/>
      <x:c r="P206" s="778"/>
      <x:c r="Q206" s="778"/>
      <x:c r="R206" s="778"/>
      <x:c r="S206" s="778"/>
      <x:c r="T206" s="778"/>
      <x:c r="U206" s="778"/>
      <x:c r="V206" s="778"/>
      <x:c r="W206" s="26" t="str">
        <x:f>IF(AND(C206="",R206=""),"",IF(P206&lt;&gt;"Yes","INFO",IF(Q206="RED",IF(S206="","OPEN - RED",IF(AND(OR(S206="CHANGE ACCEPTED",S206="PARTIAL CHANGE"),V206&lt;&gt;"Yes"),"RED - NOT INTEGRATED","RESOLVED")),IF(Q206="AMBER",IF(S206="","OPEN - AMBER",IF(AND(OR(S206="CHANGE ACCEPTED",S206="PARTIAL CHANGE"),V206&lt;&gt;"Yes"),"AMBER - NOT INTEGRATED","RESOLVED")),IF(S206="","REVIEWED","RESOLVED")))))</x:f>
      </x:c>
      <x:c r="X206" s="778"/>
    </x:row>
    <x:row r="207" ht="28" customHeight="1">
      <x:c r="A207" s="26" t="str">
        <x:v>ERF-091</x:v>
      </x:c>
      <x:c r="B207" s="778"/>
      <x:c r="C207" s="778"/>
      <x:c r="D207" s="778"/>
      <x:c r="E207" s="778"/>
      <x:c r="F207" s="778"/>
      <x:c r="G207" s="778"/>
      <x:c r="H207" s="778"/>
      <x:c r="I207" s="778"/>
      <x:c r="J207" s="778"/>
      <x:c r="K207" s="778"/>
      <x:c r="L207" s="781" t="str">
        <x:f>IF(OR(H207="",K207="",K207=0),"",(H207-K207)/K207)</x:f>
      </x:c>
      <x:c r="M207" s="778"/>
      <x:c r="N207" s="778"/>
      <x:c r="O207" s="778"/>
      <x:c r="P207" s="778"/>
      <x:c r="Q207" s="778"/>
      <x:c r="R207" s="778"/>
      <x:c r="S207" s="778"/>
      <x:c r="T207" s="778"/>
      <x:c r="U207" s="778"/>
      <x:c r="V207" s="778"/>
      <x:c r="W207" s="26" t="str">
        <x:f>IF(AND(C207="",R207=""),"",IF(P207&lt;&gt;"Yes","INFO",IF(Q207="RED",IF(S207="","OPEN - RED",IF(AND(OR(S207="CHANGE ACCEPTED",S207="PARTIAL CHANGE"),V207&lt;&gt;"Yes"),"RED - NOT INTEGRATED","RESOLVED")),IF(Q207="AMBER",IF(S207="","OPEN - AMBER",IF(AND(OR(S207="CHANGE ACCEPTED",S207="PARTIAL CHANGE"),V207&lt;&gt;"Yes"),"AMBER - NOT INTEGRATED","RESOLVED")),IF(S207="","REVIEWED","RESOLVED")))))</x:f>
      </x:c>
      <x:c r="X207" s="778"/>
    </x:row>
    <x:row r="208" ht="28" customHeight="1">
      <x:c r="A208" s="26" t="str">
        <x:v>ERF-092</x:v>
      </x:c>
      <x:c r="B208" s="778"/>
      <x:c r="C208" s="778"/>
      <x:c r="D208" s="778"/>
      <x:c r="E208" s="778"/>
      <x:c r="F208" s="778"/>
      <x:c r="G208" s="778"/>
      <x:c r="H208" s="778"/>
      <x:c r="I208" s="778"/>
      <x:c r="J208" s="778"/>
      <x:c r="K208" s="778"/>
      <x:c r="L208" s="781" t="str">
        <x:f>IF(OR(H208="",K208="",K208=0),"",(H208-K208)/K208)</x:f>
      </x:c>
      <x:c r="M208" s="778"/>
      <x:c r="N208" s="778"/>
      <x:c r="O208" s="778"/>
      <x:c r="P208" s="778"/>
      <x:c r="Q208" s="778"/>
      <x:c r="R208" s="778"/>
      <x:c r="S208" s="778"/>
      <x:c r="T208" s="778"/>
      <x:c r="U208" s="778"/>
      <x:c r="V208" s="778"/>
      <x:c r="W208" s="26" t="str">
        <x:f>IF(AND(C208="",R208=""),"",IF(P208&lt;&gt;"Yes","INFO",IF(Q208="RED",IF(S208="","OPEN - RED",IF(AND(OR(S208="CHANGE ACCEPTED",S208="PARTIAL CHANGE"),V208&lt;&gt;"Yes"),"RED - NOT INTEGRATED","RESOLVED")),IF(Q208="AMBER",IF(S208="","OPEN - AMBER",IF(AND(OR(S208="CHANGE ACCEPTED",S208="PARTIAL CHANGE"),V208&lt;&gt;"Yes"),"AMBER - NOT INTEGRATED","RESOLVED")),IF(S208="","REVIEWED","RESOLVED")))))</x:f>
      </x:c>
      <x:c r="X208" s="778"/>
    </x:row>
    <x:row r="209" ht="28" customHeight="1">
      <x:c r="A209" s="26" t="str">
        <x:v>ERF-093</x:v>
      </x:c>
      <x:c r="B209" s="778"/>
      <x:c r="C209" s="778"/>
      <x:c r="D209" s="778"/>
      <x:c r="E209" s="778"/>
      <x:c r="F209" s="778"/>
      <x:c r="G209" s="778"/>
      <x:c r="H209" s="778"/>
      <x:c r="I209" s="778"/>
      <x:c r="J209" s="778"/>
      <x:c r="K209" s="778"/>
      <x:c r="L209" s="781" t="str">
        <x:f>IF(OR(H209="",K209="",K209=0),"",(H209-K209)/K209)</x:f>
      </x:c>
      <x:c r="M209" s="778"/>
      <x:c r="N209" s="778"/>
      <x:c r="O209" s="778"/>
      <x:c r="P209" s="778"/>
      <x:c r="Q209" s="778"/>
      <x:c r="R209" s="778"/>
      <x:c r="S209" s="778"/>
      <x:c r="T209" s="778"/>
      <x:c r="U209" s="778"/>
      <x:c r="V209" s="778"/>
      <x:c r="W209" s="26" t="str">
        <x:f>IF(AND(C209="",R209=""),"",IF(P209&lt;&gt;"Yes","INFO",IF(Q209="RED",IF(S209="","OPEN - RED",IF(AND(OR(S209="CHANGE ACCEPTED",S209="PARTIAL CHANGE"),V209&lt;&gt;"Yes"),"RED - NOT INTEGRATED","RESOLVED")),IF(Q209="AMBER",IF(S209="","OPEN - AMBER",IF(AND(OR(S209="CHANGE ACCEPTED",S209="PARTIAL CHANGE"),V209&lt;&gt;"Yes"),"AMBER - NOT INTEGRATED","RESOLVED")),IF(S209="","REVIEWED","RESOLVED")))))</x:f>
      </x:c>
      <x:c r="X209" s="778"/>
    </x:row>
    <x:row r="210" ht="28" customHeight="1">
      <x:c r="A210" s="26" t="str">
        <x:v>ERF-094</x:v>
      </x:c>
      <x:c r="B210" s="778"/>
      <x:c r="C210" s="778"/>
      <x:c r="D210" s="778"/>
      <x:c r="E210" s="778"/>
      <x:c r="F210" s="778"/>
      <x:c r="G210" s="778"/>
      <x:c r="H210" s="778"/>
      <x:c r="I210" s="778"/>
      <x:c r="J210" s="778"/>
      <x:c r="K210" s="778"/>
      <x:c r="L210" s="781" t="str">
        <x:f>IF(OR(H210="",K210="",K210=0),"",(H210-K210)/K210)</x:f>
      </x:c>
      <x:c r="M210" s="778"/>
      <x:c r="N210" s="778"/>
      <x:c r="O210" s="778"/>
      <x:c r="P210" s="778"/>
      <x:c r="Q210" s="778"/>
      <x:c r="R210" s="778"/>
      <x:c r="S210" s="778"/>
      <x:c r="T210" s="778"/>
      <x:c r="U210" s="778"/>
      <x:c r="V210" s="778"/>
      <x:c r="W210" s="26" t="str">
        <x:f>IF(AND(C210="",R210=""),"",IF(P210&lt;&gt;"Yes","INFO",IF(Q210="RED",IF(S210="","OPEN - RED",IF(AND(OR(S210="CHANGE ACCEPTED",S210="PARTIAL CHANGE"),V210&lt;&gt;"Yes"),"RED - NOT INTEGRATED","RESOLVED")),IF(Q210="AMBER",IF(S210="","OPEN - AMBER",IF(AND(OR(S210="CHANGE ACCEPTED",S210="PARTIAL CHANGE"),V210&lt;&gt;"Yes"),"AMBER - NOT INTEGRATED","RESOLVED")),IF(S210="","REVIEWED","RESOLVED")))))</x:f>
      </x:c>
      <x:c r="X210" s="778"/>
    </x:row>
    <x:row r="211" ht="28" customHeight="1">
      <x:c r="A211" s="26" t="str">
        <x:v>ERF-095</x:v>
      </x:c>
      <x:c r="B211" s="778"/>
      <x:c r="C211" s="778"/>
      <x:c r="D211" s="778"/>
      <x:c r="E211" s="778"/>
      <x:c r="F211" s="778"/>
      <x:c r="G211" s="778"/>
      <x:c r="H211" s="778"/>
      <x:c r="I211" s="778"/>
      <x:c r="J211" s="778"/>
      <x:c r="K211" s="778"/>
      <x:c r="L211" s="781" t="str">
        <x:f>IF(OR(H211="",K211="",K211=0),"",(H211-K211)/K211)</x:f>
      </x:c>
      <x:c r="M211" s="778"/>
      <x:c r="N211" s="778"/>
      <x:c r="O211" s="778"/>
      <x:c r="P211" s="778"/>
      <x:c r="Q211" s="778"/>
      <x:c r="R211" s="778"/>
      <x:c r="S211" s="778"/>
      <x:c r="T211" s="778"/>
      <x:c r="U211" s="778"/>
      <x:c r="V211" s="778"/>
      <x:c r="W211" s="26" t="str">
        <x:f>IF(AND(C211="",R211=""),"",IF(P211&lt;&gt;"Yes","INFO",IF(Q211="RED",IF(S211="","OPEN - RED",IF(AND(OR(S211="CHANGE ACCEPTED",S211="PARTIAL CHANGE"),V211&lt;&gt;"Yes"),"RED - NOT INTEGRATED","RESOLVED")),IF(Q211="AMBER",IF(S211="","OPEN - AMBER",IF(AND(OR(S211="CHANGE ACCEPTED",S211="PARTIAL CHANGE"),V211&lt;&gt;"Yes"),"AMBER - NOT INTEGRATED","RESOLVED")),IF(S211="","REVIEWED","RESOLVED")))))</x:f>
      </x:c>
      <x:c r="X211" s="778"/>
    </x:row>
    <x:row r="212" ht="28" customHeight="1">
      <x:c r="A212" s="26" t="str">
        <x:v>ERF-096</x:v>
      </x:c>
      <x:c r="B212" s="778"/>
      <x:c r="C212" s="778"/>
      <x:c r="D212" s="778"/>
      <x:c r="E212" s="778"/>
      <x:c r="F212" s="778"/>
      <x:c r="G212" s="778"/>
      <x:c r="H212" s="778"/>
      <x:c r="I212" s="778"/>
      <x:c r="J212" s="778"/>
      <x:c r="K212" s="778"/>
      <x:c r="L212" s="781" t="str">
        <x:f>IF(OR(H212="",K212="",K212=0),"",(H212-K212)/K212)</x:f>
      </x:c>
      <x:c r="M212" s="778"/>
      <x:c r="N212" s="778"/>
      <x:c r="O212" s="778"/>
      <x:c r="P212" s="778"/>
      <x:c r="Q212" s="778"/>
      <x:c r="R212" s="778"/>
      <x:c r="S212" s="778"/>
      <x:c r="T212" s="778"/>
      <x:c r="U212" s="778"/>
      <x:c r="V212" s="778"/>
      <x:c r="W212" s="26" t="str">
        <x:f>IF(AND(C212="",R212=""),"",IF(P212&lt;&gt;"Yes","INFO",IF(Q212="RED",IF(S212="","OPEN - RED",IF(AND(OR(S212="CHANGE ACCEPTED",S212="PARTIAL CHANGE"),V212&lt;&gt;"Yes"),"RED - NOT INTEGRATED","RESOLVED")),IF(Q212="AMBER",IF(S212="","OPEN - AMBER",IF(AND(OR(S212="CHANGE ACCEPTED",S212="PARTIAL CHANGE"),V212&lt;&gt;"Yes"),"AMBER - NOT INTEGRATED","RESOLVED")),IF(S212="","REVIEWED","RESOLVED")))))</x:f>
      </x:c>
      <x:c r="X212" s="778"/>
    </x:row>
    <x:row r="213" ht="28" customHeight="1">
      <x:c r="A213" s="26" t="str">
        <x:v>ERF-097</x:v>
      </x:c>
      <x:c r="B213" s="778"/>
      <x:c r="C213" s="778"/>
      <x:c r="D213" s="778"/>
      <x:c r="E213" s="778"/>
      <x:c r="F213" s="778"/>
      <x:c r="G213" s="778"/>
      <x:c r="H213" s="778"/>
      <x:c r="I213" s="778"/>
      <x:c r="J213" s="778"/>
      <x:c r="K213" s="778"/>
      <x:c r="L213" s="781" t="str">
        <x:f>IF(OR(H213="",K213="",K213=0),"",(H213-K213)/K213)</x:f>
      </x:c>
      <x:c r="M213" s="778"/>
      <x:c r="N213" s="778"/>
      <x:c r="O213" s="778"/>
      <x:c r="P213" s="778"/>
      <x:c r="Q213" s="778"/>
      <x:c r="R213" s="778"/>
      <x:c r="S213" s="778"/>
      <x:c r="T213" s="778"/>
      <x:c r="U213" s="778"/>
      <x:c r="V213" s="778"/>
      <x:c r="W213" s="26" t="str">
        <x:f>IF(AND(C213="",R213=""),"",IF(P213&lt;&gt;"Yes","INFO",IF(Q213="RED",IF(S213="","OPEN - RED",IF(AND(OR(S213="CHANGE ACCEPTED",S213="PARTIAL CHANGE"),V213&lt;&gt;"Yes"),"RED - NOT INTEGRATED","RESOLVED")),IF(Q213="AMBER",IF(S213="","OPEN - AMBER",IF(AND(OR(S213="CHANGE ACCEPTED",S213="PARTIAL CHANGE"),V213&lt;&gt;"Yes"),"AMBER - NOT INTEGRATED","RESOLVED")),IF(S213="","REVIEWED","RESOLVED")))))</x:f>
      </x:c>
      <x:c r="X213" s="778"/>
    </x:row>
    <x:row r="214" ht="28" customHeight="1">
      <x:c r="A214" s="26" t="str">
        <x:v>ERF-098</x:v>
      </x:c>
      <x:c r="B214" s="778"/>
      <x:c r="C214" s="778"/>
      <x:c r="D214" s="778"/>
      <x:c r="E214" s="778"/>
      <x:c r="F214" s="778"/>
      <x:c r="G214" s="778"/>
      <x:c r="H214" s="778"/>
      <x:c r="I214" s="778"/>
      <x:c r="J214" s="778"/>
      <x:c r="K214" s="778"/>
      <x:c r="L214" s="781" t="str">
        <x:f>IF(OR(H214="",K214="",K214=0),"",(H214-K214)/K214)</x:f>
      </x:c>
      <x:c r="M214" s="778"/>
      <x:c r="N214" s="778"/>
      <x:c r="O214" s="778"/>
      <x:c r="P214" s="778"/>
      <x:c r="Q214" s="778"/>
      <x:c r="R214" s="778"/>
      <x:c r="S214" s="778"/>
      <x:c r="T214" s="778"/>
      <x:c r="U214" s="778"/>
      <x:c r="V214" s="778"/>
      <x:c r="W214" s="26" t="str">
        <x:f>IF(AND(C214="",R214=""),"",IF(P214&lt;&gt;"Yes","INFO",IF(Q214="RED",IF(S214="","OPEN - RED",IF(AND(OR(S214="CHANGE ACCEPTED",S214="PARTIAL CHANGE"),V214&lt;&gt;"Yes"),"RED - NOT INTEGRATED","RESOLVED")),IF(Q214="AMBER",IF(S214="","OPEN - AMBER",IF(AND(OR(S214="CHANGE ACCEPTED",S214="PARTIAL CHANGE"),V214&lt;&gt;"Yes"),"AMBER - NOT INTEGRATED","RESOLVED")),IF(S214="","REVIEWED","RESOLVED")))))</x:f>
      </x:c>
      <x:c r="X214" s="778"/>
    </x:row>
    <x:row r="215" ht="28" customHeight="1">
      <x:c r="A215" s="26" t="str">
        <x:v>ERF-099</x:v>
      </x:c>
      <x:c r="B215" s="778"/>
      <x:c r="C215" s="778"/>
      <x:c r="D215" s="778"/>
      <x:c r="E215" s="778"/>
      <x:c r="F215" s="778"/>
      <x:c r="G215" s="778"/>
      <x:c r="H215" s="778"/>
      <x:c r="I215" s="778"/>
      <x:c r="J215" s="778"/>
      <x:c r="K215" s="778"/>
      <x:c r="L215" s="781" t="str">
        <x:f>IF(OR(H215="",K215="",K215=0),"",(H215-K215)/K215)</x:f>
      </x:c>
      <x:c r="M215" s="778"/>
      <x:c r="N215" s="778"/>
      <x:c r="O215" s="778"/>
      <x:c r="P215" s="778"/>
      <x:c r="Q215" s="778"/>
      <x:c r="R215" s="778"/>
      <x:c r="S215" s="778"/>
      <x:c r="T215" s="778"/>
      <x:c r="U215" s="778"/>
      <x:c r="V215" s="778"/>
      <x:c r="W215" s="26" t="str">
        <x:f>IF(AND(C215="",R215=""),"",IF(P215&lt;&gt;"Yes","INFO",IF(Q215="RED",IF(S215="","OPEN - RED",IF(AND(OR(S215="CHANGE ACCEPTED",S215="PARTIAL CHANGE"),V215&lt;&gt;"Yes"),"RED - NOT INTEGRATED","RESOLVED")),IF(Q215="AMBER",IF(S215="","OPEN - AMBER",IF(AND(OR(S215="CHANGE ACCEPTED",S215="PARTIAL CHANGE"),V215&lt;&gt;"Yes"),"AMBER - NOT INTEGRATED","RESOLVED")),IF(S215="","REVIEWED","RESOLVED")))))</x:f>
      </x:c>
      <x:c r="X215" s="778"/>
    </x:row>
    <x:row r="216" ht="28" customHeight="1">
      <x:c r="A216" s="26" t="str">
        <x:v>ERF-100</x:v>
      </x:c>
      <x:c r="B216" s="778"/>
      <x:c r="C216" s="778"/>
      <x:c r="D216" s="778"/>
      <x:c r="E216" s="778"/>
      <x:c r="F216" s="778"/>
      <x:c r="G216" s="778"/>
      <x:c r="H216" s="778"/>
      <x:c r="I216" s="778"/>
      <x:c r="J216" s="778"/>
      <x:c r="K216" s="778"/>
      <x:c r="L216" s="781" t="str">
        <x:f>IF(OR(H216="",K216="",K216=0),"",(H216-K216)/K216)</x:f>
      </x:c>
      <x:c r="M216" s="778"/>
      <x:c r="N216" s="778"/>
      <x:c r="O216" s="778"/>
      <x:c r="P216" s="778"/>
      <x:c r="Q216" s="778"/>
      <x:c r="R216" s="778"/>
      <x:c r="S216" s="778"/>
      <x:c r="T216" s="778"/>
      <x:c r="U216" s="778"/>
      <x:c r="V216" s="778"/>
      <x:c r="W216" s="26" t="str">
        <x:f>IF(AND(C216="",R216=""),"",IF(P216&lt;&gt;"Yes","INFO",IF(Q216="RED",IF(S216="","OPEN - RED",IF(AND(OR(S216="CHANGE ACCEPTED",S216="PARTIAL CHANGE"),V216&lt;&gt;"Yes"),"RED - NOT INTEGRATED","RESOLVED")),IF(Q216="AMBER",IF(S216="","OPEN - AMBER",IF(AND(OR(S216="CHANGE ACCEPTED",S216="PARTIAL CHANGE"),V216&lt;&gt;"Yes"),"AMBER - NOT INTEGRATED","RESOLVED")),IF(S216="","REVIEWED","RESOLVED")))))</x:f>
      </x:c>
      <x:c r="X216" s="778"/>
    </x:row>
  </x:sheetData>
  <x:mergeCells>
    <x:mergeCell ref="A1:X1"/>
    <x:mergeCell ref="A2:X2"/>
    <x:mergeCell ref="A3:X3"/>
    <x:mergeCell ref="A5:B5"/>
    <x:mergeCell ref="D5:J5"/>
    <x:mergeCell ref="E6:J6"/>
    <x:mergeCell ref="E7:J7"/>
    <x:mergeCell ref="E8:J8"/>
    <x:mergeCell ref="E9:J9"/>
    <x:mergeCell ref="E10:J10"/>
    <x:mergeCell ref="E11:J11"/>
    <x:mergeCell ref="E12:J12"/>
    <x:mergeCell ref="E13:J13"/>
    <x:mergeCell ref="A36:Q36"/>
    <x:mergeCell ref="A113:X113"/>
    <x:mergeCell ref="A114:X114"/>
    <x:mergeCell ref="A22:L22"/>
    <x:mergeCell ref="A34:L34"/>
    <x:mergeCell ref="A35:L35"/>
  </x:mergeCells>
  <x:conditionalFormatting sqref="K24:K33">
    <x:cfRule type="expression" dxfId="18" priority="1">
      <x:formula>LEFT(K24,8)="COMPLETE"</x:formula>
    </x:cfRule>
    <x:cfRule type="expression" dxfId="19" priority="2">
      <x:formula>LEFT(K24,3)="RED"</x:formula>
    </x:cfRule>
    <x:cfRule type="expression" dxfId="20" priority="3">
      <x:formula>LEFT(K24,4)="HOLD"</x:formula>
    </x:cfRule>
  </x:conditionalFormatting>
  <x:conditionalFormatting sqref="G40:O110">
    <x:cfRule type="expression" dxfId="21" priority="4">
      <x:formula>G40="PROVEN"</x:formula>
    </x:cfRule>
    <x:cfRule type="expression" dxfId="22" priority="5">
      <x:formula>G40="CHALLENGE - OPEN"</x:formula>
    </x:cfRule>
    <x:cfRule type="expression" dxfId="23" priority="6">
      <x:formula>G40="CHALLENGE - RESOLVED"</x:formula>
    </x:cfRule>
    <x:cfRule type="expression" dxfId="24" priority="7">
      <x:formula>G40="NOT REVIEWED"</x:formula>
    </x:cfRule>
  </x:conditionalFormatting>
  <x:conditionalFormatting sqref="P40:P110">
    <x:cfRule type="expression" dxfId="25" priority="8">
      <x:formula>P40="PASS"</x:formula>
    </x:cfRule>
    <x:cfRule type="expression" dxfId="26" priority="9">
      <x:formula>LEFT(P40,4)="HOLD"</x:formula>
    </x:cfRule>
  </x:conditionalFormatting>
  <x:conditionalFormatting sqref="W117:W216">
    <x:cfRule type="expression" dxfId="27" priority="10">
      <x:formula>W117="RESOLVED"</x:formula>
    </x:cfRule>
    <x:cfRule type="expression" dxfId="28" priority="11">
      <x:formula>LEFT(W117,4)="OPEN"</x:formula>
    </x:cfRule>
    <x:cfRule type="expression" dxfId="29" priority="12">
      <x:formula>LEFT(W117,3)="RED"</x:formula>
    </x:cfRule>
    <x:cfRule type="expression" dxfId="30" priority="13">
      <x:formula>LEFT(W117,5)="AMBER"</x:formula>
    </x:cfRule>
  </x:conditionalFormatting>
  <x:conditionalFormatting sqref="B19:B19">
    <x:cfRule type="expression" dxfId="31" priority="14">
      <x:formula>LEFT(B19,4)="PASS"</x:formula>
    </x:cfRule>
    <x:cfRule type="expression" dxfId="32" priority="15">
      <x:formula>LEFT(B19,4)="HOLD"</x:formula>
    </x:cfRule>
  </x:conditionalFormatting>
  <x:conditionalFormatting sqref="L24:L33">
    <x:cfRule type="expression" dxfId="36" priority="16">
      <x:formula>LEFT(L24,8)="COMPLETE"</x:formula>
    </x:cfRule>
    <x:cfRule type="expression" dxfId="37" priority="17">
      <x:formula>LEFT(L24,3)="RED"</x:formula>
    </x:cfRule>
    <x:cfRule type="expression" dxfId="38" priority="18">
      <x:formula>LEFT(L24,4)="HOLD"</x:formula>
    </x:cfRule>
  </x:conditionalFormatting>
  <x:dataValidations count="11">
    <x:dataValidation type="list" sqref="D24:D33">
      <x:formula1>"Yes,No"</x:formula1>
    </x:dataValidation>
    <x:dataValidation type="list" sqref="E24:F32">
      <x:formula1>"Yes,No"</x:formula1>
    </x:dataValidation>
    <x:dataValidation type="list" sqref="G24:G33">
      <x:formula1>"Yes,No"</x:formula1>
    </x:dataValidation>
    <x:dataValidation type="list" sqref="G40:O110">
      <x:formula1>"PROVEN,CHALLENGE - OPEN,CHALLENGE - RESOLVED,N/A,NOT REVIEWED"</x:formula1>
    </x:dataValidation>
    <x:dataValidation type="list" sqref="B117:B216">
      <x:formula1>"Estimate-wide,QS Item,Resource,Programme Task,Risk Truth,Commercial Input,Document / Scope,Weather,Other"</x:formula1>
    </x:dataValidation>
    <x:dataValidation type="list" sqref="E117:E216">
      <x:formula1>"ERB-01,ERB-02,ERB-03,ERB-04,ERB-05,ERB-06,ERB-07,ERB-08,ERB-09"</x:formula1>
    </x:dataValidation>
    <x:dataValidation type="list" sqref="F117:F216">
      <x:formula1>"Scope / omission,Quantity / takeoff,Method / productivity,Rate / procurement,Programme / time cost,Risk / duplication,Commercial,Document contradiction,Interface / by others,Other"</x:formula1>
    </x:dataValidation>
    <x:dataValidation type="list" sqref="P117:P216">
      <x:formula1>"Yes,No"</x:formula1>
    </x:dataValidation>
    <x:dataValidation type="list" sqref="Q117:Q216">
      <x:formula1>"GREEN,AMBER,RED"</x:formula1>
    </x:dataValidation>
    <x:dataValidation type="list" sqref="S117:S216">
      <x:formula1>"NO CHANGE - PRIMARY PROVEN,CHANGE ACCEPTED,PARTIAL CHANGE,RFI / EXCLUSION,DEFER / MORE EVIDENCE"</x:formula1>
    </x:dataValidation>
    <x:dataValidation type="list" sqref="V117:V216">
      <x:formula1>"Yes,No,N/A"</x:formula1>
    </x:dataValidation>
  </x:dataValidations>
  <x:pageMargins left="0.7" right="0.7" top="0.75" bottom="0.75" header="0.3" footer="0.3"/>
</x:worksheet>
</file>

<file path=xl/worksheets/sheet14.xml><?xml version="1.0" encoding="utf-8"?>
<x:worksheet xmlns:x="http://schemas.openxmlformats.org/spreadsheetml/2006/main">
  <x:sheetFormatPr defaultRowHeight="15"/>
  <x:cols>
    <x:col min="1" max="1" width="10" hidden="0" customWidth="1"/>
    <x:col min="2" max="2" width="28" hidden="0" customWidth="1"/>
    <x:col min="3" max="3" width="16" hidden="0" customWidth="1"/>
    <x:col min="4" max="4" width="12" hidden="0" customWidth="1"/>
    <x:col min="5" max="5" width="8" hidden="0" customWidth="1"/>
    <x:col min="6" max="6" width="18" hidden="0" customWidth="1"/>
    <x:col min="7" max="7" width="42" hidden="0" customWidth="1"/>
    <x:col min="8" max="8" width="42" hidden="0" customWidth="1"/>
    <x:col min="9" max="9" width="26" hidden="0" customWidth="1"/>
    <x:col min="10" max="10" width="16" hidden="0" customWidth="1"/>
    <x:col min="11" max="11" width="22" hidden="0" customWidth="1"/>
    <x:col min="12" max="12" width="34" hidden="0" customWidth="1"/>
  </x:cols>
  <x:sheetData>
    <x:row r="1">
      <x:c r="A1" s="816" t="str">
        <x:v>HOBSONVILLE SUPPLIER QUOTE REGISTER | CURRENT REV34E WORKING TENDER</x:v>
      </x:c>
      <x:c r="B1" s="816"/>
      <x:c r="C1" s="816"/>
      <x:c r="D1" s="816"/>
      <x:c r="E1" s="816"/>
      <x:c r="F1" s="816"/>
      <x:c r="G1" s="816"/>
      <x:c r="H1" s="816"/>
      <x:c r="I1" s="816"/>
      <x:c r="J1" s="816"/>
      <x:c r="K1" s="816"/>
      <x:c r="L1" s="816"/>
    </x:row>
    <x:row r="2">
      <x:c r="A2" s="810" t="str">
        <x:v>Rev32: Allied Concrete Q-03 received 11-Sep-2026 for 13MPa 19mm no-fines concrete. Supplier estimated 50m3 at $295/m3 excl GST plus variable fuel surcharge. DHC S303 wall-design-table calculation using Citi's 84m height bands gives 47.98m3, so the supplier quantity contains an approx. 4.2% volume buffer and materially corroborates the structural takeoff. RW04 $18k working allowance is retained because placement/pumping/method remains unquoted.</x:v>
      </x:c>
      <x:c r="B2" s="810"/>
      <x:c r="C2" s="810"/>
      <x:c r="D2" s="810"/>
      <x:c r="E2" s="810"/>
      <x:c r="F2" s="810"/>
      <x:c r="G2" s="810"/>
      <x:c r="H2" s="810"/>
      <x:c r="I2" s="810"/>
      <x:c r="J2" s="810"/>
      <x:c r="K2" s="810"/>
      <x:c r="L2" s="810"/>
    </x:row>
    <x:row r="3">
      <x:c r="A3" s="27"/>
      <x:c r="B3" s="27"/>
      <x:c r="C3" s="27"/>
      <x:c r="D3" s="27"/>
      <x:c r="E3" s="27"/>
      <x:c r="F3" s="27"/>
      <x:c r="G3" s="27"/>
      <x:c r="H3" s="27"/>
      <x:c r="I3" s="27"/>
      <x:c r="J3" s="27"/>
      <x:c r="K3" s="27"/>
      <x:c r="L3" s="27"/>
    </x:row>
    <x:row r="4">
      <x:c r="A4" s="814" t="str">
        <x:v>Quote ID</x:v>
      </x:c>
      <x:c r="B4" s="814" t="str">
        <x:v>Package</x:v>
      </x:c>
      <x:c r="C4" s="814" t="str">
        <x:v>Estimate Ref</x:v>
      </x:c>
      <x:c r="D4" s="814" t="str">
        <x:v>Current Qty</x:v>
      </x:c>
      <x:c r="E4" s="814" t="str">
        <x:v>Unit</x:v>
      </x:c>
      <x:c r="F4" s="814" t="str">
        <x:v>Current PC / Control excl. GST</x:v>
      </x:c>
      <x:c r="G4" s="814" t="str">
        <x:v>Required Quote Scope</x:v>
      </x:c>
      <x:c r="H4" s="814" t="str">
        <x:v>Documents to Issue</x:v>
      </x:c>
      <x:c r="I4" s="814" t="str">
        <x:v>Preferred Supplier / Recipient</x:v>
      </x:c>
      <x:c r="J4" s="814" t="str">
        <x:v>Status</x:v>
      </x:c>
      <x:c r="K4" s="814" t="str">
        <x:v>Due / Action</x:v>
      </x:c>
      <x:c r="L4" s="814" t="str">
        <x:v>Quote Ref / Notes</x:v>
      </x:c>
    </x:row>
    <x:row r="5" ht="46" customHeight="1">
      <x:c r="A5" s="27" t="str">
        <x:v>Q-01</x:v>
      </x:c>
      <x:c r="B5" s="27" t="str">
        <x:v>Allproof level-threshold drainage</x:v>
      </x:c>
      <x:c r="C5" s="27" t="str">
        <x:v>ES03</x:v>
      </x:c>
      <x:c r="D5" s="815" t="n">
        <x:v>44</x:v>
      </x:c>
      <x:c r="E5" s="27" t="str">
        <x:v>lm</x:v>
      </x:c>
      <x:c r="F5" s="596" t="n">
        <x:v>40000</x:v>
      </x:c>
      <x:c r="G5" s="27" t="str">
        <x:v>Supply takeoff and price for approved threshold channel/grate system, end caps/corners/outlets; separately state install option and freight/lead time.</x:v>
      </x:c>
      <x:c r="H5" s="27" t="str">
        <x:v>Arch Rev16 A1/A5/A12; Allproof Level Threshold Solutions technical; Civil drainage plan/interface.</x:v>
      </x:c>
      <x:c r="I5" s="27" t="str">
        <x:v>PlaceMakers Westgate / Allproof technical</x:v>
      </x:c>
      <x:c r="J5" s="27" t="str">
        <x:v>SUPPLIER CLARIFICATION RECEIVED - ESTIMATOR BUILD REQUIRED</x:v>
      </x:c>
      <x:c r="K5" s="27" t="str">
        <x:v>No further Allproof takeoff expected. Confirm grate selection (GFN vs Wedge Wire) and outlet/downstream interface; retain $40k PC until resolved.</x:v>
      </x:c>
      <x:c r="L5" s="27" t="str">
        <x:v>Tracey/Allproof clarification 07-Sep-2026: recommend 2m channel/grating + 2 end caps per door; 22 doors = 44m + 44 caps. Lead time 7-8 weeks. PlaceMakers sell prices excl GST: GFN $418.33/m, WW $836.66/m, end caps $19.86 ea. Calculated material sensitivities: GFN $19,280.36; WW $37,686.88. Existing 7-day install labour sensitivity using 1 concrete finisher + 1 civil labourer = $4,592.00. Indicative supply/install sensitivities before outlets and store-to-site delivery: GFN $23,872.36; WW $42,278.88. $40k PC retained because architectural documents do not select grate type and outlet/downstream scope remains unresolved.</x:v>
      </x:c>
    </x:row>
    <x:row r="6" ht="46" customHeight="1">
      <x:c r="A6" s="27" t="str">
        <x:v>Q-02</x:v>
      </x:c>
      <x:c r="B6" s="27" t="str">
        <x:v>Keystone Compac retaining system</x:v>
      </x:c>
      <x:c r="C6" s="27" t="str">
        <x:v>RW01/RW02</x:v>
      </x:c>
      <x:c r="D6" s="815" t="n">
        <x:v>82.93</x:v>
      </x:c>
      <x:c r="E6" s="27" t="str">
        <x:v>lm</x:v>
      </x:c>
      <x:c r="F6" s="596" t="n">
        <x:v>26339.1</x:v>
      </x:c>
      <x:c r="G6" s="27" t="str">
        <x:v>Supply quote for 1,274 Firth Keystone Compac III straight-face blocks, 187 caps, 8 corners, 49 packs fibre-glass pins, 32 pallet deposits and 32 delivery charges.</x:v>
      </x:c>
      <x:c r="H6" s="27" t="str">
        <x:v>Arch Rev16 A1; Civil DWG301; DHC S101/S303/S304; current supplied quantities.</x:v>
      </x:c>
      <x:c r="I6" s="27" t="str">
        <x:v>Citi Landscape Supplies</x:v>
      </x:c>
      <x:c r="J6" s="27" t="str">
        <x:v>RECEIVED - HEIGHT-BAND BREAKDOWN CORROBORATED / DESIGN RED REMAINS</x:v>
      </x:c>
      <x:c r="K6" s="27" t="str">
        <x:v>Material quantity basis is substantially corroborated. Retain RW01/RW02 installed-system PCs until the Civil 1.5m vs Arch/DHC 1.8m design conflict and RW04 placement/method are closed.</x:v>
      </x:c>
      <x:c r="L6" s="27" t="str">
        <x:v>Citi Quote #1020 dated 10-Sep-2026: $26,339.10 excl GST. Refundable pallet deposits are $1,656.00 (32 x $51.75), so net non-recoverable supply/delivery if all pallets are returned is $24,683.10. Bryn's 11-Sep breakdown totals 84.0lm with height bands 0.2-1.8m plus one buried 200mm course. Calculated exposed face = 100.6m2; buried-course face = 16.8m2; total block-face equivalent = 117.4m2. At 11 blocks/m2 this gives 1,291 theoretical straight blocks versus 1,274 quoted (-1.35%). Caps: 184 theoretical at 2.19/lm versus 187 quoted (+1.65%). Supplier scaled length is 1.07m (+1.29%) above our 82.93lm vector control. This is strong quantity corroboration, but Citi expressly states they are not engineers and their takeoff does not resolve the governing design conflict.</x:v>
      </x:c>
    </x:row>
    <x:row r="7" ht="46" customHeight="1">
      <x:c r="A7" s="27" t="str">
        <x:v>Q-03</x:v>
      </x:c>
      <x:c r="B7" s="27" t="str">
        <x:v>13MPa no-fines concrete</x:v>
      </x:c>
      <x:c r="C7" s="27" t="str">
        <x:v>RW04</x:v>
      </x:c>
      <x:c r="D7" s="815" t="n">
        <x:v>50</x:v>
      </x:c>
      <x:c r="E7" s="27" t="str">
        <x:v>m3</x:v>
      </x:c>
      <x:c r="F7" s="596" t="n">
        <x:v>18000</x:v>
      </x:c>
      <x:c r="G7" s="27" t="str">
        <x:v>Mix availability and $/m3, minimum load, freight, washout, placement constraints and lead time. Confirm suitability for DHC retaining detail.</x:v>
      </x:c>
      <x:c r="H7" s="27" t="str">
        <x:v>DHC S303/S304; site plan; retaining quantity control.</x:v>
      </x:c>
      <x:c r="I7" s="27" t="str">
        <x:v>Allied Concrete + Firth</x:v>
      </x:c>
      <x:c r="J7" s="27" t="str">
        <x:v>RECEIVED - SUPPLY RATE &amp; VOLUME CORROBORATED / PLACEMENT AMBER</x:v>
      </x:c>
      <x:c r="K7" s="27" t="str">
        <x:v>Use Allied 50m3 @ $295/m3 as current supply evidence. Retain RW04 $18k working allowance until placement/pump/method is confirmed; rerun fuel surcharge at order/delivery.</x:v>
      </x:c>
      <x:c r="L7" s="27" t="str">
        <x:v>Allied Quote 11092026SX3BEARS issued 11-Sep-2026: 13MPa 19mm no-fines, estimated 50m3 @ $295.00/m3 excl GST = $14,750.00. Fuel surcharge is additional and variable; Allied published rate for week starting 07-Sep-2026 = $6.99/m3, giving current supply sensitivity $15,099.50. Quote extras: cylinder set $125; small-load $200 under 3.0m3 (terms also state quoted price assumes loads &gt;=4.6m3 and final small load can be exempt after full loads); extra measure $200; waiting $180 after standard 10min/m3; late cancellation $500. Onsite washout required. Quote does not price placement/pumping. DHC S303 + Citi bands calculate 47.98m3; quote 50m3 = +4.2% buffer.</x:v>
      </x:c>
    </x:row>
    <x:row r="8" ht="46" customHeight="1">
      <x:c r="A8" s="27" t="str">
        <x:v>Q-04</x:v>
      </x:c>
      <x:c r="B8" s="27" t="str">
        <x:v>Auger drilling - PILE1 bridging only (in-house); PILE2 by Coast</x:v>
      </x:c>
      <x:c r="C8" s="27" t="str">
        <x:v>RW03</x:v>
      </x:c>
      <x:c r="D8" s="815" t="n">
        <x:v>7</x:v>
      </x:c>
      <x:c r="E8" s="27" t="str">
        <x:v>holes</x:v>
      </x:c>
      <x:c r="F8" s="596" t="n">
        <x:v>1668.83595875</x:v>
      </x:c>
      <x:c r="G8" s="27" t="str">
        <x:v>Self-perform control retained only for 7 x PILE1 bridging piles. PILE2 bored-hole excavation is included in Coast Concrete's subcontract and removed from Siteworks direct cost.</x:v>
      </x:c>
      <x:c r="H8" s="27" t="str">
        <x:v>DHC S101/S304; Geotech AK26-051AB; 48 Eastglen company drilling comparable.</x:v>
      </x:c>
      <x:c r="I8" s="27" t="str">
        <x:v>In-house contractor plant - 3t excavator + auger</x:v>
      </x:c>
      <x:c r="J8" s="27" t="str">
        <x:v>PART CLOSED - PILE1 IN-HOUSE / PILE2 TRANSFERRED TO COAST</x:v>
      </x:c>
      <x:c r="K8" s="27" t="str">
        <x:v>Verify PILE1 tooling/geotech hold point only. No Siteworks PILE2 resource.</x:v>
      </x:c>
      <x:c r="L8" s="27" t="str">
        <x:v>Karl 11-Sep confirms 15 PILE2; Coast formal quote includes their excavation. Historical PILE2 self-perform build retained at $0 for audit.</x:v>
      </x:c>
    </x:row>
    <x:row r="9" ht="54" customHeight="1">
      <x:c r="A9" s="27" t="str">
        <x:v>Q-05</x:v>
      </x:c>
      <x:c r="B9" s="27" t="str">
        <x:v>External concrete placement / finishing</x:v>
      </x:c>
      <x:c r="C9" s="27" t="str">
        <x:v>PV01/PV02/PV04</x:v>
      </x:c>
      <x:c r="D9" s="815" t="n">
        <x:v>605.7665</x:v>
      </x:c>
      <x:c r="E9" s="27" t="str">
        <x:v>m2</x:v>
      </x:c>
      <x:c r="F9" s="596" t="n">
        <x:v>47500</x:v>
      </x:c>
      <x:c r="G9" s="27" t="str">
        <x:v>Price placement/finish, pump, boxing, joints/sawcuts, chairs and labour; identify concrete-supply exclusions. Separate carpark, public crossing and paths.</x:v>
      </x:c>
      <x:c r="H9" s="27" t="str">
        <x:v>Civil DWG301/311/331; Arch site plan.</x:v>
      </x:c>
      <x:c r="I9" s="27" t="str">
        <x:v>Formcon Construction</x:v>
      </x:c>
      <x:c r="J9" s="27" t="str">
        <x:v>SENT / REVISED STAMPED-RC QUANTITY BASIS 11-SEP - RETURN PENDING</x:v>
      </x:c>
      <x:c r="K9" s="27" t="str">
        <x:v>Quote required against 568m2 stamped-RC carpark/footpath + 37.7665m2 public crossing. Separate 33m2 ramp/entry/steps excluded pending owner.</x:v>
      </x:c>
      <x:c r="L9" s="27" t="str">
        <x:v>Original request predated TPW confirmation. Normalize any return to stamped RC 568m2 + public crossing and identify crew/pour sequence/productivity. Do not include the separate 33m2 OWNER TBC item unless expressly instructed.</x:v>
      </x:c>
    </x:row>
    <x:row r="10" ht="46" customHeight="1">
      <x:c r="A10" s="27" t="str">
        <x:v>Q-06</x:v>
      </x:c>
      <x:c r="B10" s="27" t="str">
        <x:v>Engineered fill / AP20 / AP40 delivery</x:v>
      </x:c>
      <x:c r="C10" s="27" t="str">
        <x:v>EW09/PV01</x:v>
      </x:c>
      <x:c r="D10" s="815" t="n">
        <x:v>923</x:v>
      </x:c>
      <x:c r="E10" s="27" t="str">
        <x:v>m3</x:v>
      </x:c>
      <x:c r="F10" s="596" t="n">
        <x:v>60000</x:v>
      </x:c>
      <x:c r="G10" s="27" t="str">
        <x:v>Delivered engineered-fill price and source certification for 923m3; separately quote AP20/AP40 delivered to Hobsonville Rd with load sizes and cartage.</x:v>
      </x:c>
      <x:c r="H10" s="27" t="str">
        <x:v>Yodha Infrastructure Assessment RevB; Geotech; Civil DWG311.</x:v>
      </x:c>
      <x:c r="I10" s="27" t="str">
        <x:v>Citi Landscape + Urban Quarry</x:v>
      </x:c>
      <x:c r="J10" s="27" t="str">
        <x:v>URBAN QUARRY RECEIVED / ENGINEERED-FILL SPEC HOLD</x:v>
      </x:c>
      <x:c r="K10" s="27" t="str">
        <x:v>Use current delivered AP/GAP rates as AMBER project evidence. Do not replace EW09 $60k PC until engineered-fill source/spec is accepted AND Rev17 earthworks quantities are reconciled with Yodha RevB.</x:v>
      </x:c>
      <x:c r="L10" s="27" t="str">
        <x:v>Urban Quarry rates received 11-Sep. Rev17 A1 now states 1,310m3 fill /113m3 cut (implied 1,197m3 net import) versus Yodha 1,033/110/923. Quantity basis remains RED/RFI hold.</x:v>
      </x:c>
    </x:row>
    <x:row r="11" ht="46" customHeight="1">
      <x:c r="A11" s="27" t="str">
        <x:v>Q-07</x:v>
      </x:c>
      <x:c r="B11" s="27" t="str">
        <x:v>Public crossing CAR / TMP / road interface</x:v>
      </x:c>
      <x:c r="C11" s="27" t="str">
        <x:v>PG01/PV02</x:v>
      </x:c>
      <x:c r="D11" s="815" t="n">
        <x:v>37.7665</x:v>
      </x:c>
      <x:c r="E11" s="27" t="str">
        <x:v>m2</x:v>
      </x:c>
      <x:c r="F11" s="596" t="n">
        <x:v>3938.4</x:v>
      </x:c>
      <x:c r="G11" s="27" t="str">
        <x:v>Traffic Safe quoted core: TMP design/planning/submission plus one Stop/Go traffic-management shift and one shoulder closure with pedestrian-management shift.</x:v>
      </x:c>
      <x:c r="H11" s="27" t="str">
        <x:v>Civil DWG301/331; Traffic Assessment; site access/crossing scope issued with request.</x:v>
      </x:c>
      <x:c r="I11" s="27" t="str">
        <x:v>Traffic Safe NZ</x:v>
      </x:c>
      <x:c r="J11" s="27" t="str">
        <x:v>RECEIVED - QUOTED CORE / EXCLUSIONS AMBER</x:v>
      </x:c>
      <x:c r="K11" s="27" t="str">
        <x:v>Use $3,938.40 excl GST quoted core in PG01. Confirm final traffic-shift count and any excluded authority/FAF charges before award.</x:v>
      </x:c>
      <x:c r="L11" s="27" t="str">
        <x:v>Estimate dated 10-Sep-2026, valid 30 days. $500 planning; $2,275.60 Stop/Go; $1,162.80 shoulder/pedestrian. Supplier says road work likely 10:00-16:00. Excludes temporary FAF; additional RCA/CAR/cable-locate/restricted-parking fees may be on-charged; VMS/barriers/plating/light towers extra if required.</x:v>
      </x:c>
    </x:row>
    <x:row r="12" ht="46" customHeight="1">
      <x:c r="A12" s="27" t="str">
        <x:v>Q-08</x:v>
      </x:c>
      <x:c r="B12" s="27" t="str">
        <x:v>Geotechnical inspection / testing</x:v>
      </x:c>
      <x:c r="C12" s="27" t="str">
        <x:v>TC01</x:v>
      </x:c>
      <x:c r="D12" s="815" t="n">
        <x:v>1</x:v>
      </x:c>
      <x:c r="E12" s="27" t="str">
        <x:v>LS</x:v>
      </x:c>
      <x:c r="F12" s="596" t="n">
        <x:v>4600</x:v>
      </x:c>
      <x:c r="G12" s="27" t="str">
        <x:v>Quoted geotechnical construction monitoring/testing scope: consent-condition familiarisation; 7 site inspections/testing visits; PS4; earthworks fill testing; bridging pile/foundation subgrade/retaining/hardfill monitoring; general supervision/advice.</x:v>
      </x:c>
      <x:c r="H12" s="27" t="str">
        <x:v>Geotech AK26-051AB; project consent conditions; structural/civil hold points.</x:v>
      </x:c>
      <x:c r="I12" s="27" t="str">
        <x:v>Gibb Ritchie Geotechnical</x:v>
      </x:c>
      <x:c r="J12" s="27" t="str">
        <x:v>RECEIVED - PRIMARY QUOTE / 7 VISITS ASSUMED</x:v>
      </x:c>
      <x:c r="K12" s="27" t="str">
        <x:v>Use $4,600 excl GST quoted baseline. Proposal valid 30 days from 08-Sep-2026. Additional visits $500/visit if required; 24h notice.</x:v>
      </x:c>
      <x:c r="L12" s="27" t="str">
        <x:v>AK26-051AD Rev0 dated 08-Sep-2026. $250 familiarisation + 7 x $500 visits/testing + $850 PS4 = $4,600 excl GST. Visit count depends on weather, contractor performance and programme. Excludes structural design, environmental assessment, and response/rework to council queries.</x:v>
      </x:c>
    </x:row>
    <x:row r="13" ht="46" customHeight="1">
      <x:c r="A13" s="27" t="str">
        <x:v>Q-09</x:v>
      </x:c>
      <x:c r="B13" s="27" t="str">
        <x:v>Line marking / accessible markings</x:v>
      </x:c>
      <x:c r="C13" s="27" t="str">
        <x:v>PV05</x:v>
      </x:c>
      <x:c r="D13" s="815" t="n">
        <x:v>1</x:v>
      </x:c>
      <x:c r="E13" s="27" t="str">
        <x:v>LS</x:v>
      </x:c>
      <x:c r="F13" s="596" t="n">
        <x:v>2500</x:v>
      </x:c>
      <x:c r="G13" s="27" t="str">
        <x:v>Quote carpark lines, accessible symbol/signage and arrows if required. Speed-control devices are excluded from the current Rev21 Siteworks basis unless expressly instructed.</x:v>
      </x:c>
      <x:c r="H13" s="27" t="str">
        <x:v>Arch Rev16 site plan; Traffic Assessment.</x:v>
      </x:c>
      <x:c r="I13" s="27" t="str">
        <x:v>Auckland Line Marking / Aceline</x:v>
      </x:c>
      <x:c r="J13" s="27" t="str">
        <x:v>SENT 07-SEP-2026 - SCOPE NORMALISED REV21</x:v>
      </x:c>
      <x:c r="K13" s="27" t="str">
        <x:v>Quote due 11-Sep-2026 12:00</x:v>
      </x:c>
      <x:c r="L13" s="27" t="str">
        <x:v>Original Q-09 request included two speed-control devices. Rev21 review found the only 'Speed Bump' reference on an existing topographical survey; no proposed new devices were found on current Arch Rev16/Civil EPA proposed-work drawings. Use any supplier return for line marking only unless new speed-control scope is instructed.</x:v>
      </x:c>
    </x:row>
    <x:row r="14" ht="46" customHeight="1">
      <x:c r="A14" s="27" t="str">
        <x:v>Q-10</x:v>
      </x:c>
      <x:c r="B14" s="27" t="str">
        <x:v>Earthworks cartage / tipping contingency</x:v>
      </x:c>
      <x:c r="C14" s="27" t="str">
        <x:v>EW08</x:v>
      </x:c>
      <x:c r="D14" s="815" t="n">
        <x:v>1</x:v>
      </x:c>
      <x:c r="E14" s="27" t="str">
        <x:v>LS</x:v>
      </x:c>
      <x:c r="F14" s="596" t="n">
        <x:v>10000</x:v>
      </x:c>
      <x:c r="G14" s="27" t="str">
        <x:v>Provide clean soil/topsoil/managed-fill tipping rates, truck rates/load capacity, minimums and likely Hobsonville disposal options. No quantity commitment yet.</x:v>
      </x:c>
      <x:c r="H14" s="27" t="str">
        <x:v>Yodha RevB earthworks; Geotech.</x:v>
      </x:c>
      <x:c r="I14" s="27" t="str">
        <x:v>Urban Quarry</x:v>
      </x:c>
      <x:c r="J14" s="27" t="str">
        <x:v>RECEIVED - LIVE DISPOSAL RATES / QUANTITY HOLD</x:v>
      </x:c>
      <x:c r="K14" s="27" t="str">
        <x:v>Live disposal rates received. Confirm actual surplus/topsoil/unsuitable quantity and classification; Rev17 earthworks reconciliation may change import/handling but does not prove export.</x:v>
      </x:c>
      <x:c r="L14" s="27" t="str">
        <x:v>Urban Quarry rates current. No bulk disposal quantity assumed. Rev17/Yodha quantity conflict tracked under RFI-15.</x:v>
      </x:c>
    </x:row>
    <x:row r="15" ht="36" customHeight="1">
      <x:c r="A15" s="27" t="str">
        <x:v>Q-11</x:v>
      </x:c>
      <x:c r="B15" s="27" t="str">
        <x:v>Coast Concrete foundation / slab reference</x:v>
      </x:c>
      <x:c r="C15" s="27" t="str">
        <x:v>EW05/EW06/EW07 interface</x:v>
      </x:c>
      <x:c r="D15" s="27" t="n">
        <x:v>1</x:v>
      </x:c>
      <x:c r="E15" s="27" t="str">
        <x:v>LS</x:v>
      </x:c>
      <x:c r="F15" s="27" t="n">
        <x:v>210606</x:v>
      </x:c>
      <x:c r="G15" s="27" t="str">
        <x:v>Reference/quoted concrete foundations and floor package. Latest scope clarification: footing excavation, bulk excavation and hardfill to 350mm below FFL excluded; Coast formal quote still expressly includes excavation of 15 P2 piles. Rough cost split supplied 11-Sep.</x:v>
      </x:c>
      <x:c r="H15" s="27" t="str">
        <x:v>Coast quote 09-Sep-2026 + Karl email 11-Sep-2026.</x:v>
      </x:c>
      <x:c r="I15" s="27" t="str">
        <x:v>Coast Concrete Construction</x:v>
      </x:c>
      <x:c r="J15" s="27" t="str">
        <x:v>RECEIVED - INTERFACE CLARIFIED / PILE2 BY COAST</x:v>
      </x:c>
      <x:c r="K15" s="27" t="str">
        <x:v>Transfer EW06 PILE2 boring to Coast; retain Siteworks EW05/EW07 footing excavation. Treat $210,606 quote total as controlling; supplied rough components sum to $210,605, a $1 rounding difference.</x:v>
      </x:c>
      <x:c r="L15" s="27" t="str">
        <x:v>Karl 11-Sep rough breakdown: concrete supply/placement $75,202; reinforcing $28,400; polystyrene/DPC $8,775; fines $6,048; blockwork/formwork $58,580; labour $33,600 = $210,605. Formal quote total remains $210,606 + GST. Karl states footing excavation, bulk excavation and hardfill to 350mm below FFL excluded. Formal quote expressly includes excavation of 15 P2 piles; Karl confirms 15 on Structural Rev B.</x:v>
      </x:c>
    </x:row>
    <x:row r="16" ht="43.5" customHeight="1">
      <x:c r="A16" s="27" t="str">
        <x:v>Q-12</x:v>
      </x:c>
      <x:c r="B16" s="27" t="str">
        <x:v>Allied public stormwater / detention</x:v>
      </x:c>
      <x:c r="C16" s="27" t="str">
        <x:v>CW/005 overlay</x:v>
      </x:c>
      <x:c r="D16" s="27" t="n">
        <x:v>1</x:v>
      </x:c>
      <x:c r="E16" s="27" t="str">
        <x:v>LS</x:v>
      </x:c>
      <x:c r="F16" s="27" t="n">
        <x:v>168258.71</x:v>
      </x:c>
      <x:c r="G16" s="27" t="str">
        <x:v>Public stormwater/detention quoted base. Jason confirms drainage setout, as-built and drainage signoff are ADDITIONAL to this subtotal.</x:v>
      </x:c>
      <x:c r="H16" s="27" t="str">
        <x:v>EPA DWG401 Rev E / APD detention / Jason Quote1078.</x:v>
      </x:c>
      <x:c r="I16" s="27" t="str">
        <x:v>Allied Civil Earthworks / Jason Wilson</x:v>
      </x:c>
      <x:c r="J16" s="27" t="str">
        <x:v>RECEIVED - BASE QUOTE / ADDITIONAL COST CONFIRMED</x:v>
      </x:c>
      <x:c r="K16" s="27" t="str">
        <x:v>Quoted base $168,258.71; add confirmed $6,500 survey/signoff = $174,758.71 current known public subcontract before CCTV/trench-shield extras.</x:v>
      </x:c>
      <x:c r="L16" s="27" t="str">
        <x:v>Jason email 10-Sep-2026 confirms setout $1,500 + as-built $2,500 + drainage signoff $2,500 are additional. CCTV remains TBC and box/trench shields may be required. Public programme duration not stated.</x:v>
      </x:c>
    </x:row>
    <x:row r="17" ht="43.5" customHeight="1">
      <x:c r="A17" s="27" t="str">
        <x:v>Q-13</x:v>
      </x:c>
      <x:c r="B17" s="27" t="str">
        <x:v>Allied private drainage / wastewater / Novacoil</x:v>
      </x:c>
      <x:c r="C17" s="27" t="str">
        <x:v>CW/005 / CW/006 / CW/003 allocation hold</x:v>
      </x:c>
      <x:c r="D17" s="27" t="n">
        <x:v>21</x:v>
      </x:c>
      <x:c r="E17" s="27" t="str">
        <x:v>WD</x:v>
      </x:c>
      <x:c r="F17" s="27" t="n">
        <x:v>87711.74</x:v>
      </x:c>
      <x:c r="G17" s="27" t="str">
        <x:v>Private drainage quote allocated using Jason's 10/8/3 day labour split. Private SW $41,636.34; wastewater $26,864.36; retaining drainage $19,211.04.</x:v>
      </x:c>
      <x:c r="H17" s="27" t="str">
        <x:v>Allied Ref25237 + Jason clarification 10-Sep-2026.</x:v>
      </x:c>
      <x:c r="I17" s="27" t="str">
        <x:v>Allied Civil Earthworks / Jason Wilson</x:v>
      </x:c>
      <x:c r="J17" s="27" t="str">
        <x:v>RECEIVED - ALLOCATION CONFIRMED / EMAIL TOTAL TYPO NOTED</x:v>
      </x:c>
      <x:c r="K17" s="27" t="str">
        <x:v>Use attached quote total $87,711.74. Jason's reply body says $86,711.74 but the attachment and line-item arithmetic equal $87,711.74.</x:v>
      </x:c>
      <x:c r="L17" s="27" t="str">
        <x:v>Labour $54,390 /21 = $2,590/day. SW 10d = $25,900; WW 8d = $20,720; retaining 3d = $7,770. Two $1,000 Type1 cesspits sit in the quote's Private Drainage section but Jason expressly confirms they are part of retaining drainage, so $2,000 is reallocated from private SW to retaining. Final: SW $41,636.34; WW $26,864.36; retaining $19,211.04; total $87,711.74.</x:v>
      </x:c>
    </x:row>
    <x:row r="18" ht="43.5" customHeight="1">
      <x:c r="A18" s="27" t="str">
        <x:v>Q-14</x:v>
      </x:c>
      <x:c r="B18" s="27" t="str">
        <x:v>Allied public drainage listed invoice allowances</x:v>
      </x:c>
      <x:c r="C18" s="27" t="str">
        <x:v>CW/005 overlay / inclusion clarification</x:v>
      </x:c>
      <x:c r="D18" s="27" t="n">
        <x:v>1</x:v>
      </x:c>
      <x:c r="E18" s="27" t="str">
        <x:v>LS</x:v>
      </x:c>
      <x:c r="F18" s="27" t="n">
        <x:v>6500</x:v>
      </x:c>
      <x:c r="G18" s="27" t="str">
        <x:v>Confirmed additional public-drainage costs: surveyor drainage setout $1,500 + as-built $2,500 + drainage signoff $2,500.</x:v>
      </x:c>
      <x:c r="H18" s="27" t="str">
        <x:v>Jason email 10-Sep-2026 confirming Quote1078 note.</x:v>
      </x:c>
      <x:c r="I18" s="27" t="str">
        <x:v>Allied Civil Earthworks / Jason Wilson</x:v>
      </x:c>
      <x:c r="J18" s="27" t="str">
        <x:v>CONFIRMED ADDITIONAL / INCLUDED IN CONSOLIDATED PACKAGE</x:v>
      </x:c>
      <x:c r="K18" s="27" t="str">
        <x:v>Add $6,500 to Quote1078 base. Current known public subcontract = $174,758.71 excl GST.</x:v>
      </x:c>
      <x:c r="L18" s="27" t="str">
        <x:v>CCTV TBC and box/trench shields may be required remain outside current known total. No unsupported amount added.</x:v>
      </x:c>
    </x:row>
    <x:row r="20" ht="15" hidden="0" customHeight="1">
      <x:c r="A20" s="1002" t="str">
        <x:v>CITI Q-02 HEIGHT-BAND TAKEOFF VERIFICATION - 11-SEP-2026 - EVIDENCE ONLY / NOT A SECOND COST CHAIN</x:v>
      </x:c>
      <x:c r="B20" s="1002"/>
      <x:c r="C20" s="1002"/>
      <x:c r="D20" s="1002"/>
      <x:c r="E20" s="1002"/>
      <x:c r="F20" s="1002"/>
      <x:c r="G20" s="1002"/>
      <x:c r="H20" s="1002"/>
      <x:c r="I20" s="1002"/>
      <x:c r="J20" s="1002"/>
      <x:c r="K20" s="1002"/>
      <x:c r="L20" s="1002"/>
    </x:row>
    <x:row r="21" ht="21.600000381469727" hidden="0" customHeight="1">
      <x:c r="A21" s="1002" t="str">
        <x:v>Band</x:v>
      </x:c>
      <x:c r="B21" s="1002" t="str">
        <x:v>Length m</x:v>
      </x:c>
      <x:c r="C21" s="1002" t="str">
        <x:v>Height m</x:v>
      </x:c>
      <x:c r="D21" s="1002" t="str">
        <x:v>Exposed face m2</x:v>
      </x:c>
      <x:c r="E21" s="1002" t="str">
        <x:v>Buried course m</x:v>
      </x:c>
      <x:c r="F21" s="1002" t="str">
        <x:v>Buried face m2</x:v>
      </x:c>
      <x:c r="G21" s="1002" t="str">
        <x:v>Total face equiv m2</x:v>
      </x:c>
      <x:c r="H21" s="1002" t="str">
        <x:v>Blocks @11/m2</x:v>
      </x:c>
      <x:c r="I21" s="1002" t="str">
        <x:v>Quoted comparison</x:v>
      </x:c>
      <x:c r="J21" s="1002" t="str">
        <x:v>Verification</x:v>
      </x:c>
      <x:c r="K21" s="1002" t="str">
        <x:v>Source</x:v>
      </x:c>
      <x:c r="L21" s="1002" t="str">
        <x:v>Notes</x:v>
      </x:c>
    </x:row>
    <x:row r="22" ht="21.600000381469727" hidden="0" customHeight="1">
      <x:c r="A22" s="1003" t="str">
        <x:v>B01</x:v>
      </x:c>
      <x:c r="B22" s="1005" t="n">
        <x:v>8.5</x:v>
      </x:c>
      <x:c r="C22" s="1005" t="n">
        <x:v>0.2</x:v>
      </x:c>
      <x:c r="D22" s="1005" t="n">
        <x:v>1.7000000000000002</x:v>
      </x:c>
      <x:c r="E22" s="1005" t="n">
        <x:v>0.2</x:v>
      </x:c>
      <x:c r="F22" s="1005" t="n">
        <x:v>1.7000000000000002</x:v>
      </x:c>
      <x:c r="G22" s="1005" t="n">
        <x:v>3.4000000000000004</x:v>
      </x:c>
      <x:c r="H22" s="1005" t="n">
        <x:v>37.400000000000006</x:v>
      </x:c>
      <x:c r="I22" s="1004"/>
      <x:c r="J22" s="1004" t="str">
        <x:v>PROVIDED / CALCULATED</x:v>
      </x:c>
      <x:c r="K22" s="1004" t="str">
        <x:v>Citi email 11-Sep-2026</x:v>
      </x:c>
      <x:c r="L22" s="1003" t="str">
        <x:v>One additional buried straight-face course applied across this band.</x:v>
      </x:c>
    </x:row>
    <x:row r="23" ht="21.600000381469727" hidden="0" customHeight="1">
      <x:c r="A23" s="1003" t="str">
        <x:v>B02</x:v>
      </x:c>
      <x:c r="B23" s="1005" t="n">
        <x:v>4.5</x:v>
      </x:c>
      <x:c r="C23" s="1005" t="n">
        <x:v>0.6</x:v>
      </x:c>
      <x:c r="D23" s="1005" t="n">
        <x:v>2.6999999999999997</x:v>
      </x:c>
      <x:c r="E23" s="1005" t="n">
        <x:v>0.2</x:v>
      </x:c>
      <x:c r="F23" s="1005" t="n">
        <x:v>0.9</x:v>
      </x:c>
      <x:c r="G23" s="1005" t="n">
        <x:v>3.5999999999999996</x:v>
      </x:c>
      <x:c r="H23" s="1005" t="n">
        <x:v>39.599999999999994</x:v>
      </x:c>
      <x:c r="I23" s="1004"/>
      <x:c r="J23" s="1004" t="str">
        <x:v>PROVIDED / CALCULATED</x:v>
      </x:c>
      <x:c r="K23" s="1004" t="str">
        <x:v>Citi email 11-Sep-2026</x:v>
      </x:c>
      <x:c r="L23" s="1003" t="str">
        <x:v>One additional buried straight-face course applied across this band.</x:v>
      </x:c>
    </x:row>
    <x:row r="24" ht="21.600000381469727" hidden="0" customHeight="1">
      <x:c r="A24" s="1003" t="str">
        <x:v>B03</x:v>
      </x:c>
      <x:c r="B24" s="1005" t="n">
        <x:v>11</x:v>
      </x:c>
      <x:c r="C24" s="1005" t="n">
        <x:v>0.8</x:v>
      </x:c>
      <x:c r="D24" s="1005" t="n">
        <x:v>8.8</x:v>
      </x:c>
      <x:c r="E24" s="1005" t="n">
        <x:v>0.2</x:v>
      </x:c>
      <x:c r="F24" s="1005" t="n">
        <x:v>2.2</x:v>
      </x:c>
      <x:c r="G24" s="1005" t="n">
        <x:v>11</x:v>
      </x:c>
      <x:c r="H24" s="1005" t="n">
        <x:v>121</x:v>
      </x:c>
      <x:c r="I24" s="1003"/>
      <x:c r="J24" s="1003" t="str">
        <x:v>PROVIDED / CALCULATED</x:v>
      </x:c>
      <x:c r="K24" s="1003" t="str">
        <x:v>Citi email 11-Sep-2026</x:v>
      </x:c>
      <x:c r="L24" s="1003" t="str">
        <x:v>One additional buried straight-face course applied across this band.</x:v>
      </x:c>
    </x:row>
    <x:row r="25" ht="21.600000381469727" hidden="0" customHeight="1">
      <x:c r="A25" s="1003" t="str">
        <x:v>B04</x:v>
      </x:c>
      <x:c r="B25" s="1005" t="n">
        <x:v>16</x:v>
      </x:c>
      <x:c r="C25" s="1005" t="n">
        <x:v>1.2</x:v>
      </x:c>
      <x:c r="D25" s="1005" t="n">
        <x:v>19.2</x:v>
      </x:c>
      <x:c r="E25" s="1005" t="n">
        <x:v>0.2</x:v>
      </x:c>
      <x:c r="F25" s="1005" t="n">
        <x:v>3.2</x:v>
      </x:c>
      <x:c r="G25" s="1005" t="n">
        <x:v>22.4</x:v>
      </x:c>
      <x:c r="H25" s="1005" t="n">
        <x:v>246.39999999999998</x:v>
      </x:c>
      <x:c r="I25" s="1003"/>
      <x:c r="J25" s="1003" t="str">
        <x:v>PROVIDED / CALCULATED</x:v>
      </x:c>
      <x:c r="K25" s="1003" t="str">
        <x:v>Citi email 11-Sep-2026</x:v>
      </x:c>
      <x:c r="L25" s="1003" t="str">
        <x:v>One additional buried straight-face course applied across this band.</x:v>
      </x:c>
    </x:row>
    <x:row r="26" ht="21.600000381469727" hidden="0" customHeight="1">
      <x:c r="A26" s="1003" t="str">
        <x:v>B05</x:v>
      </x:c>
      <x:c r="B26" s="1005" t="n">
        <x:v>14</x:v>
      </x:c>
      <x:c r="C26" s="1005" t="n">
        <x:v>1.4</x:v>
      </x:c>
      <x:c r="D26" s="1005" t="n">
        <x:v>19.599999999999998</x:v>
      </x:c>
      <x:c r="E26" s="1005" t="n">
        <x:v>0.2</x:v>
      </x:c>
      <x:c r="F26" s="1005" t="n">
        <x:v>2.8000000000000003</x:v>
      </x:c>
      <x:c r="G26" s="1005" t="n">
        <x:v>22.4</x:v>
      </x:c>
      <x:c r="H26" s="1005" t="n">
        <x:v>246.39999999999998</x:v>
      </x:c>
      <x:c r="I26" s="1003"/>
      <x:c r="J26" s="1003" t="str">
        <x:v>PROVIDED / CALCULATED</x:v>
      </x:c>
      <x:c r="K26" s="1003" t="str">
        <x:v>Citi email 11-Sep-2026</x:v>
      </x:c>
      <x:c r="L26" s="1003" t="str">
        <x:v>One additional buried straight-face course applied across this band.</x:v>
      </x:c>
    </x:row>
    <x:row r="27" ht="21.600000381469727" hidden="0" customHeight="1">
      <x:c r="A27" s="1003" t="str">
        <x:v>B06</x:v>
      </x:c>
      <x:c r="B27" s="1005" t="n">
        <x:v>6</x:v>
      </x:c>
      <x:c r="C27" s="1005" t="n">
        <x:v>1.7</x:v>
      </x:c>
      <x:c r="D27" s="1005" t="n">
        <x:v>10.2</x:v>
      </x:c>
      <x:c r="E27" s="1005" t="n">
        <x:v>0.2</x:v>
      </x:c>
      <x:c r="F27" s="1005" t="n">
        <x:v>1.2000000000000002</x:v>
      </x:c>
      <x:c r="G27" s="1005" t="n">
        <x:v>11.399999999999999</x:v>
      </x:c>
      <x:c r="H27" s="1005" t="n">
        <x:v>125.39999999999998</x:v>
      </x:c>
      <x:c r="I27" s="1003"/>
      <x:c r="J27" s="1003" t="str">
        <x:v>PROVIDED / CALCULATED</x:v>
      </x:c>
      <x:c r="K27" s="1003" t="str">
        <x:v>Citi email 11-Sep-2026</x:v>
      </x:c>
      <x:c r="L27" s="1003" t="str">
        <x:v>One additional buried straight-face course applied across this band.</x:v>
      </x:c>
    </x:row>
    <x:row r="28" ht="21.600000381469727" hidden="0" customHeight="1">
      <x:c r="A28" s="1003" t="str">
        <x:v>B07</x:v>
      </x:c>
      <x:c r="B28" s="1005" t="n">
        <x:v>13</x:v>
      </x:c>
      <x:c r="C28" s="1005" t="n">
        <x:v>1.8</x:v>
      </x:c>
      <x:c r="D28" s="1005" t="n">
        <x:v>23.400000000000002</x:v>
      </x:c>
      <x:c r="E28" s="1005" t="n">
        <x:v>0.2</x:v>
      </x:c>
      <x:c r="F28" s="1005" t="n">
        <x:v>2.6</x:v>
      </x:c>
      <x:c r="G28" s="1005" t="n">
        <x:v>26.000000000000004</x:v>
      </x:c>
      <x:c r="H28" s="1005" t="n">
        <x:v>286.00000000000006</x:v>
      </x:c>
      <x:c r="I28" s="1003"/>
      <x:c r="J28" s="1003" t="str">
        <x:v>PROVIDED / CALCULATED</x:v>
      </x:c>
      <x:c r="K28" s="1003" t="str">
        <x:v>Citi email 11-Sep-2026</x:v>
      </x:c>
      <x:c r="L28" s="1003" t="str">
        <x:v>One additional buried straight-face course applied across this band.</x:v>
      </x:c>
    </x:row>
    <x:row r="29" ht="21.600000381469727" hidden="0" customHeight="1">
      <x:c r="A29" s="1003" t="str">
        <x:v>B08</x:v>
      </x:c>
      <x:c r="B29" s="1005" t="n">
        <x:v>4.5</x:v>
      </x:c>
      <x:c r="C29" s="1005" t="n">
        <x:v>1.6</x:v>
      </x:c>
      <x:c r="D29" s="1005" t="n">
        <x:v>7.2</x:v>
      </x:c>
      <x:c r="E29" s="1005" t="n">
        <x:v>0.2</x:v>
      </x:c>
      <x:c r="F29" s="1005" t="n">
        <x:v>0.9</x:v>
      </x:c>
      <x:c r="G29" s="1005" t="n">
        <x:v>8.1</x:v>
      </x:c>
      <x:c r="H29" s="1005" t="n">
        <x:v>89.1</x:v>
      </x:c>
      <x:c r="I29" s="1003"/>
      <x:c r="J29" s="1003" t="str">
        <x:v>PROVIDED / CALCULATED</x:v>
      </x:c>
      <x:c r="K29" s="1003" t="str">
        <x:v>Citi email 11-Sep-2026</x:v>
      </x:c>
      <x:c r="L29" s="1003" t="str">
        <x:v>One additional buried straight-face course applied across this band.</x:v>
      </x:c>
    </x:row>
    <x:row r="30" ht="21.600000381469727" hidden="0" customHeight="1">
      <x:c r="A30" s="1003" t="str">
        <x:v>B09</x:v>
      </x:c>
      <x:c r="B30" s="1005" t="n">
        <x:v>6.5</x:v>
      </x:c>
      <x:c r="C30" s="1005" t="n">
        <x:v>1.2</x:v>
      </x:c>
      <x:c r="D30" s="1005" t="n">
        <x:v>7.8</x:v>
      </x:c>
      <x:c r="E30" s="1005" t="n">
        <x:v>0.2</x:v>
      </x:c>
      <x:c r="F30" s="1005" t="n">
        <x:v>1.3</x:v>
      </x:c>
      <x:c r="G30" s="1005" t="n">
        <x:v>9.1</x:v>
      </x:c>
      <x:c r="H30" s="1005" t="n">
        <x:v>100.1</x:v>
      </x:c>
      <x:c r="I30" s="1003"/>
      <x:c r="J30" s="1003" t="str">
        <x:v>PROVIDED / CALCULATED</x:v>
      </x:c>
      <x:c r="K30" s="1003" t="str">
        <x:v>Citi email 11-Sep-2026</x:v>
      </x:c>
      <x:c r="L30" s="1003" t="str">
        <x:v>One additional buried straight-face course applied across this band.</x:v>
      </x:c>
    </x:row>
    <x:row r="31" ht="32.400001525878906" hidden="0" customHeight="1">
      <x:c r="A31" s="1003" t="str">
        <x:v>TOTAL / CHECK</x:v>
      </x:c>
      <x:c r="B31" s="1005" t="n">
        <x:v>84</x:v>
      </x:c>
      <x:c r="C31" s="1005" t="n">
        <x:v>1.1976190476190476</x:v>
      </x:c>
      <x:c r="D31" s="1005" t="n">
        <x:v>100.6</x:v>
      </x:c>
      <x:c r="E31" s="1005" t="n">
        <x:v>0.2</x:v>
      </x:c>
      <x:c r="F31" s="1005" t="n">
        <x:v>16.8</x:v>
      </x:c>
      <x:c r="G31" s="1005" t="n">
        <x:v>117.4</x:v>
      </x:c>
      <x:c r="H31" s="1005" t="n">
        <x:v>1291.4</x:v>
      </x:c>
      <x:c r="I31" s="1003" t="str">
        <x:v>1,274 straight blocks quoted</x:v>
      </x:c>
      <x:c r="J31" s="1003" t="str">
        <x:v>AMBER - STRONGLY CORROBORATED</x:v>
      </x:c>
      <x:c r="K31" s="1003" t="str">
        <x:v>Citi Q1020 + Bryn email 11-Sep</x:v>
      </x:c>
      <x:c r="L31" s="1003" t="str">
        <x:v>Supplier length 84.0lm vs measured 82.93lm = +1.07lm / +1.29%. Straight-block check = 1274 quoted vs 1291.4 theoretical.</x:v>
      </x:c>
    </x:row>
    <x:row r="32" ht="21.600000381469727" hidden="0" customHeight="1">
      <x:c r="A32" s="1003" t="str">
        <x:v>CAP CHECK</x:v>
      </x:c>
      <x:c r="B32" s="1005" t="n">
        <x:v>84</x:v>
      </x:c>
      <x:c r="C32" s="1005"/>
      <x:c r="D32" s="1005"/>
      <x:c r="E32" s="1005"/>
      <x:c r="F32" s="1005"/>
      <x:c r="G32" s="1005"/>
      <x:c r="H32" s="1005" t="n">
        <x:v>183.96</x:v>
      </x:c>
      <x:c r="I32" s="1003" t="str">
        <x:v>187 caps quoted</x:v>
      </x:c>
      <x:c r="J32" s="1003" t="str">
        <x:v>AMBER - CORROBORATED</x:v>
      </x:c>
      <x:c r="K32" s="1003" t="str">
        <x:v>Citi Q1020</x:v>
      </x:c>
      <x:c r="L32" s="1003" t="str">
        <x:v>84.0lm x 2.19 caps/lm = 184.0; quote carries 187 (+1.65%).</x:v>
      </x:c>
    </x:row>
    <x:row r="33" ht="32.400001525878906" hidden="0" customHeight="1">
      <x:c r="A33" s="1003" t="str">
        <x:v>PALLET CASHFLOW CHECK</x:v>
      </x:c>
      <x:c r="B33" s="1003"/>
      <x:c r="C33" s="1003"/>
      <x:c r="D33" s="1003"/>
      <x:c r="E33" s="1003"/>
      <x:c r="F33" s="1003"/>
      <x:c r="G33" s="1003"/>
      <x:c r="H33" s="1003"/>
      <x:c r="I33" s="1003" t="str">
        <x:v>$1,656 refundable</x:v>
      </x:c>
      <x:c r="J33" s="1003" t="str">
        <x:v>CORRECTED</x:v>
      </x:c>
      <x:c r="K33" s="1003" t="str">
        <x:v>Citi Q1020</x:v>
      </x:c>
      <x:c r="L33" s="1003" t="str">
        <x:v>32 pallets x $51.75 = $1,656.00. Previous workbook note incorrectly stated $1,440. Net non-recoverable quote value if all pallets returned = $24,683.10.</x:v>
      </x:c>
    </x:row>
    <x:row r="34" ht="54" hidden="0" customHeight="1">
      <x:c r="A34" s="1003" t="str">
        <x:v>ADJUDICATION</x:v>
      </x:c>
      <x:c r="B34" s="1003"/>
      <x:c r="C34" s="1003"/>
      <x:c r="D34" s="1003"/>
      <x:c r="E34" s="1003"/>
      <x:c r="F34" s="1003"/>
      <x:c r="G34" s="1003"/>
      <x:c r="H34" s="1003"/>
      <x:c r="I34" s="1003" t="str">
        <x:v>No cost change</x:v>
      </x:c>
      <x:c r="J34" s="1003" t="str">
        <x:v>AMBER / DESIGN RED</x:v>
      </x:c>
      <x:c r="K34" s="1003" t="str">
        <x:v>Estimator review</x:v>
      </x:c>
      <x:c r="L34" s="1003" t="str">
        <x:v>Retire the previous +$13.3k generic 1.8m height sensitivity: Citi's quote already included bands up to 1.8m plus a buried course. Current RW01/RW02 PCs remain until the design authority conflict and installed scope are resolved.</x:v>
      </x:c>
    </x:row>
    <x:row r="36" ht="15" hidden="0" customHeight="1">
      <x:c r="A36" s="1002" t="str">
        <x:v>ALLIED Q-03 NO-FINES QUOTE / DHC S303 VOLUME VERIFICATION - 11-SEP-2026 - EVIDENCE ONLY</x:v>
      </x:c>
      <x:c r="B36" s="1002"/>
      <x:c r="C36" s="1002"/>
      <x:c r="D36" s="1002"/>
      <x:c r="E36" s="1002"/>
      <x:c r="F36" s="1002"/>
      <x:c r="G36" s="1002"/>
      <x:c r="H36" s="1002"/>
      <x:c r="I36" s="1002"/>
      <x:c r="J36" s="1002"/>
      <x:c r="K36" s="1002"/>
      <x:c r="L36" s="1002"/>
    </x:row>
    <x:row r="37" ht="21.600000381469727" hidden="0" customHeight="1">
      <x:c r="A37" s="1002" t="str">
        <x:v>Band</x:v>
      </x:c>
      <x:c r="B37" s="1002" t="str">
        <x:v>Length m</x:v>
      </x:c>
      <x:c r="C37" s="1002" t="str">
        <x:v>Height m</x:v>
      </x:c>
      <x:c r="D37" s="1002" t="str">
        <x:v>DHC width m</x:v>
      </x:c>
      <x:c r="E37" s="1002" t="str">
        <x:v>Calc volume m3</x:v>
      </x:c>
      <x:c r="F37" s="1002" t="str">
        <x:v>Supplier qty m3</x:v>
      </x:c>
      <x:c r="G37" s="1002" t="str">
        <x:v>Quote rate/m3</x:v>
      </x:c>
      <x:c r="H37" s="1002" t="str">
        <x:v>Fuel $/m3 current</x:v>
      </x:c>
      <x:c r="I37" s="1002" t="str">
        <x:v>Supply sensitivity</x:v>
      </x:c>
      <x:c r="J37" s="1002" t="str">
        <x:v>Verification</x:v>
      </x:c>
      <x:c r="K37" s="1002" t="str">
        <x:v>Source</x:v>
      </x:c>
      <x:c r="L37" s="1002" t="str">
        <x:v>Notes</x:v>
      </x:c>
    </x:row>
    <x:row r="38" ht="15" hidden="0" customHeight="1">
      <x:c r="A38" s="1003" t="str">
        <x:v>NF01</x:v>
      </x:c>
      <x:c r="B38" s="1005" t="n">
        <x:v>8.5</x:v>
      </x:c>
      <x:c r="C38" s="1005" t="n">
        <x:v>0.2</x:v>
      </x:c>
      <x:c r="D38" s="1005" t="n">
        <x:v>0.15</x:v>
      </x:c>
      <x:c r="E38" s="1005" t="n">
        <x:v>0.255</x:v>
      </x:c>
      <x:c r="F38" s="1005"/>
      <x:c r="G38" s="1005"/>
      <x:c r="H38" s="1005"/>
      <x:c r="I38" s="1005"/>
      <x:c r="J38" s="1003" t="str">
        <x:v>CALCULATED</x:v>
      </x:c>
      <x:c r="K38" s="1003" t="str">
        <x:v>DHC S303 + Citi bands</x:v>
      </x:c>
      <x:c r="L38" s="1003" t="str">
        <x:v>Width selected from S303 Wall Design Table by H max.</x:v>
      </x:c>
    </x:row>
    <x:row r="39" ht="15" hidden="0" customHeight="1">
      <x:c r="A39" s="1003" t="str">
        <x:v>NF02</x:v>
      </x:c>
      <x:c r="B39" s="1005" t="n">
        <x:v>4.5</x:v>
      </x:c>
      <x:c r="C39" s="1005" t="n">
        <x:v>0.6</x:v>
      </x:c>
      <x:c r="D39" s="1005" t="n">
        <x:v>0.15</x:v>
      </x:c>
      <x:c r="E39" s="1005" t="n">
        <x:v>0.40499999999999997</x:v>
      </x:c>
      <x:c r="F39" s="1005"/>
      <x:c r="G39" s="1005"/>
      <x:c r="H39" s="1005"/>
      <x:c r="I39" s="1005"/>
      <x:c r="J39" s="1003" t="str">
        <x:v>CALCULATED</x:v>
      </x:c>
      <x:c r="K39" s="1003" t="str">
        <x:v>DHC S303 + Citi bands</x:v>
      </x:c>
      <x:c r="L39" s="1003" t="str">
        <x:v>Width selected from S303 Wall Design Table by H max.</x:v>
      </x:c>
    </x:row>
    <x:row r="40" ht="15" hidden="0" customHeight="1">
      <x:c r="A40" s="1003" t="str">
        <x:v>NF03</x:v>
      </x:c>
      <x:c r="B40" s="1005" t="n">
        <x:v>11</x:v>
      </x:c>
      <x:c r="C40" s="1005" t="n">
        <x:v>0.8</x:v>
      </x:c>
      <x:c r="D40" s="1005" t="n">
        <x:v>0.3</x:v>
      </x:c>
      <x:c r="E40" s="1005" t="n">
        <x:v>2.64</x:v>
      </x:c>
      <x:c r="F40" s="1005"/>
      <x:c r="G40" s="1005"/>
      <x:c r="H40" s="1005"/>
      <x:c r="I40" s="1005"/>
      <x:c r="J40" s="1003" t="str">
        <x:v>CALCULATED</x:v>
      </x:c>
      <x:c r="K40" s="1003" t="str">
        <x:v>DHC S303 + Citi bands</x:v>
      </x:c>
      <x:c r="L40" s="1003" t="str">
        <x:v>Width selected from S303 Wall Design Table by H max.</x:v>
      </x:c>
    </x:row>
    <x:row r="41" ht="15" hidden="0" customHeight="1">
      <x:c r="A41" s="1003" t="str">
        <x:v>NF04</x:v>
      </x:c>
      <x:c r="B41" s="1005" t="n">
        <x:v>16</x:v>
      </x:c>
      <x:c r="C41" s="1005" t="n">
        <x:v>1.2</x:v>
      </x:c>
      <x:c r="D41" s="1005" t="n">
        <x:v>0.3</x:v>
      </x:c>
      <x:c r="E41" s="1005" t="n">
        <x:v>5.76</x:v>
      </x:c>
      <x:c r="F41" s="1005"/>
      <x:c r="G41" s="1005"/>
      <x:c r="H41" s="1005"/>
      <x:c r="I41" s="1005"/>
      <x:c r="J41" s="1003" t="str">
        <x:v>CALCULATED</x:v>
      </x:c>
      <x:c r="K41" s="1003" t="str">
        <x:v>DHC S303 + Citi bands</x:v>
      </x:c>
      <x:c r="L41" s="1003" t="str">
        <x:v>Width selected from S303 Wall Design Table by H max.</x:v>
      </x:c>
    </x:row>
    <x:row r="42" ht="15" hidden="0" customHeight="1">
      <x:c r="A42" s="1003" t="str">
        <x:v>NF05</x:v>
      </x:c>
      <x:c r="B42" s="1005" t="n">
        <x:v>14</x:v>
      </x:c>
      <x:c r="C42" s="1005" t="n">
        <x:v>1.4</x:v>
      </x:c>
      <x:c r="D42" s="1005" t="n">
        <x:v>0.55</x:v>
      </x:c>
      <x:c r="E42" s="1005" t="n">
        <x:v>10.78</x:v>
      </x:c>
      <x:c r="F42" s="1005"/>
      <x:c r="G42" s="1005"/>
      <x:c r="H42" s="1005"/>
      <x:c r="I42" s="1005"/>
      <x:c r="J42" s="1003" t="str">
        <x:v>CALCULATED</x:v>
      </x:c>
      <x:c r="K42" s="1003" t="str">
        <x:v>DHC S303 + Citi bands</x:v>
      </x:c>
      <x:c r="L42" s="1003" t="str">
        <x:v>Width selected from S303 Wall Design Table by H max.</x:v>
      </x:c>
    </x:row>
    <x:row r="43" ht="15" hidden="0" customHeight="1">
      <x:c r="A43" s="1003" t="str">
        <x:v>NF06</x:v>
      </x:c>
      <x:c r="B43" s="1005" t="n">
        <x:v>6</x:v>
      </x:c>
      <x:c r="C43" s="1005" t="n">
        <x:v>1.7</x:v>
      </x:c>
      <x:c r="D43" s="1005" t="n">
        <x:v>0.65</x:v>
      </x:c>
      <x:c r="E43" s="1005" t="n">
        <x:v>6.63</x:v>
      </x:c>
      <x:c r="F43" s="1005"/>
      <x:c r="G43" s="1005"/>
      <x:c r="H43" s="1005"/>
      <x:c r="I43" s="1005"/>
      <x:c r="J43" s="1003" t="str">
        <x:v>CALCULATED</x:v>
      </x:c>
      <x:c r="K43" s="1003" t="str">
        <x:v>DHC S303 + Citi bands</x:v>
      </x:c>
      <x:c r="L43" s="1003" t="str">
        <x:v>Width selected from S303 Wall Design Table by H max.</x:v>
      </x:c>
    </x:row>
    <x:row r="44" ht="15" hidden="0" customHeight="1">
      <x:c r="A44" s="1003" t="str">
        <x:v>NF07</x:v>
      </x:c>
      <x:c r="B44" s="1005" t="n">
        <x:v>13</x:v>
      </x:c>
      <x:c r="C44" s="1005" t="n">
        <x:v>1.8</x:v>
      </x:c>
      <x:c r="D44" s="1005" t="n">
        <x:v>0.65</x:v>
      </x:c>
      <x:c r="E44" s="1005" t="n">
        <x:v>15.210000000000003</x:v>
      </x:c>
      <x:c r="F44" s="1005"/>
      <x:c r="G44" s="1005"/>
      <x:c r="H44" s="1005"/>
      <x:c r="I44" s="1005"/>
      <x:c r="J44" s="1003" t="str">
        <x:v>CALCULATED</x:v>
      </x:c>
      <x:c r="K44" s="1003" t="str">
        <x:v>DHC S303 + Citi bands</x:v>
      </x:c>
      <x:c r="L44" s="1003" t="str">
        <x:v>Width selected from S303 Wall Design Table by H max.</x:v>
      </x:c>
    </x:row>
    <x:row r="45" ht="15" hidden="0" customHeight="1">
      <x:c r="A45" s="1003" t="str">
        <x:v>NF08</x:v>
      </x:c>
      <x:c r="B45" s="1005" t="n">
        <x:v>4.5</x:v>
      </x:c>
      <x:c r="C45" s="1005" t="n">
        <x:v>1.6</x:v>
      </x:c>
      <x:c r="D45" s="1005" t="n">
        <x:v>0.55</x:v>
      </x:c>
      <x:c r="E45" s="1005" t="n">
        <x:v>3.9600000000000004</x:v>
      </x:c>
      <x:c r="F45" s="1005"/>
      <x:c r="G45" s="1005"/>
      <x:c r="H45" s="1005"/>
      <x:c r="I45" s="1005"/>
      <x:c r="J45" s="1003" t="str">
        <x:v>CALCULATED</x:v>
      </x:c>
      <x:c r="K45" s="1003" t="str">
        <x:v>DHC S303 + Citi bands</x:v>
      </x:c>
      <x:c r="L45" s="1003" t="str">
        <x:v>Width selected from S303 Wall Design Table by H max.</x:v>
      </x:c>
    </x:row>
    <x:row r="46" ht="15" hidden="0" customHeight="1">
      <x:c r="A46" s="1003" t="str">
        <x:v>NF09</x:v>
      </x:c>
      <x:c r="B46" s="1005" t="n">
        <x:v>6.5</x:v>
      </x:c>
      <x:c r="C46" s="1005" t="n">
        <x:v>1.2</x:v>
      </x:c>
      <x:c r="D46" s="1005" t="n">
        <x:v>0.3</x:v>
      </x:c>
      <x:c r="E46" s="1005" t="n">
        <x:v>2.34</x:v>
      </x:c>
      <x:c r="F46" s="1005"/>
      <x:c r="G46" s="1005"/>
      <x:c r="H46" s="1005"/>
      <x:c r="I46" s="1005"/>
      <x:c r="J46" s="1003" t="str">
        <x:v>CALCULATED</x:v>
      </x:c>
      <x:c r="K46" s="1003" t="str">
        <x:v>DHC S303 + Citi bands</x:v>
      </x:c>
      <x:c r="L46" s="1003" t="str">
        <x:v>Width selected from S303 Wall Design Table by H max.</x:v>
      </x:c>
    </x:row>
    <x:row r="47" ht="43.20000076293945" hidden="0" customHeight="1">
      <x:c r="A47" s="1003" t="str">
        <x:v>TOTAL / CHECK</x:v>
      </x:c>
      <x:c r="B47" s="1005" t="n">
        <x:v>84</x:v>
      </x:c>
      <x:c r="C47" s="1005"/>
      <x:c r="D47" s="1005"/>
      <x:c r="E47" s="1005" t="n">
        <x:v>47.980000000000004</x:v>
      </x:c>
      <x:c r="F47" s="1005" t="n">
        <x:v>50</x:v>
      </x:c>
      <x:c r="G47" s="1005" t="n">
        <x:v>295</x:v>
      </x:c>
      <x:c r="H47" s="1005" t="n">
        <x:v>6.99</x:v>
      </x:c>
      <x:c r="I47" s="1005" t="n">
        <x:v>15099.5</x:v>
      </x:c>
      <x:c r="J47" s="1003" t="str">
        <x:v>AMBER - QUANTITY/RATE STRONGLY CORROBORATED</x:v>
      </x:c>
      <x:c r="K47" s="1003" t="str">
        <x:v>Allied Quote 11092026SX3BEARS + DHC S303 + Citi 11-Sep</x:v>
      </x:c>
      <x:c r="L47" s="1003" t="str">
        <x:v>Structural calculation 47.98m3 vs Allied estimate 50m3 (+4.2%). Current supply sensitivity includes the published $6.99/m3 fuel surcharge.</x:v>
      </x:c>
    </x:row>
    <x:row r="48" ht="54" hidden="0" customHeight="1">
      <x:c r="A48" s="1003" t="str">
        <x:v>RW04 WORKING CONTROL</x:v>
      </x:c>
      <x:c r="B48" s="1005"/>
      <x:c r="C48" s="1005"/>
      <x:c r="D48" s="1005"/>
      <x:c r="E48" s="1005"/>
      <x:c r="F48" s="1005"/>
      <x:c r="G48" s="1005"/>
      <x:c r="H48" s="1005"/>
      <x:c r="I48" s="1005" t="n">
        <x:v>18000</x:v>
      </x:c>
      <x:c r="J48" s="1003" t="str">
        <x:v>AMBER - RETAIN</x:v>
      </x:c>
      <x:c r="K48" s="1003" t="str">
        <x:v>Existing estimate control</x:v>
      </x:c>
      <x:c r="L48" s="1003" t="str">
        <x:v>Keep $18,000 until placement methodology is evidenced. Current quoted supply + fuel = $15,099.50, leaving $2,900.50 headroom for placement/handling/conditional charges. That residual is an allowance, not a quote.</x:v>
      </x:c>
    </x:row>
    <x:row r="49" ht="54" hidden="0" customHeight="1">
      <x:c r="A49" s="1003" t="str">
        <x:v>QUOTE TERMS</x:v>
      </x:c>
      <x:c r="B49" s="1003"/>
      <x:c r="C49" s="1003"/>
      <x:c r="D49" s="1003"/>
      <x:c r="E49" s="1003"/>
      <x:c r="F49" s="1003"/>
      <x:c r="G49" s="1003"/>
      <x:c r="H49" s="1003"/>
      <x:c r="I49" s="1003"/>
      <x:c r="J49" s="1003" t="str">
        <x:v>AMBER</x:v>
      </x:c>
      <x:c r="K49" s="1003" t="str">
        <x:v>Allied quote</x:v>
      </x:c>
      <x:c r="L49" s="1003" t="str">
        <x:v>Price shown GST-exclusive. Fuel surcharge variable. Quote header says expiry 11-Dec-2026 / prices held 60 days, while standard terms also state 20 business days; tender is within either period. Confirm validity at award/order.</x:v>
      </x:c>
    </x:row>
    <x:row r="51" ht="15" hidden="0" customHeight="1">
      <x:c r="A51" s="1002" t="str">
        <x:v>REV17 EARTHWORKS QUANTITY RECONCILIATION - NON-ADDITIVE SENSITIVITY / RFI-15</x:v>
      </x:c>
      <x:c r="B51" s="1002"/>
      <x:c r="C51" s="1002"/>
      <x:c r="D51" s="1002"/>
      <x:c r="E51" s="1002"/>
      <x:c r="F51" s="1002"/>
      <x:c r="G51" s="1002"/>
      <x:c r="H51" s="1002"/>
      <x:c r="I51" s="1002"/>
      <x:c r="J51" s="1002"/>
      <x:c r="K51" s="1002"/>
      <x:c r="L51" s="1002"/>
    </x:row>
    <x:row r="52" ht="15" hidden="0" customHeight="1">
      <x:c r="A52" s="1002" t="str">
        <x:v>Basis</x:v>
      </x:c>
      <x:c r="B52" s="1002" t="str">
        <x:v>Cut m3</x:v>
      </x:c>
      <x:c r="C52" s="1002" t="str">
        <x:v>Fill m3</x:v>
      </x:c>
      <x:c r="D52" s="1002" t="str">
        <x:v>Net import m3</x:v>
      </x:c>
      <x:c r="E52" s="1002" t="str">
        <x:v>Fill delta</x:v>
      </x:c>
      <x:c r="F52" s="1002" t="str">
        <x:v>Import delta</x:v>
      </x:c>
      <x:c r="G52" s="1002" t="str">
        <x:v>EW02 direct sensitivity</x:v>
      </x:c>
      <x:c r="H52" s="1002" t="str">
        <x:v>EW09 PC sensitivity</x:v>
      </x:c>
      <x:c r="I52" s="1002" t="str">
        <x:v>Direct delta</x:v>
      </x:c>
      <x:c r="J52" s="1002" t="str">
        <x:v>Status</x:v>
      </x:c>
      <x:c r="K52" s="1002" t="str">
        <x:v>Source</x:v>
      </x:c>
      <x:c r="L52" s="1002" t="str">
        <x:v>Action</x:v>
      </x:c>
    </x:row>
    <x:row r="53" ht="32.400001525878906" hidden="0" customHeight="1">
      <x:c r="A53" s="1003" t="str">
        <x:v>Current tender control - Yodha RevB</x:v>
      </x:c>
      <x:c r="B53" s="1005" t="n">
        <x:v>110</x:v>
      </x:c>
      <x:c r="C53" s="1005" t="n">
        <x:v>1033</x:v>
      </x:c>
      <x:c r="D53" s="1005" t="n">
        <x:v>923</x:v>
      </x:c>
      <x:c r="E53" s="1005" t="n">
        <x:v>0</x:v>
      </x:c>
      <x:c r="F53" s="1005" t="n">
        <x:v>0</x:v>
      </x:c>
      <x:c r="G53" s="1005" t="n">
        <x:v>0</x:v>
      </x:c>
      <x:c r="H53" s="1005" t="n">
        <x:v>0</x:v>
      </x:c>
      <x:c r="I53" s="1005" t="n">
        <x:v>0</x:v>
      </x:c>
      <x:c r="J53" s="1003" t="str">
        <x:v>CURRENT / AMBER</x:v>
      </x:c>
      <x:c r="K53" s="1003" t="str">
        <x:v>Yodha Infrastructure Assessment RevB</x:v>
      </x:c>
      <x:c r="L53" s="1003" t="str">
        <x:v>Retain live until reconciliation.</x:v>
      </x:c>
    </x:row>
    <x:row r="54" ht="43.20000076293945" hidden="0" customHeight="1">
      <x:c r="A54" s="1003" t="str">
        <x:v>Latest Architectural Rev17 site calculations</x:v>
      </x:c>
      <x:c r="B54" s="1005" t="n">
        <x:v>113</x:v>
      </x:c>
      <x:c r="C54" s="1005" t="n">
        <x:v>1310</x:v>
      </x:c>
      <x:c r="D54" s="1005" t="n">
        <x:v>1197</x:v>
      </x:c>
      <x:c r="E54" s="1005" t="n">
        <x:v>277</x:v>
      </x:c>
      <x:c r="F54" s="1005" t="n">
        <x:v>274</x:v>
      </x:c>
      <x:c r="G54" s="1005" t="n">
        <x:v>5503.066666666667</x:v>
      </x:c>
      <x:c r="H54" s="1005" t="n">
        <x:v>17811.48429035753</x:v>
      </x:c>
      <x:c r="I54" s="1005" t="n">
        <x:v>23314.550957024196</x:v>
      </x:c>
      <x:c r="J54" s="1003" t="str">
        <x:v>RED - DOCUMENT CONFLICT / NOT LIVE</x:v>
      </x:c>
      <x:c r="K54" s="1003" t="str">
        <x:v>Arch A1 Rev17 issued by TPW 11-Sep</x:v>
      </x:c>
      <x:c r="L54" s="1003" t="str">
        <x:v>TPW/Yodha to confirm governing earthworks quantities. Programme/Weather must be rerun if Rev17 volumes govern.</x:v>
      </x:c>
    </x:row>
    <x:row r="55" ht="21.600000381469727" hidden="0" customHeight="1">
      <x:c r="A55" s="1003" t="str">
        <x:v>Sensitivity note</x:v>
      </x:c>
      <x:c r="B55" s="1005"/>
      <x:c r="C55" s="1005"/>
      <x:c r="D55" s="1005"/>
      <x:c r="E55" s="1005"/>
      <x:c r="F55" s="1005"/>
      <x:c r="G55" s="1005"/>
      <x:c r="H55" s="1005"/>
      <x:c r="I55" s="1005"/>
      <x:c r="J55" s="1003" t="str">
        <x:v>NOT ADDITIVE</x:v>
      </x:c>
      <x:c r="K55" s="1003" t="str">
        <x:v>https://mail.google.com/mail/#all/1a08e15948fdc5bb</x:v>
      </x:c>
      <x:c r="L55" s="1003" t="str">
        <x:v>Direct-only sensitivity +$23,314.55 before Weather/OH/profit. No unsupported live adjustment.</x:v>
      </x:c>
    </x:row>
  </x:sheetData>
  <x:mergeCells>
    <x:mergeCell ref="A1:L1"/>
    <x:mergeCell ref="A2:L2"/>
    <x:mergeCell ref="A20:L20"/>
    <x:mergeCell ref="A36:L36"/>
    <x:mergeCell ref="A51:L51"/>
  </x:mergeCells>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28" hidden="0" customWidth="1"/>
    <x:col min="3" max="3" width="46" hidden="0" customWidth="1"/>
    <x:col min="4" max="4" width="30" hidden="0" customWidth="1"/>
    <x:col min="5" max="5" width="32" hidden="0" customWidth="1"/>
    <x:col min="6" max="6" width="15" hidden="0" customWidth="1"/>
  </x:cols>
  <x:sheetData>
    <x:row r="1" ht="39.599998474121094" hidden="0" customHeight="1">
      <x:c r="A1" s="915" t="str">
        <x:v>REV21 FORMAL ERB ADJUDICATION - 329 HOBSONVILLE ROAD</x:v>
      </x:c>
      <x:c r="B1" s="915"/>
      <x:c r="C1" s="915"/>
      <x:c r="D1" s="915"/>
      <x:c r="E1" s="915"/>
      <x:c r="F1" s="915"/>
    </x:row>
    <x:row r="2"/>
    <x:row r="3" ht="15" hidden="0" customHeight="1">
      <x:c r="A3" t="str">
        <x:v>Frozen pre-Board primary</x:v>
      </x:c>
      <x:c r="B3" s="27" t="str">
        <x:v>Rev19 client-safe</x:v>
      </x:c>
    </x:row>
    <x:row r="4" ht="15" hidden="0" customHeight="1">
      <x:c r="A4" t="str">
        <x:v>Frozen Rev19 tender excl GST / pre-OH-profit</x:v>
      </x:c>
      <x:c r="B4" s="596" t="n">
        <x:v>463359.07696681964</x:v>
      </x:c>
    </x:row>
    <x:row r="5" ht="15" hidden="0" customHeight="1">
      <x:c r="A5" t="str">
        <x:v>Clean-room whole estimates</x:v>
      </x:c>
      <x:c r="B5" s="27" t="str">
        <x:v>ERB-01 $529,000 | ERB-02 $418,000 | ERB-03 $546,250</x:v>
      </x:c>
    </x:row>
    <x:row r="6" ht="15" hidden="0" customHeight="1">
      <x:c r="A6" t="str">
        <x:v>Board rule</x:v>
      </x:c>
      <x:c r="B6" s="27" t="str">
        <x:v>No averaging / no voting; strongest aligned evidence wins.</x:v>
      </x:c>
    </x:row>
    <x:row r="7" ht="15" hidden="0" customHeight="1">
      <x:c r="A7" t="str">
        <x:v>Rev21 dry tender programme</x:v>
      </x:c>
      <x:c r="B7" s="27" t="str">
        <x:v>55 working days</x:v>
      </x:c>
    </x:row>
    <x:row r="8" ht="15" hidden="0" customHeight="1">
      <x:c r="A8" t="str">
        <x:v>Weather status</x:v>
      </x:c>
      <x:c r="B8" s="27" t="str">
        <x:v>Rev21 tender-scenario run complete: 8.829WD delay / CA10 $17,883.54</x:v>
      </x:c>
    </x:row>
    <x:row r="9" ht="15" hidden="0" customHeight="1">
      <x:c r="A9" t="str">
        <x:v>Release status</x:v>
      </x:c>
      <x:c r="B9" s="27" t="str">
        <x:v>HOLD - 33m2 ramp/entry/steps owner / retaining height / PV01 concrete productivity / material quotes / crossing-OLFP-topsoil interfaces</x:v>
      </x:c>
    </x:row>
    <x:row r="10"/>
    <x:row r="11" ht="15" hidden="0" customHeight="1">
      <x:c r="A11" s="914" t="str">
        <x:v>Topic</x:v>
      </x:c>
      <x:c r="B11" s="914" t="str">
        <x:v>Frozen Rev19</x:v>
      </x:c>
      <x:c r="C11" s="914" t="str">
        <x:v>Board evidence</x:v>
      </x:c>
      <x:c r="D11" s="914" t="str">
        <x:v>Adjudication</x:v>
      </x:c>
      <x:c r="E11" s="914" t="str">
        <x:v>Cost treatment</x:v>
      </x:c>
      <x:c r="F11" s="914" t="str">
        <x:v>Status</x:v>
      </x:c>
    </x:row>
    <x:row r="12" ht="15" hidden="0" customHeight="1">
      <x:c r="A12" t="str">
        <x:v>Programme</x:v>
      </x:c>
      <x:c r="B12" t="str">
        <x:v>40WD</x:v>
      </x:c>
      <x:c r="C12" t="str">
        <x:v>ERB-08 59WD detailed; ERB-06 concurrent workfront challenge</x:v>
      </x:c>
      <x:c r="D12" t="str">
        <x:v>ACCEPT 55WD dry sequence</x:v>
      </x:c>
      <x:c r="E12" t="str">
        <x:v>PG01 base duration revised</x:v>
      </x:c>
      <x:c r="F12" t="str">
        <x:v>AMBER</x:v>
      </x:c>
    </x:row>
    <x:row r="13" ht="15" hidden="0" customHeight="1">
      <x:c r="A13" t="str">
        <x:v>P&amp;G</x:v>
      </x:c>
      <x:c r="B13" t="str">
        <x:v>$42,820</x:v>
      </x:c>
      <x:c r="C13" t="str">
        <x:v>Time-related prelims must follow accepted dry programme</x:v>
      </x:c>
      <x:c r="D13" t="str">
        <x:v>ACCEPT</x:v>
      </x:c>
      <x:c r="E13" t="str">
        <x:v>Supervisor 440h; facilities 11 weeks</x:v>
      </x:c>
      <x:c r="F13" t="str">
        <x:v>AMBER</x:v>
      </x:c>
    </x:row>
    <x:row r="14" ht="15" hidden="0" customHeight="1">
      <x:c r="A14" t="str">
        <x:v>Earthworks mass balance</x:v>
      </x:c>
      <x:c r="B14" t="str">
        <x:v>110 cut / 1,033 fill / 923 import</x:v>
      </x:c>
      <x:c r="C14" t="str">
        <x:v>Whole reviewers + ERB-05 align</x:v>
      </x:c>
      <x:c r="D14" t="str">
        <x:v>UPHOLD</x:v>
      </x:c>
      <x:c r="E14" t="str">
        <x:v>No cost change</x:v>
      </x:c>
      <x:c r="F14" t="str">
        <x:v>GREEN/AMBER</x:v>
      </x:c>
    </x:row>
    <x:row r="15" ht="15" hidden="0" customHeight="1">
      <x:c r="A15" t="str">
        <x:v>Topsoil</x:v>
      </x:c>
      <x:c r="B15" t="str">
        <x:v>No second bulk qty; $10k incidental disposal PC</x:v>
      </x:c>
      <x:c r="C15" t="str">
        <x:v>630-840m3 handling sensitivity; not disposal</x:v>
      </x:c>
      <x:c r="D15" t="str">
        <x:v>UPHOLD METHOD</x:v>
      </x:c>
      <x:c r="E15" t="str">
        <x:v>Retain PC / RFI reuse-export</x:v>
      </x:c>
      <x:c r="F15" t="str">
        <x:v>AMBER</x:v>
      </x:c>
    </x:row>
    <x:row r="16" ht="15" hidden="0" customHeight="1">
      <x:c r="A16" t="str">
        <x:v>External concrete total</x:v>
      </x:c>
      <x:c r="B16" t="str">
        <x:v>498m2 split 451.1 +46.9</x:v>
      </x:c>
      <x:c r="C16" t="str">
        <x:v>Arch says 498m2 incl paths; ERB-05 ~410m2 main area</x:v>
      </x:c>
      <x:c r="D16" t="str">
        <x:v>UPHOLD TOTAL / VERIFY SPLIT</x:v>
      </x:c>
      <x:c r="E16" t="str">
        <x:v>No current total change</x:v>
      </x:c>
      <x:c r="F16" t="str">
        <x:v>AMBER</x:v>
      </x:c>
    </x:row>
    <x:row r="17" ht="15" hidden="0" customHeight="1">
      <x:c r="A17" t="str">
        <x:v>Public crossing</x:v>
      </x:c>
      <x:c r="B17" t="str">
        <x:v>37.7665m2 / $18.25k PC</x:v>
      </x:c>
      <x:c r="C17" t="str">
        <x:v>ERB-05 40-44m2 + road reinstatement</x:v>
      </x:c>
      <x:c r="D17" t="str">
        <x:v>REOPEN QTY / INTERFACE</x:v>
      </x:c>
      <x:c r="E17" t="str">
        <x:v>Retain PC until quote/final measure</x:v>
      </x:c>
      <x:c r="F17" t="str">
        <x:v>AMBER</x:v>
      </x:c>
    </x:row>
    <x:row r="18" ht="15" hidden="0" customHeight="1">
      <x:c r="A18" t="str">
        <x:v>Retaining</x:v>
      </x:c>
      <x:c r="B18" t="str">
        <x:v>82.93lm / PCs</x:v>
      </x:c>
      <x:c r="C18" t="str">
        <x:v>Length corroborated; 1.5m vs1.8m conflict</x:v>
      </x:c>
      <x:c r="D18" t="str">
        <x:v>UPHOLD LENGTH / RFI HEIGHT</x:v>
      </x:c>
      <x:c r="E18" t="str">
        <x:v>PCs retained</x:v>
      </x:c>
      <x:c r="F18" t="str">
        <x:v>RED</x:v>
      </x:c>
    </x:row>
    <x:row r="19" ht="15" hidden="0" customHeight="1">
      <x:c r="A19" t="str">
        <x:v>Bored holes</x:v>
      </x:c>
      <x:c r="B19" t="str">
        <x:v>14 PILE2 +7 PILE1</x:v>
      </x:c>
      <x:c r="C19" t="str">
        <x:v>Board corroborated 21 holes</x:v>
      </x:c>
      <x:c r="D19" t="str">
        <x:v>UPHOLD</x:v>
      </x:c>
      <x:c r="E19" t="str">
        <x:v>No change</x:v>
      </x:c>
      <x:c r="F19" t="str">
        <x:v>AMBER</x:v>
      </x:c>
    </x:row>
    <x:row r="20" ht="15" hidden="0" customHeight="1">
      <x:c r="A20" t="str">
        <x:v>Allproof</x:v>
      </x:c>
      <x:c r="B20" t="str">
        <x:v>44m +44 caps / $40k PC</x:v>
      </x:c>
      <x:c r="C20" t="str">
        <x:v>Post-clean-room supplier clarification is stronger evidence</x:v>
      </x:c>
      <x:c r="D20" t="str">
        <x:v>UPHOLD QTY</x:v>
      </x:c>
      <x:c r="E20" t="str">
        <x:v>PC retained pending grate/outlet</x:v>
      </x:c>
      <x:c r="F20" t="str">
        <x:v>AMBER</x:v>
      </x:c>
    </x:row>
    <x:row r="21" ht="15" hidden="0" customHeight="1">
      <x:c r="A21" t="str">
        <x:v>Dry services</x:v>
      </x:c>
      <x:c r="B21" t="str">
        <x:v>$15k PC</x:v>
      </x:c>
      <x:c r="C21" t="str">
        <x:v>No safe measured route/section</x:v>
      </x:c>
      <x:c r="D21" t="str">
        <x:v>UPHOLD PC</x:v>
      </x:c>
      <x:c r="E21" t="str">
        <x:v>No change</x:v>
      </x:c>
      <x:c r="F21" t="str">
        <x:v>AMBER</x:v>
      </x:c>
    </x:row>
    <x:row r="22" ht="15" hidden="0" customHeight="1">
      <x:c r="A22" t="str">
        <x:v>OLFP</x:v>
      </x:c>
      <x:c r="B22" t="str">
        <x:v>94.08lm / $5.5k combined PCs</x:v>
      </x:c>
      <x:c r="C22" t="str">
        <x:v>Board unable to independently reproduce discrete extent</x:v>
      </x:c>
      <x:c r="D22" t="str">
        <x:v>VERIFY SOURCE / OWNERSHIP</x:v>
      </x:c>
      <x:c r="E22" t="str">
        <x:v>PCs retained</x:v>
      </x:c>
      <x:c r="F22" t="str">
        <x:v>AMBER</x:v>
      </x:c>
    </x:row>
    <x:row r="23" ht="15" hidden="0" customHeight="1">
      <x:c r="A23" t="str">
        <x:v>Speed controls</x:v>
      </x:c>
      <x:c r="B23" t="str">
        <x:v>$4,000 PC in Rev20</x:v>
      </x:c>
      <x:c r="C23" t="str">
        <x:v>Existing topo Speed Bump only; no proposed new device located</x:v>
      </x:c>
      <x:c r="D23" t="str">
        <x:v>REMOVE / EXCLUDE CURRENT BASIS</x:v>
      </x:c>
      <x:c r="E23" t="str">
        <x:v>$0</x:v>
      </x:c>
      <x:c r="F23" t="str">
        <x:v>AMBER / CLOSED CURRENT BASIS</x:v>
      </x:c>
    </x:row>
    <x:row r="24" ht="15" hidden="0" customHeight="1">
      <x:c r="A24" t="str">
        <x:v>Rates</x:v>
      </x:c>
      <x:c r="B24" t="str">
        <x:v>Mixed current source / PCs</x:v>
      </x:c>
      <x:c r="C24" t="str">
        <x:v>ERB-07 market benchmarks</x:v>
      </x:c>
      <x:c r="D24" t="str">
        <x:v>NO WHOLESALE RESET</x:v>
      </x:c>
      <x:c r="E24" t="str">
        <x:v>Quote-normalize line by line</x:v>
      </x:c>
      <x:c r="F24" t="str">
        <x:v>AMBER</x:v>
      </x:c>
    </x:row>
    <x:row r="25" ht="15" hidden="0" customHeight="1">
      <x:c r="A25" t="str">
        <x:v>Weather</x:v>
      </x:c>
      <x:c r="B25" t="str">
        <x:v>$17,883.54 Rev21</x:v>
      </x:c>
      <x:c r="C25" t="str">
        <x:v>Exact Rev2 formula reproduction / 55WD Board programme</x:v>
      </x:c>
      <x:c r="D25" t="str">
        <x:v>RERUN COMPLETE FOR TENDER SCENARIO</x:v>
      </x:c>
      <x:c r="E25" t="str">
        <x:v>CA10 $17,883.54</x:v>
      </x:c>
      <x:c r="F25" t="str">
        <x:v>AMBER</x:v>
      </x:c>
    </x:row>
    <x:row r="26" ht="15" hidden="0" customHeight="1">
      <x:c r="A26" t="str">
        <x:v>OH / profit</x:v>
      </x:c>
      <x:c r="B26" t="str">
        <x:v>10% OH + 15% true margin</x:v>
      </x:c>
      <x:c r="C26" t="str">
        <x:v>Rick Jones instruction 12-Sep-2026</x:v>
      </x:c>
      <x:c r="D26" t="str">
        <x:v>ADOPT</x:v>
      </x:c>
      <x:c r="E26" t="str">
        <x:v>CA17/CA18 active</x:v>
      </x:c>
      <x:c r="F26" t="str">
        <x:v>CLOSED - PROVIDED / AMBER</x:v>
      </x:c>
    </x:row>
    <x:row r="27">
      <x:c r="A27" t="str">
        <x:v>PV01 concrete productivity</x:v>
      </x:c>
      <x:c r="B27" t="str">
        <x:v>Rev30 current: 478.35m2; direct labour budget = 478.35h @ $44/h; programme = 10WD</x:v>
      </x:c>
      <x:c r="C27" t="str">
        <x:v>Arithmetic reconciliation shows current labour budget is approximately equivalent to a 6-person crew x 8h x 10WD (480h), but this does not prove the specialist method.</x:v>
      </x:c>
      <x:c r="D27" t="str">
        <x:v>RFI HOLD / Q-05</x:v>
      </x:c>
      <x:c r="E27" t="str">
        <x:v>No price/programme change; Q-05 still required to confirm crew/output/pour method</x:v>
      </x:c>
      <x:c r="F27" t="str">
        <x:v>RED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7" hidden="0" customWidth="1"/>
    <x:col min="2" max="2" width="40" hidden="0" customWidth="1"/>
    <x:col min="3" max="3" width="13" hidden="0" customWidth="1"/>
    <x:col min="4" max="4" width="16" hidden="0" customWidth="1"/>
    <x:col min="5" max="5" width="22" hidden="0" customWidth="1"/>
    <x:col min="6" max="6" width="18" hidden="0" customWidth="1"/>
    <x:col min="7" max="7" width="48" hidden="0" customWidth="1"/>
    <x:col min="8" max="8" width="48" hidden="0" customWidth="1"/>
  </x:cols>
  <x:sheetData>
    <x:row r="1" ht="92.4000015258789" hidden="0" customHeight="1">
      <x:c r="A1" s="915" t="str">
        <x:v>REV21 BOARD-ADJUDICATED PROGRAMME LOGIC</x:v>
      </x:c>
      <x:c r="B1" s="915"/>
      <x:c r="C1" s="915"/>
      <x:c r="D1" s="915"/>
      <x:c r="E1" s="915"/>
      <x:c r="F1" s="915"/>
      <x:c r="G1" s="915"/>
      <x:c r="H1" s="915"/>
    </x:row>
    <x:row r="2"/>
    <x:row r="3" ht="15" hidden="0" customHeight="1">
      <x:c r="A3" s="914" t="str">
        <x:v>Seq</x:v>
      </x:c>
      <x:c r="B3" s="914" t="str">
        <x:v>Activity</x:v>
      </x:c>
      <x:c r="C3" s="914" t="str">
        <x:v>Duration WD</x:v>
      </x:c>
      <x:c r="D3" s="914" t="str">
        <x:v>Predecessor</x:v>
      </x:c>
      <x:c r="E3" s="914" t="str">
        <x:v>Workfront</x:v>
      </x:c>
      <x:c r="F3" s="914" t="str">
        <x:v>Productive cost?</x:v>
      </x:c>
      <x:c r="G3" s="914" t="str">
        <x:v>Evidence / adjudication</x:v>
      </x:c>
      <x:c r="H3" s="914" t="str">
        <x:v>Notes</x:v>
      </x:c>
    </x:row>
    <x:row r="4" ht="15" hidden="0" customHeight="1">
      <x:c r="A4" t="n">
        <x:v>1</x:v>
      </x:c>
      <x:c r="B4" t="str">
        <x:v>Mobilisation / ESC</x:v>
      </x:c>
      <x:c r="C4" t="n">
        <x:v>3</x:v>
      </x:c>
      <x:c r="D4" t="str">
        <x:v>Start</x:v>
      </x:c>
      <x:c r="E4" t="str">
        <x:v>Common</x:v>
      </x:c>
      <x:c r="F4" t="str">
        <x:v>Yes</x:v>
      </x:c>
      <x:c r="G4" t="str">
        <x:v>Primary + ERB-01/02/03/08</x:v>
      </x:c>
      <x:c r="H4" t="str">
        <x:v>ESC controls installed before disturbance.</x:v>
      </x:c>
    </x:row>
    <x:row r="5" ht="15" hidden="0" customHeight="1">
      <x:c r="A5" t="n">
        <x:v>2</x:v>
      </x:c>
      <x:c r="B5" t="str">
        <x:v>Site clearance / topsoil strip</x:v>
      </x:c>
      <x:c r="C5" t="n">
        <x:v>4</x:v>
      </x:c>
      <x:c r="D5" t="str">
        <x:v>1</x:v>
      </x:c>
      <x:c r="E5" t="str">
        <x:v>Bulk</x:v>
      </x:c>
      <x:c r="F5" t="str">
        <x:v>Yes</x:v>
      </x:c>
      <x:c r="G5" t="str">
        <x:v>ERB-06 3-5d; whole reviews 3-4d</x:v>
      </x:c>
      <x:c r="H5" t="str">
        <x:v>Topsoil handled separately from bulk mass balance.</x:v>
      </x:c>
    </x:row>
    <x:row r="6" ht="15" hidden="0" customHeight="1">
      <x:c r="A6" t="n">
        <x:v>3</x:v>
      </x:c>
      <x:c r="B6" t="str">
        <x:v>Early retaining / progressive fill release window</x:v>
      </x:c>
      <x:c r="C6" t="n">
        <x:v>18</x:v>
      </x:c>
      <x:c r="D6" t="str">
        <x:v>2</x:v>
      </x:c>
      <x:c r="E6" t="str">
        <x:v>Bulk + precision concurrent</x:v>
      </x:c>
      <x:c r="F6" t="str">
        <x:v>No - schedule control</x:v>
      </x:c>
      <x:c r="G6" t="str">
        <x:v>ERB-08 detailed days 8-32 adjusted for ERB-06 concurrency</x:v>
      </x:c>
      <x:c r="H6" t="str">
        <x:v>EW02/RW productive tasks run inside; avoids adding duplicate crew cost.</x:v>
      </x:c>
    </x:row>
    <x:row r="7" ht="15" hidden="0" customHeight="1">
      <x:c r="A7" t="n">
        <x:v>4</x:v>
      </x:c>
      <x:c r="B7" t="str">
        <x:v>Final formation / OLFP / proof</x:v>
      </x:c>
      <x:c r="C7" t="n">
        <x:v>3</x:v>
      </x:c>
      <x:c r="D7" t="str">
        <x:v>3</x:v>
      </x:c>
      <x:c r="E7" t="str">
        <x:v>Bulk</x:v>
      </x:c>
      <x:c r="F7" t="str">
        <x:v>Yes</x:v>
      </x:c>
      <x:c r="G7" t="str">
        <x:v>Primary + ERB-06/08</x:v>
      </x:c>
      <x:c r="H7" t="str">
        <x:v>Final released areas only.</x:v>
      </x:c>
    </x:row>
    <x:row r="8" ht="15" hidden="0" customHeight="1">
      <x:c r="A8" t="n">
        <x:v>5</x:v>
      </x:c>
      <x:c r="B8" t="str">
        <x:v>Drainage/services-by-others interface + dry service window</x:v>
      </x:c>
      <x:c r="C8" t="n">
        <x:v>5</x:v>
      </x:c>
      <x:c r="D8" t="str">
        <x:v>4</x:v>
      </x:c>
      <x:c r="E8" t="str">
        <x:v>Interface / precision</x:v>
      </x:c>
      <x:c r="F8" t="str">
        <x:v>Partly</x:v>
      </x:c>
      <x:c r="G8" t="str">
        <x:v>ERB-08 explicit predecessor; general drainage zero Siteworks cost</x:v>
      </x:c>
      <x:c r="H8" t="str">
        <x:v>Prevents pavement close-up before underground interfaces.</x:v>
      </x:c>
    </x:row>
    <x:row r="9" ht="15" hidden="0" customHeight="1">
      <x:c r="A9" t="n">
        <x:v>6</x:v>
      </x:c>
      <x:c r="B9" t="str">
        <x:v>Pavement subgrade re-proof / re-trim</x:v>
      </x:c>
      <x:c r="C9" t="n">
        <x:v>3</x:v>
      </x:c>
      <x:c r="D9" t="str">
        <x:v>5</x:v>
      </x:c>
      <x:c r="E9" t="str">
        <x:v>Pavement</x:v>
      </x:c>
      <x:c r="F9" t="str">
        <x:v>No new cost - hold/control</x:v>
      </x:c>
      <x:c r="G9" t="str">
        <x:v>ERB-06/08 geotech proof hold point</x:v>
      </x:c>
      <x:c r="H9" t="str">
        <x:v>Physical formation remains EW03/PV01.</x:v>
      </x:c>
    </x:row>
    <x:row r="10" ht="15" hidden="0" customHeight="1">
      <x:c r="A10" t="n">
        <x:v>7</x:v>
      </x:c>
      <x:c r="B10" t="str">
        <x:v>PV01 base preparation + concrete workfront</x:v>
      </x:c>
      <x:c r="C10" t="n">
        <x:v>10</x:v>
      </x:c>
      <x:c r="D10" t="str">
        <x:v>6</x:v>
      </x:c>
      <x:c r="E10" t="str">
        <x:v>Pavement / specialist concrete</x:v>
      </x:c>
      <x:c r="F10" t="str">
        <x:v>Yes</x:v>
      </x:c>
      <x:c r="G10" t="str">
        <x:v>Primary + ERB-08 / Rev21 weather</x:v>
      </x:c>
      <x:c r="H10" t="str">
        <x:v>Final Siteworks handover. Weather-adjusted planning duration = ~63.829WD; actual calendar remains unconfirmed.</x:v>
      </x:c>
    </x:row>
    <x:row r="11" ht="15" hidden="0" customHeight="1">
      <x:c r="A11" t="n">
        <x:v>8</x:v>
      </x:c>
      <x:c r="B11" t="str">
        <x:v>Concrete cure / protection</x:v>
      </x:c>
      <x:c r="C11" t="n">
        <x:v>5</x:v>
      </x:c>
      <x:c r="D11" t="str">
        <x:v>7</x:v>
      </x:c>
      <x:c r="E11" t="str">
        <x:v>Pavement</x:v>
      </x:c>
      <x:c r="F11" t="str">
        <x:v>No productive cost</x:v>
      </x:c>
      <x:c r="G11" t="str">
        <x:v>ERB-06/08</x:v>
      </x:c>
      <x:c r="H11" t="str">
        <x:v>Crossing/Allproof can proceed separately where practicable.</x:v>
      </x:c>
    </x:row>
    <x:row r="12" ht="15" hidden="0" customHeight="1">
      <x:c r="A12" t="n">
        <x:v>9</x:v>
      </x:c>
      <x:c r="B12" t="str">
        <x:v>Line marking / final pavement finishes</x:v>
      </x:c>
      <x:c r="C12" t="n">
        <x:v>2</x:v>
      </x:c>
      <x:c r="D12" t="str">
        <x:v>8</x:v>
      </x:c>
      <x:c r="E12" t="str">
        <x:v>Finishing</x:v>
      </x:c>
      <x:c r="F12" t="str">
        <x:v>Yes</x:v>
      </x:c>
      <x:c r="G12" t="str">
        <x:v>Primary / ERB reviews</x:v>
      </x:c>
      <x:c r="H12" t="str">
        <x:v>After cure/protection.</x:v>
      </x:c>
    </x:row>
    <x:row r="13" ht="15" hidden="0" customHeight="1">
      <x:c r="A13" t="n">
        <x:v>10</x:v>
      </x:c>
      <x:c r="B13" t="str">
        <x:v>Final QA / stabilisation / handover / demob</x:v>
      </x:c>
      <x:c r="C13" t="n">
        <x:v>2</x:v>
      </x:c>
      <x:c r="D13" t="str">
        <x:v>9</x:v>
      </x:c>
      <x:c r="E13" t="str">
        <x:v>Closeout</x:v>
      </x:c>
      <x:c r="F13" t="str">
        <x:v>Yes</x:v>
      </x:c>
      <x:c r="G13" t="str">
        <x:v>Primary + ERB-08</x:v>
      </x:c>
      <x:c r="H13" t="str">
        <x:v>Final Siteworks handover.</x:v>
      </x:c>
    </x:row>
    <x:row r="14"/>
    <x:row r="15" ht="15" hidden="0" customHeight="1">
      <x:c r="A15" t="str">
        <x:v>Derived dry critical path</x:v>
      </x:c>
      <x:c r="B15" t="str">
        <x:v>55 WD</x:v>
      </x:c>
    </x:row>
    <x:row r="16" ht="15" hidden="0" customHeight="1">
      <x:c r="A16" t="str">
        <x:v>Tender dry baseline</x:v>
      </x:c>
      <x:c r="B16" t="str">
        <x:v>55 WD</x:v>
      </x:c>
    </x:row>
    <x:row r="17" ht="15" hidden="0" customHeight="1">
      <x:c r="A17" t="str">
        <x:v>Rev21 normal-weather delay</x:v>
      </x:c>
      <x:c r="B17" t="str">
        <x:v>8.829 WD</x:v>
      </x:c>
    </x:row>
    <x:row r="18" ht="15" hidden="0" customHeight="1">
      <x:c r="A18" t="str">
        <x:v>Weather-adjusted planning duration</x:v>
      </x:c>
      <x:c r="B18" t="str">
        <x:v>63.829 WD (~64 WD) - 01-Oct tender-season scenario</x:v>
      </x:c>
    </x:row>
    <x:row r="19" ht="15" hidden="0" customHeight="1">
      <x:c r="A19" t="str">
        <x:v>Actual contract start/calendar</x:v>
      </x:c>
      <x:c r="B19" t="str">
        <x:v>Unconfirmed - date-specific holidays/shutdowns excluded until award</x:v>
      </x:c>
    </x:row>
    <x:row r="20" ht="15" hidden="0" customHeight="1">
      <x:c r="A20" s="757" t="str">
        <x:v>REV30 PV01 CONCRETE PRODUCTIVITY RECONCILIATION - INTERNAL SENSITIVITY / NO COST CHANGE</x:v>
      </x:c>
      <x:c r="B20" s="757"/>
      <x:c r="C20" s="757"/>
      <x:c r="D20" s="757"/>
      <x:c r="E20" s="757"/>
      <x:c r="F20" s="757"/>
      <x:c r="G20" s="757"/>
      <x:c r="H20" s="757"/>
    </x:row>
    <x:row r="21" ht="26.399999618530273" hidden="0" customHeight="1">
      <x:c r="A21" s="757" t="str">
        <x:v>Scenario</x:v>
      </x:c>
      <x:c r="B21" s="757" t="str">
        <x:v>Crew</x:v>
      </x:c>
      <x:c r="C21" s="757" t="str">
        <x:v>Output m2/day</x:v>
      </x:c>
      <x:c r="D21" s="757" t="str">
        <x:v>Workfront days</x:v>
      </x:c>
      <x:c r="E21" s="757" t="str">
        <x:v>Labour hours</x:v>
      </x:c>
      <x:c r="F21" s="757" t="str">
        <x:v>Labour @ $44/h</x:v>
      </x:c>
      <x:c r="G21" s="757" t="str">
        <x:v>Cost delta vs current</x:v>
      </x:c>
      <x:c r="H21" s="757" t="str">
        <x:v>Status</x:v>
      </x:c>
    </x:row>
    <x:row r="22" ht="52.79999923706055" hidden="0" customHeight="1">
      <x:c r="A22" s="27" t="str">
        <x:v>Current first-principles control</x:v>
      </x:c>
      <x:c r="B22" s="27" t="str">
        <x:v>3-person</x:v>
      </x:c>
      <x:c r="C22" s="950" t="n">
        <x:v>24</x:v>
      </x:c>
      <x:c r="D22" s="950" t="n">
        <x:v>19.931250000000002</x:v>
      </x:c>
      <x:c r="E22" s="950" t="n">
        <x:v>478.35</x:v>
      </x:c>
      <x:c r="F22" s="950" t="n">
        <x:v>21047.4</x:v>
      </x:c>
      <x:c r="G22" s="950" t="n">
        <x:v>0</x:v>
      </x:c>
      <x:c r="H22" s="27" t="str">
        <x:v>RED - method/programme mismatch</x:v>
      </x:c>
    </x:row>
    <x:row r="23" ht="66" hidden="0" customHeight="1">
      <x:c r="A23" s="27" t="str">
        <x:v>10WD arithmetic-equivalent control</x:v>
      </x:c>
      <x:c r="B23" s="27" t="str">
        <x:v>6-person</x:v>
      </x:c>
      <x:c r="C23" s="950" t="n">
        <x:v>47.835</x:v>
      </x:c>
      <x:c r="D23" s="950" t="n">
        <x:v>10</x:v>
      </x:c>
      <x:c r="E23" s="950" t="n">
        <x:v>480</x:v>
      </x:c>
      <x:c r="F23" s="950" t="n">
        <x:v>21120</x:v>
      </x:c>
      <x:c r="G23" s="950" t="n">
        <x:v>72.59999999999854</x:v>
      </x:c>
      <x:c r="H23" s="27" t="str">
        <x:v>AMBER SENSITIVITY - NOT METHOD EVIDENCE</x:v>
      </x:c>
    </x:row>
    <x:row r="24" ht="66" hidden="0" customHeight="1">
      <x:c r="A24" s="27" t="str">
        <x:v>Conclusion</x:v>
      </x:c>
      <x:c r="B24" s="27"/>
      <x:c r="C24" s="27"/>
      <x:c r="D24" s="27"/>
      <x:c r="E24" s="27"/>
      <x:c r="F24" s="27"/>
      <x:c r="G24" s="27"/>
      <x:c r="H24" s="27" t="str">
        <x:v>Current labour budget can support roughly 6 workers for 10 full 8h days, so the price/programme discrepancy may be crew-configuration rather than cost magnitude. Do not close RT13 from arithmetic alone; Q-05 or equivalent independent method evidence is still required.</x:v>
      </x:c>
    </x:row>
  </x:sheetData>
  <x:mergeCells>
    <x:mergeCell ref="A20:H20"/>
  </x:mergeCells>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0" hidden="0" customWidth="1"/>
    <x:col min="11" max="11" width="10" hidden="0" customWidth="1"/>
    <x:col min="12" max="12" width="13" hidden="0" customWidth="1"/>
    <x:col min="13" max="13" width="10" hidden="0" customWidth="1"/>
    <x:col min="14" max="14" width="12" hidden="0" customWidth="1"/>
    <x:col min="15" max="15" width="14" hidden="0" customWidth="1"/>
    <x:col min="16" max="16" width="15" hidden="0" customWidth="1"/>
    <x:col min="17" max="17" width="14" hidden="0" customWidth="1"/>
    <x:col min="18" max="18" width="12" hidden="0" customWidth="1"/>
    <x:col min="19" max="19" width="20" hidden="0" customWidth="1"/>
    <x:col min="20" max="20" width="55" hidden="0" customWidth="1"/>
    <x:col min="22" max="22" width="24" hidden="0" customWidth="1"/>
    <x:col min="23" max="23" width="60" hidden="0" customWidth="1"/>
  </x:cols>
  <x:sheetData>
    <x:row r="1" ht="132" hidden="0" customHeight="1">
      <x:c r="A1" s="1058" t="str">
        <x:v>WEATHER REV21 RUN — ARCHIVED / NOT CURRENT</x:v>
      </x:c>
      <x:c r="B1" s="1058"/>
      <x:c r="C1" s="1058"/>
      <x:c r="D1" s="1058"/>
      <x:c r="E1" s="1058"/>
      <x:c r="F1" s="1058"/>
      <x:c r="G1" s="1058"/>
      <x:c r="H1" s="1058"/>
      <x:c r="I1"/>
      <x:c r="J1"/>
      <x:c r="K1"/>
      <x:c r="L1"/>
      <x:c r="M1"/>
      <x:c r="N1"/>
      <x:c r="O1"/>
      <x:c r="P1"/>
      <x:c r="Q1"/>
      <x:c r="R1"/>
      <x:c r="S1"/>
      <x:c r="T1"/>
    </x:row>
    <x:row r="2" ht="15" hidden="0" customHeight="1">
      <x:c r="A2"/>
      <x:c r="B2"/>
      <x:c r="C2"/>
      <x:c r="D2"/>
      <x:c r="E2"/>
      <x:c r="F2"/>
      <x:c r="G2"/>
      <x:c r="H2"/>
      <x:c r="I2"/>
      <x:c r="J2"/>
      <x:c r="K2"/>
      <x:c r="L2"/>
      <x:c r="M2"/>
      <x:c r="N2"/>
      <x:c r="O2"/>
      <x:c r="P2"/>
      <x:c r="Q2"/>
      <x:c r="R2"/>
      <x:c r="S2"/>
      <x:c r="T2"/>
      <x:c r="V2"/>
      <x:c r="W2"/>
    </x:row>
    <x:row r="3" ht="15" hidden="0" customHeight="1">
      <x:c r="A3" s="1031" t="str">
        <x:v>Historical weather-run worksheet retained only as an audit stub. Do not use this tab for pricing, programme or tender decisions. The only current working weather view is the 'Weather Risk' tab.</x:v>
      </x:c>
      <x:c r="B3" s="1031"/>
      <x:c r="C3" s="1031"/>
      <x:c r="D3" s="1031"/>
      <x:c r="E3" s="1031"/>
      <x:c r="F3" s="1031"/>
      <x:c r="G3" s="1031"/>
      <x:c r="H3" s="1031"/>
      <x:c r="V3"/>
      <x:c r="W3"/>
    </x:row>
    <x:row r="4" ht="15" hidden="0" customHeight="1">
      <x:c r="A4" s="1031"/>
      <x:c r="B4" s="1031"/>
      <x:c r="C4" s="1031"/>
      <x:c r="D4" s="1031"/>
      <x:c r="E4" s="1031"/>
      <x:c r="F4" s="1031"/>
      <x:c r="G4" s="1031"/>
      <x:c r="H4" s="1031"/>
      <x:c r="I4"/>
      <x:c r="J4"/>
      <x:c r="K4"/>
      <x:c r="L4"/>
      <x:c r="M4"/>
      <x:c r="N4"/>
      <x:c r="O4"/>
      <x:c r="P4"/>
      <x:c r="Q4"/>
      <x:c r="R4"/>
      <x:c r="S4"/>
      <x:c r="T4"/>
      <x:c r="V4"/>
      <x:c r="W4"/>
    </x:row>
    <x:row r="5" ht="15" hidden="0" customHeight="1">
      <x:c r="A5" s="1031"/>
      <x:c r="B5" s="1031"/>
      <x:c r="C5" s="1031"/>
      <x:c r="D5" s="1031"/>
      <x:c r="E5" s="1031"/>
      <x:c r="F5" s="1031"/>
      <x:c r="G5" s="1031"/>
      <x:c r="H5" s="1031"/>
      <x:c r="I5"/>
      <x:c r="J5"/>
      <x:c r="K5"/>
      <x:c r="L5"/>
      <x:c r="M5"/>
      <x:c r="N5"/>
      <x:c r="O5"/>
      <x:c r="P5"/>
      <x:c r="Q5"/>
      <x:c r="R5"/>
      <x:c r="S5"/>
      <x:c r="T5"/>
      <x:c r="V5"/>
      <x:c r="W5"/>
    </x:row>
    <x:row r="6" ht="15" hidden="0" customHeight="1">
      <x:c r="A6" s="1031"/>
      <x:c r="B6" s="1031"/>
      <x:c r="C6" s="1031"/>
      <x:c r="D6" s="1031"/>
      <x:c r="E6" s="1031"/>
      <x:c r="F6" s="1031"/>
      <x:c r="G6" s="1031"/>
      <x:c r="H6" s="1031"/>
      <x:c r="I6"/>
      <x:c r="J6"/>
      <x:c r="K6"/>
      <x:c r="L6"/>
      <x:c r="M6"/>
      <x:c r="N6"/>
      <x:c r="O6"/>
      <x:c r="P6"/>
      <x:c r="Q6"/>
      <x:c r="R6"/>
      <x:c r="S6"/>
      <x:c r="T6"/>
      <x:c r="V6"/>
      <x:c r="W6"/>
    </x:row>
    <x:row r="7" ht="15" hidden="0" customHeight="1">
      <x:c r="A7"/>
      <x:c r="B7"/>
      <x:c r="C7"/>
      <x:c r="D7"/>
      <x:c r="E7"/>
      <x:c r="F7"/>
      <x:c r="G7"/>
      <x:c r="H7"/>
      <x:c r="I7"/>
      <x:c r="J7"/>
      <x:c r="K7"/>
      <x:c r="L7"/>
      <x:c r="M7"/>
      <x:c r="N7"/>
      <x:c r="O7"/>
      <x:c r="P7"/>
      <x:c r="Q7"/>
      <x:c r="R7"/>
      <x:c r="S7"/>
      <x:c r="T7"/>
      <x:c r="V7"/>
      <x:c r="W7"/>
    </x:row>
    <x:row r="8" ht="15" hidden="0" customHeight="1">
      <x:c r="A8"/>
      <x:c r="B8"/>
      <x:c r="C8"/>
      <x:c r="D8"/>
      <x:c r="E8"/>
      <x:c r="F8"/>
      <x:c r="G8"/>
      <x:c r="H8"/>
      <x:c r="I8"/>
      <x:c r="J8"/>
      <x:c r="K8"/>
      <x:c r="L8"/>
      <x:c r="M8"/>
      <x:c r="N8"/>
      <x:c r="O8"/>
      <x:c r="P8"/>
      <x:c r="Q8"/>
      <x:c r="R8"/>
      <x:c r="S8"/>
      <x:c r="T8"/>
      <x:c r="V8"/>
      <x:c r="W8"/>
    </x:row>
    <x:row r="9" ht="15" hidden="0" customHeight="1">
      <x:c r="A9"/>
      <x:c r="B9"/>
      <x:c r="C9"/>
      <x:c r="D9"/>
      <x:c r="E9"/>
      <x:c r="F9"/>
      <x:c r="G9"/>
      <x:c r="H9"/>
      <x:c r="I9"/>
      <x:c r="J9"/>
      <x:c r="K9"/>
      <x:c r="L9"/>
      <x:c r="M9"/>
      <x:c r="N9"/>
      <x:c r="O9"/>
      <x:c r="P9"/>
      <x:c r="Q9"/>
      <x:c r="R9"/>
      <x:c r="S9"/>
      <x:c r="T9"/>
      <x:c r="V9"/>
      <x:c r="W9"/>
    </x:row>
    <x:row r="10" ht="15" hidden="0" customHeight="1">
      <x:c r="A10"/>
      <x:c r="B10"/>
      <x:c r="C10"/>
      <x:c r="D10"/>
      <x:c r="E10"/>
      <x:c r="F10"/>
      <x:c r="G10"/>
      <x:c r="H10"/>
      <x:c r="I10"/>
      <x:c r="J10"/>
      <x:c r="K10"/>
      <x:c r="L10"/>
      <x:c r="M10"/>
      <x:c r="N10"/>
      <x:c r="O10"/>
      <x:c r="P10"/>
      <x:c r="Q10"/>
      <x:c r="R10"/>
      <x:c r="S10"/>
      <x:c r="T10"/>
    </x:row>
    <x:row r="11" ht="15" hidden="0" customHeight="1">
      <x:c r="A11"/>
      <x:c r="B11"/>
      <x:c r="C11"/>
      <x:c r="D11"/>
      <x:c r="E11"/>
      <x:c r="F11"/>
      <x:c r="G11"/>
      <x:c r="H11"/>
      <x:c r="I11"/>
      <x:c r="J11"/>
      <x:c r="K11"/>
      <x:c r="L11"/>
      <x:c r="M11"/>
      <x:c r="N11"/>
      <x:c r="O11"/>
      <x:c r="P11"/>
      <x:c r="Q11"/>
      <x:c r="R11"/>
      <x:c r="S11"/>
      <x:c r="T11"/>
    </x:row>
    <x:row r="12" ht="15" hidden="0" customHeight="1">
      <x:c r="A12"/>
      <x:c r="B12"/>
      <x:c r="C12"/>
      <x:c r="D12"/>
      <x:c r="E12"/>
      <x:c r="F12"/>
      <x:c r="G12"/>
      <x:c r="H12"/>
      <x:c r="I12"/>
      <x:c r="J12"/>
      <x:c r="K12"/>
      <x:c r="L12"/>
      <x:c r="M12"/>
      <x:c r="N12"/>
      <x:c r="O12"/>
      <x:c r="P12"/>
      <x:c r="Q12"/>
      <x:c r="R12"/>
      <x:c r="S12"/>
      <x:c r="T12"/>
    </x:row>
    <x:row r="13" ht="15" hidden="0" customHeight="1">
      <x:c r="A13"/>
      <x:c r="B13"/>
      <x:c r="C13"/>
      <x:c r="D13"/>
      <x:c r="E13"/>
      <x:c r="F13"/>
      <x:c r="G13"/>
      <x:c r="H13"/>
      <x:c r="I13"/>
      <x:c r="J13"/>
      <x:c r="K13"/>
      <x:c r="L13"/>
      <x:c r="M13"/>
      <x:c r="N13"/>
      <x:c r="O13"/>
      <x:c r="P13"/>
      <x:c r="Q13"/>
      <x:c r="R13"/>
      <x:c r="S13"/>
      <x:c r="T13"/>
    </x:row>
    <x:row r="14" ht="15" hidden="0" customHeight="1">
      <x:c r="A14"/>
      <x:c r="B14"/>
      <x:c r="C14"/>
      <x:c r="D14"/>
      <x:c r="E14"/>
      <x:c r="F14"/>
      <x:c r="G14"/>
      <x:c r="H14"/>
      <x:c r="I14"/>
      <x:c r="J14"/>
      <x:c r="K14"/>
      <x:c r="L14"/>
      <x:c r="M14"/>
      <x:c r="N14"/>
      <x:c r="O14"/>
      <x:c r="P14"/>
      <x:c r="Q14"/>
      <x:c r="R14"/>
      <x:c r="S14"/>
      <x:c r="T14"/>
    </x:row>
    <x:row r="15" ht="15" hidden="0" customHeight="1">
      <x:c r="A15"/>
      <x:c r="B15"/>
      <x:c r="C15"/>
      <x:c r="D15"/>
      <x:c r="E15"/>
      <x:c r="F15"/>
      <x:c r="G15"/>
      <x:c r="H15"/>
      <x:c r="I15"/>
      <x:c r="J15"/>
      <x:c r="K15"/>
      <x:c r="L15"/>
      <x:c r="M15"/>
      <x:c r="N15"/>
      <x:c r="O15"/>
      <x:c r="P15"/>
      <x:c r="Q15"/>
      <x:c r="R15"/>
      <x:c r="S15"/>
      <x:c r="T15"/>
    </x:row>
    <x:row r="16" ht="15" hidden="0" customHeight="1">
      <x:c r="A16"/>
      <x:c r="B16"/>
      <x:c r="C16"/>
      <x:c r="D16"/>
      <x:c r="E16"/>
      <x:c r="F16"/>
      <x:c r="G16"/>
      <x:c r="H16"/>
      <x:c r="I16"/>
      <x:c r="J16"/>
      <x:c r="K16"/>
      <x:c r="L16"/>
      <x:c r="M16"/>
      <x:c r="N16"/>
      <x:c r="O16"/>
      <x:c r="P16"/>
      <x:c r="Q16"/>
      <x:c r="R16"/>
      <x:c r="S16"/>
      <x:c r="T16"/>
    </x:row>
    <x:row r="17" ht="15" hidden="0" customHeight="1">
      <x:c r="A17"/>
      <x:c r="B17"/>
      <x:c r="C17"/>
      <x:c r="D17"/>
      <x:c r="E17"/>
      <x:c r="F17"/>
      <x:c r="G17"/>
      <x:c r="H17"/>
      <x:c r="I17"/>
      <x:c r="J17"/>
      <x:c r="K17"/>
      <x:c r="L17"/>
      <x:c r="M17"/>
      <x:c r="N17"/>
      <x:c r="O17"/>
      <x:c r="P17"/>
      <x:c r="Q17"/>
      <x:c r="R17"/>
      <x:c r="S17"/>
      <x:c r="T17"/>
    </x:row>
    <x:row r="18" ht="15" hidden="0" customHeight="1">
      <x:c r="A18"/>
      <x:c r="B18"/>
      <x:c r="C18"/>
      <x:c r="D18"/>
      <x:c r="E18"/>
      <x:c r="F18"/>
      <x:c r="G18"/>
      <x:c r="H18"/>
      <x:c r="I18"/>
      <x:c r="J18"/>
      <x:c r="K18"/>
      <x:c r="L18"/>
      <x:c r="M18"/>
      <x:c r="N18"/>
      <x:c r="O18"/>
      <x:c r="P18"/>
      <x:c r="Q18"/>
      <x:c r="R18"/>
      <x:c r="S18"/>
      <x:c r="T18"/>
    </x:row>
    <x:row r="19"/>
    <x:row r="20" ht="15" hidden="0" customHeight="1">
      <x:c r="A20"/>
      <x:c r="B20"/>
    </x:row>
    <x:row r="21" ht="15" hidden="0" customHeight="1">
      <x:c r="A21"/>
      <x:c r="B21"/>
    </x:row>
    <x:row r="22" ht="15" hidden="0" customHeight="1">
      <x:c r="A22"/>
      <x:c r="B22"/>
    </x:row>
    <x:row r="23" ht="15" hidden="0" customHeight="1">
      <x:c r="A23"/>
      <x:c r="B23"/>
    </x:row>
    <x:row r="24" ht="15" hidden="0" customHeight="1">
      <x:c r="A24"/>
      <x:c r="B24"/>
    </x:row>
    <x:row r="25" ht="15" hidden="0" customHeight="1">
      <x:c r="A25"/>
      <x:c r="B25"/>
    </x:row>
    <x:row r="26" ht="15" hidden="0" customHeight="1">
      <x:c r="A26"/>
      <x:c r="B26"/>
    </x:row>
    <x:row r="27" ht="15" hidden="0" customHeight="1">
      <x:c r="A27"/>
      <x:c r="B27"/>
    </x:row>
    <x:row r="28" ht="15" hidden="0" customHeight="1">
      <x:c r="A28"/>
      <x:c r="B28"/>
    </x:row>
    <x:row r="29" ht="15" hidden="0" customHeight="1">
      <x:c r="A29"/>
      <x:c r="B29"/>
    </x:row>
  </x:sheetData>
  <x:mergeCells>
    <x:mergeCell ref="A1:H1"/>
    <x:mergeCell ref="A3:H6"/>
  </x:mergeCells>
  <x:pageMargins left="0.7" right="0.7" top="0.75" bottom="0.75" header="0.3" footer="0.3"/>
</x:worksheet>
</file>

<file path=xl/worksheets/sheet18.xml><?xml version="1.0" encoding="utf-8"?>
<x:worksheet xmlns:x="http://schemas.openxmlformats.org/spreadsheetml/2006/main">
  <x:sheetFormatPr defaultRowHeight="15"/>
  <x:cols>
    <x:col min="1" max="1" width="28" hidden="0" customWidth="1"/>
    <x:col min="2" max="2" width="110" hidden="0" customWidth="1"/>
  </x:cols>
  <x:sheetData>
    <x:row r="1" ht="26.399999618530273" hidden="0" customHeight="1">
      <x:c r="A1" s="930" t="str">
        <x:v>REV29 MICROSOFT PROJECT HANDOFF</x:v>
      </x:c>
      <x:c r="B1" s="930" t="str"/>
    </x:row>
    <x:row r="2" ht="15" hidden="0" customHeight="1">
      <x:c r="A2" t="str">
        <x:v>Dry tender baseline</x:v>
      </x:c>
      <x:c r="B2" t="str">
        <x:v>55 working days, five days/week; Board-adjudicated sequence unchanged.</x:v>
      </x:c>
    </x:row>
    <x:row r="3" ht="15" hidden="0" customHeight="1">
      <x:c r="A3" t="str">
        <x:v>Weather</x:v>
      </x:c>
      <x:c r="B3" t="str">
        <x:v>Rev29 formula-equivalent approved Rev2 run: 8.829 critical-path weather-delay WD / CA10 $18,609.79.</x:v>
      </x:c>
    </x:row>
    <x:row r="4" ht="15" hidden="0" customHeight="1">
      <x:c r="A4" t="str">
        <x:v>ESC closeout</x:v>
      </x:c>
      <x:c r="B4" t="str">
        <x:v>Stamped DWG231/DWG241 now measure ESC01: 226.3lm main fence +8.0lm return allowance; 49m2 entrance. Initial setup remains 3WD; maintenance concurrent; removal at closeout. Weather direct-cost pool rerun, programme duration unchanged.</x:v>
      </x:c>
    </x:row>
    <x:row r="5" ht="15" hidden="0" customHeight="1">
      <x:c r="A5" t="str">
        <x:v>Traffic Safe / public crossing</x:v>
      </x:c>
      <x:c r="B5" t="str">
        <x:v>Q-07 quoted core $3,938.40; one Stop/Go + one shoulder/pedestrian shift. Supplier advises likely 10:00-16:00 road occupation. PV02 remains 5WD until concrete method/final measure are firm.</x:v>
      </x:c>
    </x:row>
    <x:row r="6" ht="15" hidden="0" customHeight="1">
      <x:c r="A6" t="str">
        <x:v>Jason drainage reference</x:v>
      </x:c>
      <x:c r="B6" t="str">
        <x:v>Ref25237 = 21WD by-others reference. Jason confirms labour allocation: 10 days private stormwater, 8 days wastewater, 3 days retaining drainage. This is an allocation of the common 21-day labour pool, not an evidenced sequence. Public Quote1078 duration remains TBC.</x:v>
      </x:c>
    </x:row>
    <x:row r="7" ht="15" hidden="0" customHeight="1">
      <x:c r="A7" t="str">
        <x:v>Allied cost allocation</x:v>
      </x:c>
      <x:c r="B7" t="str">
        <x:v>Public stormwater/detention = $174,758.71 incl confirmed additional $6,500 setout/as-built/signoff. Private quote = $87,711.74: stormwater $41,636.34; wastewater $26,864.36; retaining drainage $19,211.04. Jason's reply text says $86,711.74, but the attached quote and line-item arithmetic equal $87,711.74; attachment total governs.</x:v>
      </x:c>
    </x:row>
    <x:row r="8" ht="15" hidden="0" customHeight="1">
      <x:c r="A8" t="str">
        <x:v>Allproof procurement</x:v>
      </x:c>
      <x:c r="B8" t="str">
        <x:v>Confirmed 7-8 week lead; add release/order/delivery dates once product selection and approval dates are known.</x:v>
      </x:c>
    </x:row>
    <x:row r="9" ht="15" hidden="0" customHeight="1">
      <x:c r="A9" t="str">
        <x:v>CAR/TMP</x:v>
      </x:c>
      <x:c r="B9" t="str">
        <x:v>Q-07 Traffic Safe quoted core is integrated: $3,938.40 excl GST for planning plus one Stop/Go and one shoulder/pedestrian shift. Final authority/FAF exclusions and any extra shifts remain AMBER.</x:v>
      </x:c>
    </x:row>
    <x:row r="10" ht="15" hidden="0" customHeight="1">
      <x:c r="A10" t="str">
        <x:v>Pavement revision hold</x:v>
      </x:c>
      <x:c r="B10" t="str">
        <x:v>Rev29: TPW confirms the stamped RC drawings govern, so 568m2 carparks &amp; footpath is adopted. Current provisional build-up split is PV01 478.35m2 + PV04 89.65m2. PV01 remains 10WD pending Q-05 productivity reconciliation; PV04 scales to 8WD but is non-controlling in the present logic. Dry tender baseline therefore remains 55WD. Weather is rerun for the increased PV01 exposed labour only. Separate 33m2 ramp/entry/steps remains OWNER TBC.</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058" t="str">
        <x:v>WEATHER REV24 RUN — ARCHIVED / NOT CURRENT</x:v>
      </x:c>
      <x:c r="B1" s="1058"/>
      <x:c r="C1" s="1058"/>
      <x:c r="D1" s="1058"/>
      <x:c r="E1" s="1058"/>
      <x:c r="F1" s="1058"/>
      <x:c r="G1" s="1058"/>
      <x:c r="H1" s="1058"/>
      <x:c r="I1"/>
      <x:c r="J1"/>
      <x:c r="K1"/>
      <x:c r="L1"/>
      <x:c r="M1"/>
      <x:c r="N1"/>
      <x:c r="O1"/>
      <x:c r="P1"/>
      <x:c r="Q1"/>
      <x:c r="R1"/>
      <x:c r="S1"/>
      <x:c r="T1"/>
      <x:c r="U1"/>
      <x:c r="V1"/>
      <x:c r="W1"/>
    </x:row>
    <x:row r="2">
      <x:c r="A2"/>
      <x:c r="B2"/>
      <x:c r="C2"/>
      <x:c r="D2"/>
      <x:c r="E2"/>
      <x:c r="F2"/>
      <x:c r="G2"/>
      <x:c r="H2"/>
      <x:c r="I2"/>
      <x:c r="J2"/>
      <x:c r="K2"/>
      <x:c r="L2"/>
      <x:c r="M2"/>
      <x:c r="N2"/>
      <x:c r="O2"/>
      <x:c r="P2"/>
      <x:c r="Q2"/>
      <x:c r="R2"/>
      <x:c r="S2"/>
      <x:c r="T2"/>
      <x:c r="U2"/>
      <x:c r="V2"/>
      <x:c r="W2"/>
    </x:row>
    <x:row r="3">
      <x:c r="A3" s="1031" t="str">
        <x:v>Historical weather-run worksheet retained only as an audit stub. Do not use this tab for pricing, programme or tender decisions. The only current working weather view is the 'Weather Risk' tab.</x:v>
      </x:c>
      <x:c r="B3" s="1031"/>
      <x:c r="C3" s="1031"/>
      <x:c r="D3" s="1031"/>
      <x:c r="E3" s="1031"/>
      <x:c r="F3" s="1031"/>
      <x:c r="G3" s="1031"/>
      <x:c r="H3" s="1031"/>
      <x:c r="I3"/>
      <x:c r="J3"/>
      <x:c r="K3"/>
      <x:c r="L3"/>
      <x:c r="M3"/>
      <x:c r="N3"/>
      <x:c r="O3"/>
      <x:c r="P3"/>
      <x:c r="Q3"/>
      <x:c r="R3"/>
      <x:c r="S3"/>
      <x:c r="T3"/>
      <x:c r="U3"/>
      <x:c r="V3"/>
      <x:c r="W3"/>
    </x:row>
    <x:row r="4">
      <x:c r="A4" s="1031"/>
      <x:c r="B4" s="1031"/>
      <x:c r="C4" s="1031"/>
      <x:c r="D4" s="1031"/>
      <x:c r="E4" s="1031"/>
      <x:c r="F4" s="1031"/>
      <x:c r="G4" s="1031"/>
      <x:c r="H4" s="1031"/>
      <x:c r="I4"/>
      <x:c r="J4"/>
      <x:c r="K4"/>
      <x:c r="L4"/>
      <x:c r="M4"/>
      <x:c r="N4"/>
      <x:c r="O4"/>
      <x:c r="P4"/>
      <x:c r="Q4"/>
      <x:c r="R4"/>
      <x:c r="S4"/>
      <x:c r="T4"/>
      <x:c r="U4"/>
      <x:c r="V4"/>
      <x:c r="W4"/>
    </x:row>
    <x:row r="5">
      <x:c r="A5" s="1031"/>
      <x:c r="B5" s="1031"/>
      <x:c r="C5" s="1031"/>
      <x:c r="D5" s="1031"/>
      <x:c r="E5" s="1031"/>
      <x:c r="F5" s="1031"/>
      <x:c r="G5" s="1031"/>
      <x:c r="H5" s="1031"/>
      <x:c r="I5"/>
      <x:c r="J5"/>
      <x:c r="K5"/>
      <x:c r="L5"/>
      <x:c r="M5"/>
      <x:c r="N5"/>
      <x:c r="O5"/>
      <x:c r="P5"/>
      <x:c r="Q5"/>
      <x:c r="R5"/>
      <x:c r="S5"/>
      <x:c r="T5"/>
      <x:c r="U5"/>
      <x:c r="V5"/>
      <x:c r="W5"/>
    </x:row>
    <x:row r="6">
      <x:c r="A6" s="1031"/>
      <x:c r="B6" s="1031"/>
      <x:c r="C6" s="1031"/>
      <x:c r="D6" s="1031"/>
      <x:c r="E6" s="1031"/>
      <x:c r="F6" s="1031"/>
      <x:c r="G6" s="1031"/>
      <x:c r="H6" s="1031"/>
      <x:c r="I6"/>
      <x:c r="J6"/>
      <x:c r="K6"/>
      <x:c r="L6"/>
      <x:c r="M6"/>
      <x:c r="N6"/>
      <x:c r="O6"/>
      <x:c r="P6"/>
      <x:c r="Q6"/>
      <x:c r="R6"/>
      <x:c r="S6"/>
      <x:c r="T6"/>
      <x:c r="U6"/>
      <x:c r="V6"/>
      <x:c r="W6"/>
    </x:row>
    <x:row r="7">
      <x:c r="A7"/>
      <x:c r="B7"/>
      <x:c r="C7"/>
      <x:c r="D7"/>
      <x:c r="E7"/>
      <x:c r="F7"/>
      <x:c r="G7"/>
      <x:c r="H7"/>
      <x:c r="I7"/>
      <x:c r="J7"/>
      <x:c r="K7"/>
      <x:c r="L7"/>
      <x:c r="M7"/>
      <x:c r="N7"/>
      <x:c r="O7"/>
      <x:c r="P7"/>
      <x:c r="Q7"/>
      <x:c r="R7"/>
      <x:c r="S7"/>
      <x:c r="T7"/>
      <x:c r="U7"/>
      <x:c r="V7"/>
      <x:c r="W7"/>
    </x:row>
    <x:row r="8">
      <x:c r="A8"/>
      <x:c r="B8"/>
      <x:c r="C8"/>
      <x:c r="D8"/>
      <x:c r="E8"/>
      <x:c r="F8"/>
      <x:c r="G8"/>
      <x:c r="H8"/>
      <x:c r="I8"/>
      <x:c r="J8"/>
      <x:c r="K8"/>
      <x:c r="L8"/>
      <x:c r="M8"/>
      <x:c r="N8"/>
      <x:c r="O8"/>
      <x:c r="P8"/>
      <x:c r="Q8"/>
      <x:c r="R8"/>
      <x:c r="S8"/>
      <x:c r="T8"/>
      <x:c r="U8"/>
      <x:c r="V8"/>
      <x:c r="W8"/>
    </x:row>
    <x:row r="9">
      <x:c r="A9"/>
      <x:c r="B9"/>
      <x:c r="C9"/>
      <x:c r="D9"/>
      <x:c r="E9"/>
      <x:c r="F9"/>
      <x:c r="G9"/>
      <x:c r="H9"/>
      <x:c r="I9"/>
      <x:c r="J9"/>
      <x:c r="K9"/>
      <x:c r="L9"/>
      <x:c r="M9"/>
      <x:c r="N9"/>
      <x:c r="O9"/>
      <x:c r="P9"/>
      <x:c r="Q9"/>
      <x:c r="R9"/>
      <x:c r="S9"/>
      <x:c r="T9"/>
      <x:c r="U9"/>
      <x:c r="V9"/>
      <x:c r="W9"/>
    </x:row>
    <x:row r="10">
      <x:c r="A10"/>
      <x:c r="B10"/>
      <x:c r="C10"/>
      <x:c r="D10"/>
      <x:c r="E10"/>
      <x:c r="F10"/>
      <x:c r="G10"/>
      <x:c r="H10"/>
      <x:c r="I10"/>
      <x:c r="J10"/>
      <x:c r="K10"/>
      <x:c r="L10"/>
      <x:c r="M10"/>
      <x:c r="N10"/>
      <x:c r="O10"/>
      <x:c r="P10"/>
      <x:c r="Q10"/>
      <x:c r="R10"/>
      <x:c r="S10"/>
      <x:c r="T10"/>
      <x:c r="U10"/>
      <x:c r="V10"/>
      <x:c r="W10"/>
    </x:row>
    <x:row r="11">
      <x:c r="A11"/>
      <x:c r="B11"/>
      <x:c r="C11"/>
      <x:c r="D11"/>
      <x:c r="E11"/>
      <x:c r="F11"/>
      <x:c r="G11"/>
      <x:c r="H11"/>
      <x:c r="I11"/>
      <x:c r="J11"/>
      <x:c r="K11"/>
      <x:c r="L11"/>
      <x:c r="M11"/>
      <x:c r="N11"/>
      <x:c r="O11"/>
      <x:c r="P11"/>
      <x:c r="Q11"/>
      <x:c r="R11"/>
      <x:c r="S11"/>
      <x:c r="T11"/>
      <x:c r="U11"/>
      <x:c r="V11"/>
      <x:c r="W11"/>
    </x:row>
    <x:row r="12">
      <x:c r="A12"/>
      <x:c r="B12"/>
      <x:c r="C12"/>
      <x:c r="D12"/>
      <x:c r="E12"/>
      <x:c r="F12"/>
      <x:c r="G12"/>
      <x:c r="H12"/>
      <x:c r="I12"/>
      <x:c r="J12"/>
      <x:c r="K12"/>
      <x:c r="L12"/>
      <x:c r="M12"/>
      <x:c r="N12"/>
      <x:c r="O12"/>
      <x:c r="P12"/>
      <x:c r="Q12"/>
      <x:c r="R12"/>
      <x:c r="S12"/>
      <x:c r="T12"/>
      <x:c r="U12"/>
      <x:c r="V12"/>
      <x:c r="W12"/>
    </x:row>
    <x:row r="13">
      <x:c r="A13"/>
      <x:c r="B13"/>
      <x:c r="C13"/>
      <x:c r="D13"/>
      <x:c r="E13"/>
      <x:c r="F13"/>
      <x:c r="G13"/>
      <x:c r="H13"/>
      <x:c r="I13"/>
      <x:c r="J13"/>
      <x:c r="K13"/>
      <x:c r="L13"/>
      <x:c r="M13"/>
      <x:c r="N13"/>
      <x:c r="O13"/>
      <x:c r="P13"/>
      <x:c r="Q13"/>
      <x:c r="R13"/>
      <x:c r="S13"/>
      <x:c r="T13"/>
      <x:c r="U13"/>
      <x:c r="V13"/>
      <x:c r="W13"/>
    </x:row>
    <x:row r="14">
      <x:c r="A14"/>
      <x:c r="B14"/>
      <x:c r="C14"/>
      <x:c r="D14"/>
      <x:c r="E14"/>
      <x:c r="F14"/>
      <x:c r="G14"/>
      <x:c r="H14"/>
      <x:c r="I14"/>
      <x:c r="J14"/>
      <x:c r="K14"/>
      <x:c r="L14"/>
      <x:c r="M14"/>
      <x:c r="N14"/>
      <x:c r="O14"/>
      <x:c r="P14"/>
      <x:c r="Q14"/>
      <x:c r="R14"/>
      <x:c r="S14"/>
      <x:c r="T14"/>
      <x:c r="U14"/>
      <x:c r="V14"/>
      <x:c r="W14"/>
    </x:row>
    <x:row r="15">
      <x:c r="A15"/>
      <x:c r="B15"/>
      <x:c r="C15"/>
      <x:c r="D15"/>
      <x:c r="E15"/>
      <x:c r="F15"/>
      <x:c r="G15"/>
      <x:c r="H15"/>
      <x:c r="I15"/>
      <x:c r="J15"/>
      <x:c r="K15"/>
      <x:c r="L15"/>
      <x:c r="M15"/>
      <x:c r="N15"/>
      <x:c r="O15"/>
      <x:c r="P15"/>
      <x:c r="Q15"/>
      <x:c r="R15"/>
      <x:c r="S15"/>
      <x:c r="T15"/>
      <x:c r="U15"/>
      <x:c r="V15"/>
      <x:c r="W15"/>
    </x:row>
    <x:row r="16">
      <x:c r="A16"/>
      <x:c r="B16"/>
      <x:c r="C16"/>
      <x:c r="D16"/>
      <x:c r="E16"/>
      <x:c r="F16"/>
      <x:c r="G16"/>
      <x:c r="H16"/>
      <x:c r="I16"/>
      <x:c r="J16"/>
      <x:c r="K16"/>
      <x:c r="L16"/>
      <x:c r="M16"/>
      <x:c r="N16"/>
      <x:c r="O16"/>
      <x:c r="P16"/>
      <x:c r="Q16"/>
      <x:c r="R16"/>
      <x:c r="S16"/>
      <x:c r="T16"/>
      <x:c r="U16"/>
      <x:c r="V16"/>
      <x:c r="W16"/>
    </x:row>
    <x:row r="17">
      <x:c r="A17"/>
      <x:c r="B17"/>
      <x:c r="C17"/>
      <x:c r="D17"/>
      <x:c r="E17"/>
      <x:c r="F17"/>
      <x:c r="G17"/>
      <x:c r="H17"/>
      <x:c r="I17"/>
      <x:c r="J17"/>
      <x:c r="K17"/>
      <x:c r="L17"/>
      <x:c r="M17"/>
      <x:c r="N17"/>
      <x:c r="O17"/>
      <x:c r="P17"/>
      <x:c r="Q17"/>
      <x:c r="R17"/>
      <x:c r="S17"/>
      <x:c r="T17"/>
      <x:c r="U17"/>
      <x:c r="V17"/>
      <x:c r="W17"/>
    </x:row>
    <x:row r="18">
      <x:c r="A18"/>
      <x:c r="B18"/>
      <x:c r="C18"/>
      <x:c r="D18"/>
      <x:c r="E18"/>
      <x:c r="F18"/>
      <x:c r="G18"/>
      <x:c r="H18"/>
      <x:c r="I18"/>
      <x:c r="J18"/>
      <x:c r="K18"/>
      <x:c r="L18"/>
      <x:c r="M18"/>
      <x:c r="N18"/>
      <x:c r="O18"/>
      <x:c r="P18"/>
      <x:c r="Q18"/>
      <x:c r="R18"/>
      <x:c r="S18"/>
      <x:c r="T18"/>
      <x:c r="U18"/>
      <x:c r="V18"/>
      <x:c r="W18"/>
    </x:row>
    <x:row r="19">
      <x:c r="A19"/>
      <x:c r="B19"/>
      <x:c r="C19"/>
      <x:c r="D19"/>
      <x:c r="E19"/>
      <x:c r="F19"/>
      <x:c r="G19"/>
      <x:c r="H19"/>
      <x:c r="I19"/>
      <x:c r="J19"/>
      <x:c r="K19"/>
      <x:c r="L19"/>
      <x:c r="M19"/>
      <x:c r="N19"/>
      <x:c r="O19"/>
      <x:c r="P19"/>
      <x:c r="Q19"/>
      <x:c r="R19"/>
      <x:c r="S19"/>
      <x:c r="T19"/>
      <x:c r="U19"/>
      <x:c r="V19"/>
      <x:c r="W19"/>
    </x:row>
    <x:row r="20">
      <x:c r="A20"/>
      <x:c r="B20"/>
      <x:c r="C20"/>
      <x:c r="D20"/>
      <x:c r="E20"/>
      <x:c r="F20"/>
      <x:c r="G20"/>
      <x:c r="H20"/>
      <x:c r="I20"/>
      <x:c r="J20"/>
      <x:c r="K20"/>
      <x:c r="L20"/>
      <x:c r="M20"/>
      <x:c r="N20"/>
      <x:c r="O20"/>
      <x:c r="P20"/>
      <x:c r="Q20"/>
      <x:c r="R20"/>
      <x:c r="S20"/>
      <x:c r="T20"/>
      <x:c r="U20"/>
      <x:c r="V20"/>
      <x:c r="W20"/>
    </x:row>
    <x:row r="21">
      <x:c r="A21"/>
      <x:c r="B21"/>
      <x:c r="C21"/>
      <x:c r="D21"/>
      <x:c r="E21"/>
      <x:c r="F21"/>
      <x:c r="G21"/>
      <x:c r="H21"/>
      <x:c r="I21"/>
      <x:c r="J21"/>
      <x:c r="K21"/>
      <x:c r="L21"/>
      <x:c r="M21"/>
      <x:c r="N21"/>
      <x:c r="O21"/>
      <x:c r="P21"/>
      <x:c r="Q21"/>
      <x:c r="R21"/>
      <x:c r="S21"/>
      <x:c r="T21"/>
      <x:c r="U21"/>
      <x:c r="V21"/>
      <x:c r="W21"/>
    </x:row>
    <x:row r="22">
      <x:c r="A22"/>
      <x:c r="B22"/>
      <x:c r="C22"/>
      <x:c r="D22"/>
      <x:c r="E22"/>
      <x:c r="F22"/>
      <x:c r="G22"/>
      <x:c r="H22"/>
      <x:c r="I22"/>
      <x:c r="J22"/>
      <x:c r="K22"/>
      <x:c r="L22"/>
      <x:c r="M22"/>
      <x:c r="N22"/>
      <x:c r="O22"/>
      <x:c r="P22"/>
      <x:c r="Q22"/>
      <x:c r="R22"/>
      <x:c r="S22"/>
      <x:c r="T22"/>
      <x:c r="U22"/>
      <x:c r="V22"/>
      <x:c r="W22"/>
    </x:row>
    <x:row r="23">
      <x:c r="A23"/>
      <x:c r="B23"/>
      <x:c r="C23"/>
      <x:c r="D23"/>
      <x:c r="E23"/>
      <x:c r="F23"/>
      <x:c r="G23"/>
      <x:c r="H23"/>
      <x:c r="I23"/>
      <x:c r="J23"/>
      <x:c r="K23"/>
      <x:c r="L23"/>
      <x:c r="M23"/>
      <x:c r="N23"/>
      <x:c r="O23"/>
      <x:c r="P23"/>
      <x:c r="Q23"/>
      <x:c r="R23"/>
      <x:c r="S23"/>
      <x:c r="T23"/>
      <x:c r="U23"/>
      <x:c r="V23"/>
      <x:c r="W23"/>
    </x:row>
    <x:row r="24">
      <x:c r="A24"/>
      <x:c r="B24"/>
      <x:c r="C24"/>
      <x:c r="D24"/>
      <x:c r="E24"/>
      <x:c r="F24"/>
      <x:c r="G24"/>
      <x:c r="H24"/>
      <x:c r="I24"/>
      <x:c r="J24"/>
      <x:c r="K24"/>
      <x:c r="L24"/>
      <x:c r="M24"/>
      <x:c r="N24"/>
      <x:c r="O24"/>
      <x:c r="P24"/>
      <x:c r="Q24"/>
      <x:c r="R24"/>
      <x:c r="S24"/>
      <x:c r="T24"/>
      <x:c r="U24"/>
      <x:c r="V24"/>
      <x:c r="W24"/>
    </x:row>
    <x:row r="25">
      <x:c r="A25"/>
      <x:c r="B25"/>
      <x:c r="C25"/>
      <x:c r="D25"/>
      <x:c r="E25"/>
      <x:c r="F25"/>
      <x:c r="G25"/>
      <x:c r="H25"/>
      <x:c r="I25"/>
      <x:c r="J25"/>
      <x:c r="K25"/>
      <x:c r="L25"/>
      <x:c r="M25"/>
      <x:c r="N25"/>
      <x:c r="O25"/>
      <x:c r="P25"/>
      <x:c r="Q25"/>
      <x:c r="R25"/>
      <x:c r="S25"/>
      <x:c r="T25"/>
      <x:c r="U25"/>
      <x:c r="V25"/>
      <x:c r="W25"/>
    </x:row>
    <x:row r="26">
      <x:c r="A26"/>
      <x:c r="B26"/>
      <x:c r="C26"/>
      <x:c r="D26"/>
      <x:c r="E26"/>
      <x:c r="F26"/>
      <x:c r="G26"/>
      <x:c r="H26"/>
      <x:c r="I26"/>
      <x:c r="J26"/>
      <x:c r="K26"/>
      <x:c r="L26"/>
      <x:c r="M26"/>
      <x:c r="N26"/>
      <x:c r="O26"/>
      <x:c r="P26"/>
      <x:c r="Q26"/>
      <x:c r="R26"/>
      <x:c r="S26"/>
      <x:c r="T26"/>
      <x:c r="U26"/>
      <x:c r="V26"/>
      <x:c r="W26"/>
    </x:row>
    <x:row r="27">
      <x:c r="A27"/>
      <x:c r="B27"/>
      <x:c r="C27"/>
      <x:c r="D27"/>
      <x:c r="E27"/>
      <x:c r="F27"/>
      <x:c r="G27"/>
      <x:c r="H27"/>
      <x:c r="I27"/>
      <x:c r="J27"/>
      <x:c r="K27"/>
      <x:c r="L27"/>
      <x:c r="M27"/>
      <x:c r="N27"/>
      <x:c r="O27"/>
      <x:c r="P27"/>
      <x:c r="Q27"/>
      <x:c r="R27"/>
      <x:c r="S27"/>
      <x:c r="T27"/>
      <x:c r="U27"/>
      <x:c r="V27"/>
      <x:c r="W27"/>
    </x:row>
    <x:row r="28">
      <x:c r="A28"/>
      <x:c r="B28"/>
      <x:c r="C28"/>
      <x:c r="D28"/>
      <x:c r="E28"/>
      <x:c r="F28"/>
      <x:c r="G28"/>
      <x:c r="H28"/>
      <x:c r="I28"/>
      <x:c r="J28"/>
      <x:c r="K28"/>
      <x:c r="L28"/>
      <x:c r="M28"/>
      <x:c r="N28"/>
      <x:c r="O28"/>
      <x:c r="P28"/>
      <x:c r="Q28"/>
      <x:c r="R28"/>
      <x:c r="S28"/>
      <x:c r="T28"/>
      <x:c r="U28"/>
      <x:c r="V28"/>
      <x:c r="W28"/>
    </x:row>
    <x:row r="29">
      <x:c r="A29"/>
      <x:c r="B29"/>
      <x:c r="C29"/>
      <x:c r="D29"/>
      <x:c r="E29"/>
      <x:c r="F29"/>
      <x:c r="G29"/>
      <x:c r="H29"/>
      <x:c r="I29"/>
      <x:c r="J29"/>
      <x:c r="K29"/>
      <x:c r="L29"/>
      <x:c r="M29"/>
      <x:c r="N29"/>
      <x:c r="O29"/>
      <x:c r="P29"/>
      <x:c r="Q29"/>
      <x:c r="R29"/>
      <x:c r="S29"/>
      <x:c r="T29"/>
      <x:c r="U29"/>
      <x:c r="V29"/>
      <x:c r="W29"/>
    </x:row>
  </x:sheetData>
  <x:mergeCells>
    <x:mergeCell ref="A1:H1"/>
    <x:mergeCell ref="A3:H6"/>
  </x:mergeCells>
  <x:pageMargins left="0.7" right="0.7" top="0.75" bottom="0.75" header="0.3" footer="0.3"/>
</x:worksheet>
</file>

<file path=xl/worksheets/sheet20.xml><?xml version="1.0" encoding="utf-8"?>
<x:worksheet xmlns:x="http://schemas.openxmlformats.org/spreadsheetml/2006/main">
  <x:sheetFormatPr defaultRowHeight="15"/>
  <x:cols>
    <x:col min="1" max="1" width="14" hidden="0" customWidth="1"/>
    <x:col min="2" max="2" width="16" hidden="0" customWidth="1"/>
    <x:col min="3" max="3" width="28" hidden="0" customWidth="1"/>
    <x:col min="4" max="4" width="24" hidden="0" customWidth="1"/>
    <x:col min="5" max="5" width="19" hidden="0" customWidth="1"/>
    <x:col min="6" max="6" width="30" hidden="0" customWidth="1"/>
    <x:col min="7" max="7" width="13" hidden="0" customWidth="1"/>
    <x:col min="8" max="8" width="30" hidden="0" customWidth="1"/>
    <x:col min="9" max="9" width="30" hidden="0" customWidth="1"/>
    <x:col min="10" max="10" width="21" hidden="0" customWidth="1"/>
    <x:col min="11" max="11" width="25" hidden="0" customWidth="1"/>
    <x:col min="12" max="12" width="44" hidden="0" customWidth="1"/>
  </x:cols>
  <x:sheetData>
    <x:row r="1" ht="25.5" hidden="0" customHeight="1">
      <x:c r="A1" s="898" t="str">
        <x:v>SOURCE &amp; MARKUP REGISTER - PROJECT EVIDENCE / TAKEOFF TRACEABILITY</x:v>
      </x:c>
      <x:c r="B1" s="743"/>
      <x:c r="C1" s="743"/>
      <x:c r="D1" s="743"/>
      <x:c r="E1" s="743"/>
      <x:c r="F1" s="743"/>
      <x:c r="G1" s="743"/>
      <x:c r="H1" s="743"/>
      <x:c r="I1" s="743"/>
      <x:c r="J1" s="743"/>
      <x:c r="K1" s="743"/>
      <x:c r="L1" s="743"/>
    </x:row>
    <x:row r="2" ht="24" hidden="0" customHeight="1">
      <x:c r="A2" s="730" t="str">
        <x:v>Source ID</x:v>
      </x:c>
      <x:c r="B2" s="730" t="str">
        <x:v>Scope / QS Code</x:v>
      </x:c>
      <x:c r="C2" s="730" t="str">
        <x:v>Original Source</x:v>
      </x:c>
      <x:c r="D2" s="730" t="str">
        <x:v>Drawing / Page</x:v>
      </x:c>
      <x:c r="E2" s="730" t="str">
        <x:v>Revision / Date</x:v>
      </x:c>
      <x:c r="F2" s="730" t="str">
        <x:v>Original Source Link</x:v>
      </x:c>
      <x:c r="G2" s="730" t="str">
        <x:v>Markup ID</x:v>
      </x:c>
      <x:c r="H2" s="730" t="str">
        <x:v>Markup File</x:v>
      </x:c>
      <x:c r="I2" s="730" t="str">
        <x:v>Markup Link</x:v>
      </x:c>
      <x:c r="J2" s="730" t="str">
        <x:v>Status</x:v>
      </x:c>
      <x:c r="K2" s="730" t="str">
        <x:v>Use / Quantity</x:v>
      </x:c>
      <x:c r="L2" s="730" t="str">
        <x:v>Notes</x:v>
      </x:c>
    </x:row>
    <x:row r="3" ht="63" hidden="0" customHeight="1">
      <x:c r="A3" s="26" t="str">
        <x:v>SRC-ESC-001</x:v>
      </x:c>
      <x:c r="B3" s="26" t="str">
        <x:v>ESC01</x:v>
      </x:c>
      <x:c r="C3" s="26" t="str">
        <x:v>LUC60463161 Stamped Plans.pdf</x:v>
      </x:c>
      <x:c r="D3" s="26" t="str">
        <x:v>DWG231 / DWG241 - PDF pages 14-15 of 26</x:v>
      </x:c>
      <x:c r="E3" s="26" t="str">
        <x:v>Rev A / RC stamp 03-Sep-2026</x:v>
      </x:c>
      <x:c r="F3" s="26" t="str">
        <x:v>https://drive.google.com/file/d/1yfih6XUsDdNzviHUlgo-bkF_Bns8Dzzw/view</x:v>
      </x:c>
      <x:c r="G3" s="26" t="str">
        <x:v>MK-ESC-001</x:v>
      </x:c>
      <x:c r="H3" s="26" t="str">
        <x:v>329_Hobsonville_ESC_Takeoff_Markup_Rev4_NOT_FOR_CONSTRUCTION.pdf</x:v>
      </x:c>
      <x:c r="I3" s="26" t="str">
        <x:v>https://drive.google.com/file/d/13PFL6hD-KmWdnTyspBPusGxFgXuUJ7_v/view</x:v>
      </x:c>
      <x:c r="J3" s="26" t="str">
        <x:v>CURRENT / VERIFIED SOURCE</x:v>
      </x:c>
      <x:c r="K3" s="26" t="str">
        <x:v>226.3lm main fence; 49m2 entrance</x:v>
      </x:c>
      <x:c r="L3" s="26" t="str">
        <x:v>Original stamped source governs. Markup is internal verification only and NOT FOR CONSTRUCTION. Temporary ESC; Materials &amp; Component permanent-work coverage = N/A.</x:v>
      </x:c>
    </x:row>
    <x:row r="4" ht="63" hidden="0" customHeight="1">
      <x:c r="A4" s="26" t="str">
        <x:v>SRC-RC-DEC-001</x:v>
      </x:c>
      <x:c r="B4" s="26" t="str">
        <x:v>ESC01 / consent</x:v>
      </x:c>
      <x:c r="C4" s="26" t="str">
        <x:v>LUC60463161 DC Decisions.pdf</x:v>
      </x:c>
      <x:c r="D4" s="26" t="str">
        <x:v>Land Disturbance Effects - PDF page 6</x:v>
      </x:c>
      <x:c r="E4" s="26" t="str">
        <x:v>Decision 2026</x:v>
      </x:c>
      <x:c r="F4" s="26" t="str">
        <x:v>https://drive.google.com/file/d/1IllW_Uy50C4ghU9ufKo5Nn_WDY0fXAZK/view</x:v>
      </x:c>
      <x:c r="G4" s="26"/>
      <x:c r="H4" s="26"/>
      <x:c r="I4" s="26"/>
      <x:c r="J4" s="26" t="str">
        <x:v>CURRENT / CONSENT EVIDENCE</x:v>
      </x:c>
      <x:c r="K4" s="26" t="str">
        <x:v>GD05 silt fencing, progressive stabilisation, stabilised entrance</x:v>
      </x:c>
      <x:c r="L4" s="26" t="str">
        <x:v>Consent confirms controls and pre-earthworks site-engineer acceptance requirement.</x:v>
      </x:c>
    </x:row>
    <x:row r="5" ht="54" customHeight="1">
      <x:c r="A5" s="27" t="str">
        <x:v>SRC-Q07-001</x:v>
      </x:c>
      <x:c r="B5" s="27" t="str">
        <x:v>PG01 / PV02</x:v>
      </x:c>
      <x:c r="C5" s="27" t="str">
        <x:v>Traffic Safe Estimate_3BearsProject.pdf</x:v>
      </x:c>
      <x:c r="D5" s="27" t="str">
        <x:v>3-page supplier estimate</x:v>
      </x:c>
      <x:c r="E5" s="27" t="str">
        <x:v>10-Sep-2026</x:v>
      </x:c>
      <x:c r="F5" s="27" t="str">
        <x:v>https://mail.google.com/mail/#all/1a089762e581ff66</x:v>
      </x:c>
      <x:c r="G5" s="27"/>
      <x:c r="H5" s="27"/>
      <x:c r="I5" s="27"/>
      <x:c r="J5" s="27" t="str">
        <x:v>CURRENT / QUOTED CORE</x:v>
      </x:c>
      <x:c r="K5" s="27" t="str">
        <x:v>$3,938.40 excl GST</x:v>
      </x:c>
      <x:c r="L5" s="27" t="str">
        <x:v>Quoted core only. Temporary FAF and additional authority/RCA/cable-locate/restricted-parking costs may be on-charged. 10:00-16:00 expected road window.</x:v>
      </x:c>
    </x:row>
    <x:row r="6" ht="54" customHeight="1">
      <x:c r="A6" s="27" t="str">
        <x:v>SRC-Q02-001</x:v>
      </x:c>
      <x:c r="B6" s="27" t="str">
        <x:v>RW01 / RW02</x:v>
      </x:c>
      <x:c r="C6" s="27" t="str">
        <x:v>Citi Landscape Supplies Quote #1020</x:v>
      </x:c>
      <x:c r="D6" s="27" t="str">
        <x:v>Keystone Compac III supply quote</x:v>
      </x:c>
      <x:c r="E6" s="27" t="str">
        <x:v>10-Sep-2026</x:v>
      </x:c>
      <x:c r="F6" s="27" t="str">
        <x:v>https://mail.google.com/mail/#all/1a0894ca021c346b</x:v>
      </x:c>
      <x:c r="G6" s="27"/>
      <x:c r="H6" s="27"/>
      <x:c r="I6" s="27"/>
      <x:c r="J6" s="27" t="str">
        <x:v>CURRENT / MATERIAL QUOTE + HEIGHT-BAND BASIS / DESIGN AUTHORITY RED</x:v>
      </x:c>
      <x:c r="K6" s="27" t="str">
        <x:v>$26,339.10 excl GST; 1,274 straight blocks; 187 caps; 8 corners; 49 pin packs; 32 pallet deposits; 32 deliveries</x:v>
      </x:c>
      <x:c r="L6" s="27" t="str">
        <x:v>Bryn's 11-Sep breakdown confirms 84.0lm of wall with height bands from 0.2m to 1.8m plus one buried straight-face course. First-principles block/cap checks are within ~1-2% of the quote. Supplier is not the design authority; Civil 1.5m vs Arch/DHC 1.8m conflict remains.</x:v>
      </x:c>
    </x:row>
    <x:row r="7" ht="54" customHeight="1">
      <x:c r="A7" s="27" t="str">
        <x:v>SRC-INT-FOUND-001</x:v>
      </x:c>
      <x:c r="B7" s="27" t="str">
        <x:v>EW05/EW06/EW07 interface</x:v>
      </x:c>
      <x:c r="C7" s="27" t="str">
        <x:v>Coast Concrete Construction quote - 329 Hobsonville Rd</x:v>
      </x:c>
      <x:c r="D7" s="27" t="str">
        <x:v>Foundation and floor quotation</x:v>
      </x:c>
      <x:c r="E7" s="27" t="str">
        <x:v>09-Sep-2026</x:v>
      </x:c>
      <x:c r="F7" s="27" t="str">
        <x:v>https://mail.google.com/mail/#all/1a088c2abb0c9ecd</x:v>
      </x:c>
      <x:c r="G7" s="27"/>
      <x:c r="H7" s="27"/>
      <x:c r="I7" s="27"/>
      <x:c r="J7" s="27" t="str">
        <x:v>CURRENT / QUOTED + LATEST CLARIFICATION</x:v>
      </x:c>
      <x:c r="K7" s="27" t="str">
        <x:v>$210,606 + GST; formal quote includes excavation of 15 P2 piles.</x:v>
      </x:c>
      <x:c r="L7" s="27" t="str">
        <x:v>Karl 11-Sep clarifies footing excavation, bulk excavation and hardfill to 350mm below FFL are excluded; confirms 15 PILE2. Siteworks retains EW05/EW07; EW06 transferred to Coast.</x:v>
      </x:c>
    </x:row>
    <x:row r="8" ht="54" customHeight="1">
      <x:c r="A8" s="27" t="str">
        <x:v>SRC-SUB-DRN-PUB</x:v>
      </x:c>
      <x:c r="B8" s="27" t="str">
        <x:v>CW/005 overlay</x:v>
      </x:c>
      <x:c r="C8" s="27" t="str">
        <x:v>Allied Civil Earthworks Quote 1078</x:v>
      </x:c>
      <x:c r="D8" s="27" t="str">
        <x:v>EPA Plans Stormwater / APD detention</x:v>
      </x:c>
      <x:c r="E8" s="27" t="str">
        <x:v>02-Sep-2026 / expires 20-Oct-2026</x:v>
      </x:c>
      <x:c r="F8" s="27" t="str">
        <x:v>https://mail.google.com/mail/#all/1a07faf97ff99a76</x:v>
      </x:c>
      <x:c r="G8" s="27"/>
      <x:c r="H8" s="27"/>
      <x:c r="I8" s="27"/>
      <x:c r="J8" s="27" t="str">
        <x:v>CURRENT / QUOTED BASE</x:v>
      </x:c>
      <x:c r="K8" s="27" t="str">
        <x:v>$168,258.71 excl GST</x:v>
      </x:c>
      <x:c r="L8" s="27" t="str">
        <x:v>Public stormwater/detention subcontract base. $6,500 survey/signoff allowances may be additional; CCTV TBC; trench shields possible. Jason clarification sent 10-Sep-2026.</x:v>
      </x:c>
    </x:row>
    <x:row r="9" ht="54" customHeight="1">
      <x:c r="A9" s="27" t="str">
        <x:v>SRC-SUB-DRN-PRV</x:v>
      </x:c>
      <x:c r="B9" s="27" t="str">
        <x:v>CW/005 / CW/006 / CW/003 allocation hold</x:v>
      </x:c>
      <x:c r="C9" s="27" t="str">
        <x:v>Allied/Jason Ref 25237 drainage breakdown</x:v>
      </x:c>
      <x:c r="D9" s="27" t="str">
        <x:v>Private drainage / wastewater / labour / Novacoil</x:v>
      </x:c>
      <x:c r="E9" s="27" t="str">
        <x:v>08-Sep-2026</x:v>
      </x:c>
      <x:c r="F9" s="27" t="str">
        <x:v>https://mail.google.com/mail/#all/1a07faf97ff99a76</x:v>
      </x:c>
      <x:c r="G9" s="27"/>
      <x:c r="H9" s="27"/>
      <x:c r="I9" s="27"/>
      <x:c r="J9" s="27" t="str">
        <x:v>CURRENT / QUOTED / ALLOCATION HOLD</x:v>
      </x:c>
      <x:c r="K9" s="27" t="str">
        <x:v>$87,711.74 excl GST / 21WD</x:v>
      </x:c>
      <x:c r="L9" s="27" t="str">
        <x:v>Private Drainage $17,736.34; Wastewater $6,144.36; Labour $54,390; Novacoil $9,441.04. Labour split and Novacoil ownership requested from Jason 10-Sep-2026.</x:v>
      </x:c>
    </x:row>
    <x:row r="10" ht="54" customHeight="1">
      <x:c r="A10" s="27" t="str">
        <x:v>SRC-TPW-SCH-001</x:v>
      </x:c>
      <x:c r="B10" s="27" t="str">
        <x:v>Tender Build-Up mapping</x:v>
      </x:c>
      <x:c r="C10" s="27" t="str">
        <x:v>HLC Property Limited Main Contract Tender Submission - Summary.pdf</x:v>
      </x:c>
      <x:c r="D10" s="27" t="str">
        <x:v>Main Building MB/001-MB/026; Civil CW/001-CW/013</x:v>
      </x:c>
      <x:c r="E10" s="27" t="str">
        <x:v>Tender pack source</x:v>
      </x:c>
      <x:c r="F10" s="27" t="str">
        <x:v>https://mail.google.com/mail/#all/1a0693e378eab3f6</x:v>
      </x:c>
      <x:c r="G10" s="27"/>
      <x:c r="H10" s="27"/>
      <x:c r="I10" s="27"/>
      <x:c r="J10" s="27" t="str">
        <x:v>CURRENT / TENDER SCHEDULE SOURCE</x:v>
      </x:c>
      <x:c r="K10" s="27" t="str">
        <x:v>TPW/HLC tender return headings</x:v>
      </x:c>
      <x:c r="L10" s="27" t="str">
        <x:v>Controls final allocation. Siteworks mapping is already reconciled; Coast and Allied overlays remain separate until allocation/overlap holds close.</x:v>
      </x:c>
    </x:row>
    <x:row r="11" ht="57" customHeight="1">
      <x:c r="A11" s="27" t="str">
        <x:v>SRC-SUB-DRN-ALLOC</x:v>
      </x:c>
      <x:c r="B11" s="27" t="str">
        <x:v>CW/003 / CW/005 / CW/006</x:v>
      </x:c>
      <x:c r="C11" s="27" t="str">
        <x:v>Jason Wilson clarification email</x:v>
      </x:c>
      <x:c r="D11" s="27" t="str">
        <x:v>Allied Quote1078 + Ref25237 allocation clarification</x:v>
      </x:c>
      <x:c r="E11" s="27" t="str">
        <x:v>10-Sep-2026</x:v>
      </x:c>
      <x:c r="F11" s="27" t="str">
        <x:v>https://mail.google.com/mail/#all/1a089fd8e6ec7395</x:v>
      </x:c>
      <x:c r="G11" s="27"/>
      <x:c r="H11" s="27"/>
      <x:c r="I11" s="27"/>
      <x:c r="J11" s="27" t="str">
        <x:v>CURRENT / ALLOCATION EVIDENCE</x:v>
      </x:c>
      <x:c r="K11" s="27" t="str">
        <x:v>Public +$6,500 confirmed; private SW $41,636.34; WW $26,864.36; retaining $19,211.04</x:v>
      </x:c>
      <x:c r="L11" s="27" t="str">
        <x:v>Jason confirms 10d SW / 8d WW / 3d Novacoil and that 108m is retaining drainage incl 2 Type1 cesspits. Reply-body total typo ($86,711.74) recorded; attachment total $87,711.74 governs.</x:v>
      </x:c>
    </x:row>
    <x:row r="12" ht="57" customHeight="1">
      <x:c r="A12" s="27" t="str">
        <x:v>SRC-PAVE-BC-001</x:v>
      </x:c>
      <x:c r="B12" s="27" t="str">
        <x:v>PV01 / PV04</x:v>
      </x:c>
      <x:c r="C12" s="27" t="str">
        <x:v>25237 - 329 Hobsonville Road - Bc - Rev 16.pdf</x:v>
      </x:c>
      <x:c r="D12" s="27" t="str">
        <x:v>Architectural A1 Site Plan</x:v>
      </x:c>
      <x:c r="E12" s="27" t="str">
        <x:v>Rev16 / 06-Jul-2026</x:v>
      </x:c>
      <x:c r="F12" s="27" t="str">
        <x:v>https://drive.google.com/file/d/1339kJ3-KcZ7p42NjlMRKZVXEnI-qAxC-/view</x:v>
      </x:c>
      <x:c r="G12" s="27"/>
      <x:c r="H12" s="27"/>
      <x:c r="I12" s="27"/>
      <x:c r="J12" s="27" t="str">
        <x:v>SUPERSEDED BY ARCH REV17 / RETAINED FOR AUDIT</x:v>
      </x:c>
      <x:c r="K12" s="27" t="str">
        <x:v>Historic Rev16: Concrete Carpark 498m2 incl paths; previous site calculations/areas.</x:v>
      </x:c>
      <x:c r="L12" s="27" t="str">
        <x:v>Superseded 11-Sep-2026 by Architectural Rev17 issued by TPW. Retain as revision history only.</x:v>
      </x:c>
    </x:row>
    <x:row r="13" ht="57" customHeight="1">
      <x:c r="A13" s="27" t="str">
        <x:v>SRC-PAVE-RC-001</x:v>
      </x:c>
      <x:c r="B13" s="27" t="str">
        <x:v>PV01 / PV04 / OWNER TBC external concrete</x:v>
      </x:c>
      <x:c r="C13" s="27" t="str">
        <x:v>LUC60463161 Stamped Plans.pdf</x:v>
      </x:c>
      <x:c r="D13" s="27" t="str">
        <x:v>Architectural A1 Site Plan / stamped RC</x:v>
      </x:c>
      <x:c r="E13" s="27" t="str">
        <x:v>Rev11e / 18-Aug-2026 RC-Sign</x:v>
      </x:c>
      <x:c r="F13" s="27" t="str">
        <x:v>https://drive.google.com/file/d/1yfih6XUsDdNzviHUlgo-bkF_Bns8Dzzw/view</x:v>
      </x:c>
      <x:c r="G13" s="27"/>
      <x:c r="H13" s="27"/>
      <x:c r="I13" s="27"/>
      <x:c r="J13" s="27" t="str">
        <x:v>SUPPORTING / PRE-REV17 STAMPED RC</x:v>
      </x:c>
      <x:c r="K13" s="27" t="str">
        <x:v>568m2 carparks &amp; footpath; prior separate 33m2 ramp/entry/steps; 69.45m2 driveway; 1500.50m2 impervious.</x:v>
      </x:c>
      <x:c r="L13" s="27" t="str">
        <x:v>Rev17 now carries the 568m2 and site calculations into the current architectural set. Prior 33m2 separate-area label is not repeated in Rev17; retain only as reference pending ownership/remeasure.</x:v>
      </x:c>
    </x:row>
    <x:row r="14">
      <x:c r="A14" t="str">
        <x:v>SRC-TPW-PAVE-001</x:v>
      </x:c>
      <x:c r="B14" t="str">
        <x:v>PV01 / PV04 / MC-020</x:v>
      </x:c>
      <x:c r="C14" t="str">
        <x:v>Rhys Pemberton / TPW clarification email</x:v>
      </x:c>
      <x:c r="D14" t="str">
        <x:v>RE: pavement quantity / external concrete clarification</x:v>
      </x:c>
      <x:c r="E14" t="str">
        <x:v>11-Sep-2026</x:v>
      </x:c>
      <x:c r="F14" t="str">
        <x:v>https://mail.google.com/mail/#all/1a08d3fda66c5e71</x:v>
      </x:c>
      <x:c r="G14"/>
      <x:c r="H14"/>
      <x:c r="I14"/>
      <x:c r="J14" t="str">
        <x:v>CURRENT / TENDER BASIS + REV17 ISSUED</x:v>
      </x:c>
      <x:c r="K14" t="str">
        <x:v>Stamped RC basis confirmed; Rev17 subsequently issued 11-Sep.</x:v>
      </x:c>
      <x:c r="L14" t="str">
        <x:v>Rhys supplied current Architectural Rev17 and notes updated concrete areas/site calculations plus retaining/stairs/handrail changes. 33m2 trade ownership remains unanswered.</x:v>
      </x:c>
    </x:row>
    <x:row r="15">
      <x:c r="A15" t="str">
        <x:v>SRC-Q06-UQ-001</x:v>
      </x:c>
      <x:c r="B15" t="str">
        <x:v>PV01 / EW08 / EW09</x:v>
      </x:c>
      <x:c r="C15" t="str">
        <x:v>Urban Quarry pricing email</x:v>
      </x:c>
      <x:c r="D15" t="str">
        <x:v>Delivered T&amp;T material / disposal rates</x:v>
      </x:c>
      <x:c r="E15" t="str">
        <x:v>11-Sep-2026</x:v>
      </x:c>
      <x:c r="F15" t="str">
        <x:v>https://mail.google.com/mail/#all/1a08d0bb40d05c06</x:v>
      </x:c>
      <x:c r="G15"/>
      <x:c r="H15"/>
      <x:c r="I15"/>
      <x:c r="J15" t="str">
        <x:v>CURRENT / QUOTED / T&amp;T ACCESS AMBER</x:v>
      </x:c>
      <x:c r="K15" t="str">
        <x:v>Inbound clay $25.10/t; GAP20 $44.25/t; GAP40 $35.75/t; cleanfill $31.20/t; mixed $46.20/t; managed $49.55/t; clean concrete $19.50/t; reinforced concrete $47.00/t.</x:v>
      </x:c>
      <x:c r="L15" t="str">
        <x:v>Do not treat inbound clay as compliant engineered fill without consultant/geotech acceptance. Mixed/managed rates include levy. T&amp;T access remains a condition.</x:v>
      </x:c>
    </x:row>
    <x:row r="16">
      <x:c r="A16" t="str">
        <x:v>SRC-Q02-CITI-BANDS-001</x:v>
      </x:c>
      <x:c r="B16" t="str">
        <x:v>RW01 / RW02 / MC-008</x:v>
      </x:c>
      <x:c r="C16" t="str">
        <x:v>Bryn Watson / Citi Landscape Supplies clarification email</x:v>
      </x:c>
      <x:c r="D16" t="str">
        <x:v>Keystone height-band takeoff breakdown</x:v>
      </x:c>
      <x:c r="E16" t="str">
        <x:v>11-Sep-2026</x:v>
      </x:c>
      <x:c r="F16" t="str">
        <x:v>https://mail.google.com/mail/#all/1a08d9d2286ecd06</x:v>
      </x:c>
      <x:c r="G16"/>
      <x:c r="H16"/>
      <x:c r="I16"/>
      <x:c r="J16" t="str">
        <x:v>CURRENT / SUPPLIER TAKEOFF EVIDENCE / NOT DESIGN AUTHORITY</x:v>
      </x:c>
      <x:c r="K16" t="str">
        <x:v>84.0lm total; bands: 8.5@0.2, 4.5@0.6, 11@0.8, 16@1.2, 14@1.4, 6@1.7, 13@1.8, 4.5@1.6, 6.5@1.2; plus one buried course</x:v>
      </x:c>
      <x:c r="L16" t="str">
        <x:v>Strong independent supplier quantity check against 82.93lm vector control and Quote #1020. Does not resolve which design document governs.</x:v>
      </x:c>
    </x:row>
    <x:row r="17">
      <x:c r="A17" t="str">
        <x:v>SRC-Q03-ALLIED-001</x:v>
      </x:c>
      <x:c r="B17" t="str">
        <x:v>RW04 / MC-009</x:v>
      </x:c>
      <x:c r="C17" t="str">
        <x:v>Allied Concrete Quote 11092026SX3BEARS</x:v>
      </x:c>
      <x:c r="D17" t="str">
        <x:v>13MPa 19mm no-fines concrete supply quote</x:v>
      </x:c>
      <x:c r="E17" t="str">
        <x:v>11-Sep-2026</x:v>
      </x:c>
      <x:c r="F17" t="str">
        <x:v>https://mail.google.com/mail/#all/1a08e068600d1f22</x:v>
      </x:c>
      <x:c r="G17"/>
      <x:c r="H17"/>
      <x:c r="I17"/>
      <x:c r="J17" t="str">
        <x:v>CURRENT / QUOTED SUPPLY / PLACEMENT AMBER</x:v>
      </x:c>
      <x:c r="K17" t="str">
        <x:v>50m3 @ $295/m3 excl GST + variable fuel surcharge</x:v>
      </x:c>
      <x:c r="L17" t="str">
        <x:v>Primary project quote. Current 07-Sep fuel surcharge $6.99/m3 from Allied published calculator. Conditional charges and onsite washout apply; placement/pumping not quoted.</x:v>
      </x:c>
    </x:row>
    <x:row r="18">
      <x:c r="A18" t="str">
        <x:v>SRC-STRUCT-NF-001</x:v>
      </x:c>
      <x:c r="B18" t="str">
        <x:v>RW04 / MC-009</x:v>
      </x:c>
      <x:c r="C18" t="str">
        <x:v>13880 - Structural Details - 2026-07-07.pdf</x:v>
      </x:c>
      <x:c r="D18" t="str">
        <x:v>S303 Detail 20 - Keystone/Allan Block Retaining Wall - Wall Design Table</x:v>
      </x:c>
      <x:c r="E18" t="str">
        <x:v>Rev B / 28-May-2026</x:v>
      </x:c>
      <x:c r="F18" t="str">
        <x:v>https://drive.google.com/file/d/1HPp6omELrK4QrB41sp1xWKFod0fR5hIp/view</x:v>
      </x:c>
      <x:c r="G18"/>
      <x:c r="H18"/>
      <x:c r="I18"/>
      <x:c r="J18" t="str">
        <x:v>CURRENT / STRUCTURAL QUANTITY BASIS</x:v>
      </x:c>
      <x:c r="K18" t="str">
        <x:v>Calculated no-fines volume 47.98m3 using Citi 84m height bands and S303 widths 150/300/300/550/650mm for H max 600/900/1200/1600/1800mm</x:v>
      </x:c>
      <x:c r="L18" t="str">
        <x:v>Independent first-principles quantity check materially corroborates Allied's 50m3 quoted estimate. Design authority conflict with Civil 1.5m note remains separately open.</x:v>
      </x:c>
    </x:row>
    <x:row r="19">
      <x:c r="A19" t="str">
        <x:v>SRC-ARCH-REV17-001</x:v>
      </x:c>
      <x:c r="B19" t="str">
        <x:v>EW01/EW03/PV01/PV04/RW01/RW02/MC-020</x:v>
      </x:c>
      <x:c r="C19" t="str">
        <x:v>25237 - 329 Hobsonville Road - Bc - Rev 17.pdf</x:v>
      </x:c>
      <x:c r="D19" t="str">
        <x:v>Architectural A1 Site Plan + A15 Stair &amp; Ramp Enlargement</x:v>
      </x:c>
      <x:c r="E19" t="str">
        <x:v>Rev17 / 11-Sep-2026</x:v>
      </x:c>
      <x:c r="F19" t="str">
        <x:v>https://mail.google.com/mail/#all/1a08e15948fdc5bb</x:v>
      </x:c>
      <x:c r="G19"/>
      <x:c r="H19"/>
      <x:c r="I19"/>
      <x:c r="J19" t="str">
        <x:v>CURRENT / LATEST TPW-ISSUED ARCHITECTURAL SET</x:v>
      </x:c>
      <x:c r="K19" t="str">
        <x:v>A1: 568m2 concrete carpark incl all paths; earthworks 1,310m3 fill /113m3 cut /2,105m2 area; Keystone max 1.8m. A15: landing/ramp/stair/handrail geometry.</x:v>
      </x:c>
      <x:c r="L19" t="str">
        <x:v>Rhys says Rev17 updates concrete areas, site calculations, retaining/stairs/handrails and fencing notes. Earthworks volumes conflict with Yodha RevB; ownership of ramp/stairs remains TBC.</x:v>
      </x:c>
    </x:row>
    <x:row r="20">
      <x:c r="A20" t="str">
        <x:v>SRC-COAST-CLAR-001</x:v>
      </x:c>
      <x:c r="B20" t="str">
        <x:v>EW05/EW06/EW07 / Coast overlay</x:v>
      </x:c>
      <x:c r="C20" t="str">
        <x:v>Karl Mason / Coast Concrete clarification email</x:v>
      </x:c>
      <x:c r="D20" t="str">
        <x:v>Foundation/floor quote breakdown and excavation boundary</x:v>
      </x:c>
      <x:c r="E20" t="str">
        <x:v>11-Sep-2026</x:v>
      </x:c>
      <x:c r="F20" t="str">
        <x:v>https://mail.google.com/mail/#all/1a08e2fa347771be</x:v>
      </x:c>
      <x:c r="G20"/>
      <x:c r="H20"/>
      <x:c r="I20"/>
      <x:c r="J20" t="str">
        <x:v>CURRENT / SCOPE CLARIFICATION</x:v>
      </x:c>
      <x:c r="K20" t="str">
        <x:v>Quote total $210,606; rough split $210,605; 15 PILE2 confirmed. Footing excavation, bulk excavation and hardfill to 350mm below FFL excluded; P2 pile excavation remains expressly included in formal quote.</x:v>
      </x:c>
      <x:c r="L20" t="str">
        <x:v>Closes Siteworks/Coast duplicate boundary: EW06 by Coast; EW05/EW07 retained Siteworks. $1 rough-breakdown difference treated as rounding.</x:v>
      </x:c>
    </x:row>
    <x:row r="21">
      <x:c r="A21" s="27" t="str">
        <x:v>SRC-COM-MR-001</x:v>
      </x:c>
      <x:c r="B21" s="27" t="str">
        <x:v>CA16 / Tender adjudication</x:v>
      </x:c>
      <x:c r="C21" s="27" t="str">
        <x:v>Rick Jones / 3Bears management adjudication decision</x:v>
      </x:c>
      <x:c r="D21" s="27" t="str">
        <x:v>4.0% Management Reserve - aggregate residual tender-stage uncertainty</x:v>
      </x:c>
      <x:c r="E21" s="27" t="str">
        <x:v>11-Sep-2026</x:v>
      </x:c>
      <x:c r="F21" s="27"/>
      <x:c r="G21" s="27"/>
      <x:c r="H21" s="27"/>
      <x:c r="I21" s="27"/>
      <x:c r="J21" s="27" t="str">
        <x:v>CURRENT / PROVIDED / AMBER COMMERCIAL DECISION</x:v>
      </x:c>
      <x:c r="K21" s="27" t="str">
        <x:v>4.0% of Rev33 pre-OH/profit subtotal $456,726.56 = $18,269.06 pre-margin; $22,421.12 tender effect</x:v>
      </x:c>
      <x:c r="L21" s="27" t="str">
        <x:v>Separate from Risk Truth CA01/CA02. Does not close REDs. Reprice actual consequences when measurable and reassess reserve under change control.</x:v>
      </x:c>
    </x:row>
  </x:sheetData>
  <x:mergeCells>
    <x:mergeCell ref="A1:L1"/>
  </x:mergeCells>
  <x:pageMargins left="0.7" right="0.7" top="0.75" bottom="0.75" header="0.3" footer="0.3"/>
</x:worksheet>
</file>

<file path=xl/worksheets/sheet21.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18" hidden="0" customWidth="1"/>
    <x:col min="5" max="5" width="18" hidden="0" customWidth="1"/>
    <x:col min="6" max="6" width="22" hidden="0" customWidth="1"/>
    <x:col min="7" max="7" width="42" hidden="0" customWidth="1"/>
    <x:col min="8" max="8" width="70" hidden="0" customWidth="1"/>
  </x:cols>
  <x:sheetData>
    <x:row r="1">
      <x:c r="A1" s="1117" t="str">
        <x:v>329 HOBSONVILLE ROAD — CONSOLIDATED ALL-IN PACKAGE</x:v>
      </x:c>
      <x:c r="B1" s="1117"/>
      <x:c r="C1" s="1117"/>
      <x:c r="D1" s="1117"/>
      <x:c r="E1" s="1117"/>
      <x:c r="F1" s="1117"/>
      <x:c r="G1" s="1117"/>
      <x:c r="H1" s="1117"/>
    </x:row>
    <x:row r="2">
      <x:c r="A2" s="1119" t="str">
        <x:v>WORKING ALL-IN TENDER EXCL GST</x:v>
      </x:c>
      <x:c r="B2" s="1278" t="n">
        <x:f>F56</x:f>
        <x:v>1226916.8060281163</x:v>
      </x:c>
      <x:c r="C2" s="1278"/>
      <x:c r="D2" s="1278"/>
      <x:c r="E2" s="1127" t="str">
        <x:v>Current answer to “what will this cost?”
Includes Siteworks current pre-commercial package, Coast, Allied, 10% OH and 15% true-margin profit.
Technical release remains HOLD for contract award.</x:v>
      </x:c>
      <x:c r="F2" s="1127"/>
      <x:c r="G2" s="1127"/>
      <x:c r="H2" s="1127"/>
    </x:row>
    <x:row r="3">
      <x:c r="A3" s="1119"/>
      <x:c r="B3" s="1278"/>
      <x:c r="C3" s="1278"/>
      <x:c r="D3" s="1278"/>
      <x:c r="E3" s="1127"/>
      <x:c r="F3" s="1127"/>
      <x:c r="G3" s="1127"/>
      <x:c r="H3" s="1127"/>
    </x:row>
    <x:row r="4">
      <x:c r="A4" s="1140" t="str">
        <x:v>Package / Control</x:v>
      </x:c>
      <x:c r="B4" s="1140" t="str">
        <x:v>Amount excl GST</x:v>
      </x:c>
      <x:c r="C4" s="1140" t="str">
        <x:v>Classification</x:v>
      </x:c>
      <x:c r="D4" s="1140" t="str">
        <x:v>Included in Siteworks direct?</x:v>
      </x:c>
      <x:c r="E4" s="1140" t="str">
        <x:v>TPW status</x:v>
      </x:c>
      <x:c r="F4" s="1140" t="str">
        <x:v>Release</x:v>
      </x:c>
      <x:c r="G4" s="1140" t="str">
        <x:v>Source / calculation</x:v>
      </x:c>
      <x:c r="H4" s="1140" t="str">
        <x:v>Notes</x:v>
      </x:c>
    </x:row>
    <x:row r="5" ht="36" customHeight="1">
      <x:c r="A5" s="1132" t="str">
        <x:v>Siteworks current pre-commercial package</x:v>
      </x:c>
      <x:c r="B5" s="1279" t="n">
        <x:f>'Tender Build-Up'!B40</x:f>
        <x:v>474995.6273853625</x:v>
      </x:c>
      <x:c r="C5" s="1132" t="str">
        <x:v>LINKED / CURRENT</x:v>
      </x:c>
      <x:c r="D5" s="1132" t="str">
        <x:v>Yes</x:v>
      </x:c>
      <x:c r="E5" s="1132" t="str">
        <x:v>Siteworks mapping complete</x:v>
      </x:c>
      <x:c r="F5" s="1132" t="str">
        <x:v>AMBER / WORKING</x:v>
      </x:c>
      <x:c r="G5" s="1132" t="str">
        <x:v>Tender Build-Up B40 precommercial subtotal</x:v>
      </x:c>
      <x:c r="H5" s="1132" t="str">
        <x:v>Includes Siteworks Rev34 CA16 Management Reserve $18,269.06 pre-margin. OH/profit excluded here so the consolidated scenario applies one consistent commercial layer.</x:v>
      </x:c>
    </x:row>
    <x:row r="6" ht="36" customHeight="1">
      <x:c r="A6" s="1132" t="str">
        <x:v>Coast Concrete foundation/floor subcontract</x:v>
      </x:c>
      <x:c r="B6" s="1279" t="n">
        <x:v>210606</x:v>
      </x:c>
      <x:c r="C6" s="1132" t="str">
        <x:v>QUOTED</x:v>
      </x:c>
      <x:c r="D6" s="1132" t="str">
        <x:v>No</x:v>
      </x:c>
      <x:c r="E6" s="1132" t="str">
        <x:v>Scope interface clarified / MB presentation AMBER</x:v>
      </x:c>
      <x:c r="F6" s="1132" t="str">
        <x:v>AMBER / CLOSED DUPLICATION</x:v>
      </x:c>
      <x:c r="G6" s="1132" t="str">
        <x:v>Coast quote 09-Sep + Karl 11-Sep</x:v>
      </x:c>
      <x:c r="H6" s="1132" t="str">
        <x:v>Quote $210,606 retained. Karl excludes footing/bulk excavation and hardfill to 350mm below FFL; formal quote includes excavation of 15 P2 piles. Siteworks EW06 removed; EW05/EW07 retained.</x:v>
      </x:c>
    </x:row>
    <x:row r="7" ht="36" customHeight="1">
      <x:c r="A7" s="1132" t="str">
        <x:v>Allied public stormwater/detention base</x:v>
      </x:c>
      <x:c r="B7" s="1279" t="n">
        <x:v>168258.71</x:v>
      </x:c>
      <x:c r="C7" s="1132" t="str">
        <x:v>QUOTED BASE</x:v>
      </x:c>
      <x:c r="D7" s="1132" t="str">
        <x:v>No</x:v>
      </x:c>
      <x:c r="E7" s="1132" t="str">
        <x:v>CW/005</x:v>
      </x:c>
      <x:c r="F7" s="1132" t="str">
        <x:v>AMBER</x:v>
      </x:c>
      <x:c r="G7" s="1132" t="str">
        <x:v>Quote1078</x:v>
      </x:c>
      <x:c r="H7" s="1132" t="str">
        <x:v>Base quoted subtotal.</x:v>
      </x:c>
    </x:row>
    <x:row r="8" ht="36" customHeight="1">
      <x:c r="A8" s="1132" t="str">
        <x:v>Allied public setout/as-built/signoff additional</x:v>
      </x:c>
      <x:c r="B8" s="1279" t="n">
        <x:v>6500</x:v>
      </x:c>
      <x:c r="C8" s="1132" t="str">
        <x:v>CONFIRMED ADDITIONAL</x:v>
      </x:c>
      <x:c r="D8" s="1132" t="str">
        <x:v>No</x:v>
      </x:c>
      <x:c r="E8" s="1132" t="str">
        <x:v>CW/005</x:v>
      </x:c>
      <x:c r="F8" s="1132" t="str">
        <x:v>AMBER</x:v>
      </x:c>
      <x:c r="G8" s="1132" t="str">
        <x:v>Jason email 10-Sep-2026</x:v>
      </x:c>
      <x:c r="H8" s="1132" t="str">
        <x:v>Confirmed additional to Quote1078 subtotal.</x:v>
      </x:c>
    </x:row>
    <x:row r="9" ht="36" customHeight="1">
      <x:c r="A9" s="1132" t="str">
        <x:v>Allied public current known total</x:v>
      </x:c>
      <x:c r="B9" s="1279" t="n">
        <x:v>174758.71</x:v>
      </x:c>
      <x:c r="C9" s="1132" t="str">
        <x:v>CALCULATED / QUOTED</x:v>
      </x:c>
      <x:c r="D9" s="1132" t="str">
        <x:v>No</x:v>
      </x:c>
      <x:c r="E9" s="1132" t="str">
        <x:v>CW/005</x:v>
      </x:c>
      <x:c r="F9" s="1132" t="str">
        <x:v>AMBER</x:v>
      </x:c>
      <x:c r="G9" s="1132" t="str">
        <x:v>$168,258.71 + $6,500</x:v>
      </x:c>
      <x:c r="H9" s="1132" t="str">
        <x:v>CCTV TBC and possible trench shields remain outside current known total.</x:v>
      </x:c>
    </x:row>
    <x:row r="10" ht="36" customHeight="1">
      <x:c r="A10" s="1250" t="str">
        <x:v>Allied private drainage total</x:v>
      </x:c>
      <x:c r="B10" s="1280" t="n">
        <x:v>87711.74</x:v>
      </x:c>
      <x:c r="C10" s="1250" t="str">
        <x:v>QUOTED / ALLOCATED</x:v>
      </x:c>
      <x:c r="D10" s="1250" t="str">
        <x:v>No</x:v>
      </x:c>
      <x:c r="E10" s="1250" t="str">
        <x:v>CW/003/CW005/CW006</x:v>
      </x:c>
      <x:c r="F10" s="1250" t="str">
        <x:v>AMBER</x:v>
      </x:c>
      <x:c r="G10" s="1250" t="str">
        <x:v>Ref25237 + Jason 10/8/3 allocation</x:v>
      </x:c>
      <x:c r="H10" s="1132" t="str">
        <x:v>Email-body total typo recorded; attachment and arithmetic govern at $87,711.74.</x:v>
      </x:c>
    </x:row>
    <x:row r="11" ht="36" customHeight="1">
      <x:c r="A11" s="1132" t="str">
        <x:v>Allied combined current known total</x:v>
      </x:c>
      <x:c r="B11" s="1279" t="n">
        <x:v>262470.45</x:v>
      </x:c>
      <x:c r="C11" s="1132" t="str">
        <x:v>CALCULATED</x:v>
      </x:c>
      <x:c r="D11" s="1132" t="str">
        <x:v>No</x:v>
      </x:c>
      <x:c r="E11" s="1132" t="str">
        <x:v>Civil allocation substantially closed</x:v>
      </x:c>
      <x:c r="F11" s="1132" t="str">
        <x:v>AMBER</x:v>
      </x:c>
      <x:c r="G11" s="1132" t="str">
        <x:v>Public current known + private quote</x:v>
      </x:c>
      <x:c r="H11" s="1132" t="str">
        <x:v>Before CCTV/trench-shield extras.</x:v>
      </x:c>
    </x:row>
    <x:row r="12" ht="36" customHeight="1">
      <x:c r="A12" s="1250" t="str">
        <x:v>GROSS CURRENT KNOWN PACKAGE - COAST INTERFACE RECONCILED</x:v>
      </x:c>
      <x:c r="B12" s="1280" t="n">
        <x:f>SUM(B5:B6)+B11</x:f>
        <x:v>948072.0773853625</x:v>
      </x:c>
      <x:c r="C12" s="1250" t="str">
        <x:v>CALCULATED</x:v>
      </x:c>
      <x:c r="D12" s="1250" t="str">
        <x:v>Review total only</x:v>
      </x:c>
      <x:c r="E12" s="1250" t="str">
        <x:v>Not final tender</x:v>
      </x:c>
      <x:c r="F12" s="1250" t="str">
        <x:v>HOLD</x:v>
      </x:c>
      <x:c r="G12" s="1250" t="str">
        <x:v>Siteworks + Coast + Allied current known</x:v>
      </x:c>
      <x:c r="H12" s="1251" t="str">
        <x:v>No OH/profit. No confirmed Siteworks/Coast duplicate remains.</x:v>
      </x:c>
    </x:row>
    <x:row r="13" ht="36" customHeight="1">
      <x:c r="A13" s="1132" t="str">
        <x:v>Confirmed Siteworks/Coast overlap after Karl clarification</x:v>
      </x:c>
      <x:c r="B13" s="1279" t="n">
        <x:v>0</x:v>
      </x:c>
      <x:c r="C13" s="1132" t="str">
        <x:v>CLOSED</x:v>
      </x:c>
      <x:c r="D13" s="1132" t="str">
        <x:v>None</x:v>
      </x:c>
      <x:c r="E13" s="1132" t="str">
        <x:v>Interface closed</x:v>
      </x:c>
      <x:c r="F13" s="1132" t="str">
        <x:v>AMBER / CLOSED</x:v>
      </x:c>
      <x:c r="G13" s="1132" t="str">
        <x:v>https://mail.google.com/mail/#all/1a08e2fa347771be</x:v>
      </x:c>
      <x:c r="H13" s="1132" t="str">
        <x:v>EW06 PILE2 transferred to Coast at source; EW05/EW07 remain Siteworks. No further package-level deduction.</x:v>
      </x:c>
    </x:row>
    <x:row r="14" ht="36" customHeight="1">
      <x:c r="A14" s="1139" t="str">
        <x:v>Current known package after Coast interface reconciliation</x:v>
      </x:c>
      <x:c r="B14" s="1281" t="n">
        <x:f>B12-B13</x:f>
        <x:v>948072.0773853625</x:v>
      </x:c>
      <x:c r="C14" s="1139" t="str">
        <x:v>CALCULATED</x:v>
      </x:c>
      <x:c r="D14" s="1139" t="str">
        <x:v>Review only</x:v>
      </x:c>
      <x:c r="E14" s="1139" t="str">
        <x:v>Not final tender</x:v>
      </x:c>
      <x:c r="F14" s="1139" t="str">
        <x:v>HOLD</x:v>
      </x:c>
      <x:c r="G14" s="1139" t="str">
        <x:v>Gross package less confirmed overlap</x:v>
      </x:c>
      <x:c r="H14" s="1139" t="str">
        <x:v>Equals gross current known package because overlap is now zero.</x:v>
      </x:c>
    </x:row>
    <x:row r="15" ht="36" customHeight="1">
      <x:c r="A15" s="1131" t="str">
        <x:v>Unpriced Allied extras</x:v>
      </x:c>
      <x:c r="B15" s="1282" t="str">
        <x:v>TBC</x:v>
      </x:c>
      <x:c r="C15" s="1131" t="str">
        <x:v>UNPRICED</x:v>
      </x:c>
      <x:c r="D15" s="1131" t="str">
        <x:v>No</x:v>
      </x:c>
      <x:c r="E15" s="1131" t="str">
        <x:v>CW/005</x:v>
      </x:c>
      <x:c r="F15" s="1131" t="str">
        <x:v>AMBER / RED IF REQUIRED</x:v>
      </x:c>
      <x:c r="G15" s="1131" t="str">
        <x:v>Quote1078 notes</x:v>
      </x:c>
      <x:c r="H15" s="1132" t="str">
        <x:v>CCTV TBC; box/trench shields may be required. No unsupported amount added.</x:v>
      </x:c>
    </x:row>
    <x:row r="16" ht="36" customHeight="1">
      <x:c r="A16" s="1283" t="str">
        <x:v>WORKING ALL-IN TENDER EXCL GST</x:v>
      </x:c>
      <x:c r="B16" s="1284" t="n">
        <x:f>F56</x:f>
        <x:v>1226916.8060281163</x:v>
      </x:c>
      <x:c r="C16" s="1283" t="str">
        <x:v>CALCULATED / WORKING</x:v>
      </x:c>
      <x:c r="D16" s="1283" t="str">
        <x:v>N/A</x:v>
      </x:c>
      <x:c r="E16" s="1283" t="str">
        <x:v>Commercial scenario</x:v>
      </x:c>
      <x:c r="F16" s="1283" t="str">
        <x:v>HOLD</x:v>
      </x:c>
      <x:c r="G16" s="1283" t="str">
        <x:v>Consolidated Package F56</x:v>
      </x:c>
      <x:c r="H16" s="1283" t="str">
        <x:v>This is the current package price for Dave/Siteworks adjudication. It is a working tender value, not a contract-award release.</x:v>
      </x:c>
    </x:row>
    <x:row r="17" ht="39" customHeight="1">
      <x:c r="A17" s="1131"/>
      <x:c r="B17" s="1282"/>
      <x:c r="C17" s="1131"/>
      <x:c r="D17" s="1131"/>
      <x:c r="E17" s="1131"/>
      <x:c r="F17" s="1131"/>
      <x:c r="G17" s="1131"/>
      <x:c r="H17" s="1132"/>
    </x:row>
    <x:row r="18" ht="39" customHeight="1">
      <x:c r="A18" s="1140" t="str">
        <x:v>ALLIED PRIVATE QUOTE ALLOCATION - JASON CLARIFICATION 10-SEP-2026</x:v>
      </x:c>
      <x:c r="B18" s="1140"/>
      <x:c r="C18" s="1140"/>
      <x:c r="D18" s="1140"/>
      <x:c r="E18" s="1140"/>
      <x:c r="F18" s="1140"/>
      <x:c r="G18" s="1140"/>
      <x:c r="H18" s="1140"/>
    </x:row>
    <x:row r="19">
      <x:c r="A19" s="1135" t="str">
        <x:v>Allocation</x:v>
      </x:c>
      <x:c r="B19" s="1135" t="str">
        <x:v>Direct materials / package</x:v>
      </x:c>
      <x:c r="C19" s="1135" t="str">
        <x:v>Labour days</x:v>
      </x:c>
      <x:c r="D19" s="1135" t="str">
        <x:v>Labour/day</x:v>
      </x:c>
      <x:c r="E19" s="1135" t="str">
        <x:v>Labour allocation</x:v>
      </x:c>
      <x:c r="F19" s="1135" t="str">
        <x:v>Other reallocation</x:v>
      </x:c>
      <x:c r="G19" s="1135" t="str">
        <x:v>Allocated total</x:v>
      </x:c>
      <x:c r="H19" s="1135" t="str">
        <x:v>Check / note</x:v>
      </x:c>
    </x:row>
    <x:row r="20" ht="31.5" customHeight="1">
      <x:c r="A20" s="1135" t="str">
        <x:v>Private stormwater</x:v>
      </x:c>
      <x:c r="B20" s="1285" t="n">
        <x:v>17736.34</x:v>
      </x:c>
      <x:c r="C20" s="1285" t="n">
        <x:v>10</x:v>
      </x:c>
      <x:c r="D20" s="1285" t="n">
        <x:v>2590</x:v>
      </x:c>
      <x:c r="E20" s="1285" t="n">
        <x:v>25900</x:v>
      </x:c>
      <x:c r="F20" s="1285" t="n">
        <x:v>-2000</x:v>
      </x:c>
      <x:c r="G20" s="1285" t="n">
        <x:v>41636.34</x:v>
      </x:c>
      <x:c r="H20" s="1132" t="str">
        <x:v>Two cesspits moved to retaining because Jason confirms they belong to retaining drainage.</x:v>
      </x:c>
    </x:row>
    <x:row r="21" ht="31.5" customHeight="1">
      <x:c r="A21" s="1132" t="str">
        <x:v>Wastewater</x:v>
      </x:c>
      <x:c r="B21" s="1252" t="n">
        <x:v>6144.36</x:v>
      </x:c>
      <x:c r="C21" s="1252" t="n">
        <x:v>8</x:v>
      </x:c>
      <x:c r="D21" s="1252" t="n">
        <x:v>2590</x:v>
      </x:c>
      <x:c r="E21" s="1252" t="n">
        <x:v>20720</x:v>
      </x:c>
      <x:c r="F21" s="1252" t="n">
        <x:v>0</x:v>
      </x:c>
      <x:c r="G21" s="1252" t="n">
        <x:v>26864.36</x:v>
      </x:c>
      <x:c r="H21" s="1132" t="str">
        <x:v>8 labour days.</x:v>
      </x:c>
    </x:row>
    <x:row r="22" ht="31.5" customHeight="1">
      <x:c r="A22" s="1132" t="str">
        <x:v>Retaining drainage</x:v>
      </x:c>
      <x:c r="B22" s="1252" t="n">
        <x:v>9441.04</x:v>
      </x:c>
      <x:c r="C22" s="1252" t="n">
        <x:v>3</x:v>
      </x:c>
      <x:c r="D22" s="1252" t="n">
        <x:v>2590</x:v>
      </x:c>
      <x:c r="E22" s="1252" t="n">
        <x:v>7770</x:v>
      </x:c>
      <x:c r="F22" s="1252" t="n">
        <x:v>2000</x:v>
      </x:c>
      <x:c r="G22" s="1252" t="n">
        <x:v>19211.04</x:v>
      </x:c>
      <x:c r="H22" s="1132" t="str">
        <x:v>108m Novacoil + two Type1 cesspits confirmed retaining drainage.</x:v>
      </x:c>
    </x:row>
    <x:row r="23" ht="31.5" customHeight="1">
      <x:c r="A23" s="1132" t="str">
        <x:v>ALLOCATED TOTAL</x:v>
      </x:c>
      <x:c r="B23" s="1252"/>
      <x:c r="C23" s="1252"/>
      <x:c r="D23" s="1252"/>
      <x:c r="E23" s="1252"/>
      <x:c r="F23" s="1252"/>
      <x:c r="G23" s="1252" t="n">
        <x:v>87711.73999999999</x:v>
      </x:c>
      <x:c r="H23" s="1132" t="str">
        <x:v>Must equal attached Ref25237 total $87,711.74.</x:v>
      </x:c>
    </x:row>
    <x:row r="24" ht="31.5" customHeight="1">
      <x:c r="A24" s="1132" t="str">
        <x:v>Attachment total</x:v>
      </x:c>
      <x:c r="B24" s="1252"/>
      <x:c r="C24" s="1252"/>
      <x:c r="D24" s="1252"/>
      <x:c r="E24" s="1252"/>
      <x:c r="F24" s="1252"/>
      <x:c r="G24" s="1252" t="n">
        <x:v>87711.74</x:v>
      </x:c>
      <x:c r="H24" s="1132" t="str">
        <x:v>Source of truth.</x:v>
      </x:c>
    </x:row>
    <x:row r="25" ht="31.5" customHeight="1">
      <x:c r="A25" s="1132" t="str">
        <x:v>Difference</x:v>
      </x:c>
      <x:c r="B25" s="1252"/>
      <x:c r="C25" s="1252"/>
      <x:c r="D25" s="1252"/>
      <x:c r="E25" s="1252"/>
      <x:c r="F25" s="1252"/>
      <x:c r="G25" s="1252" t="n">
        <x:v>-1.4551915228366852e-11</x:v>
      </x:c>
      <x:c r="H25" s="1132" t="str">
        <x:v>Must be zero.</x:v>
      </x:c>
    </x:row>
    <x:row r="26">
      <x:c r="A26" s="1140"/>
      <x:c r="B26" s="1140"/>
      <x:c r="C26" s="1140"/>
      <x:c r="D26" s="1140"/>
      <x:c r="E26" s="1140"/>
      <x:c r="F26" s="1140"/>
      <x:c r="G26" s="1140"/>
      <x:c r="H26" s="1132"/>
    </x:row>
    <x:row r="27">
      <x:c r="A27" s="1254" t="str">
        <x:v>IMPORTANT SOURCE CONTRADICTION</x:v>
      </x:c>
      <x:c r="B27" s="1254"/>
      <x:c r="C27" s="1254"/>
      <x:c r="D27" s="1254"/>
      <x:c r="E27" s="1254"/>
      <x:c r="F27" s="1254"/>
      <x:c r="G27" s="1254"/>
      <x:c r="H27" s="1139"/>
    </x:row>
    <x:row r="28" ht="37.5" customHeight="1">
      <x:c r="A28" s="1132" t="str">
        <x:v>Jason's 10-Sep reply refers to '$86,711.74'. The attached Ref25237 quote states $87,711.74 and its four package subtotals sum exactly to $87,711.74. Rev27 retains $87,711.74 and records the reply-body figure as a typographical contradiction rather than silently changing the quote.</x:v>
      </x:c>
      <x:c r="B28" s="1132"/>
      <x:c r="C28" s="1132"/>
      <x:c r="D28" s="1132"/>
      <x:c r="E28" s="1132"/>
      <x:c r="F28" s="1132"/>
      <x:c r="G28" s="1132"/>
      <x:c r="H28" s="1132"/>
    </x:row>
    <x:row r="29" ht="37.5" customHeight="1">
      <x:c r="A29" s="1132"/>
      <x:c r="B29" s="1132"/>
      <x:c r="C29" s="1132"/>
      <x:c r="D29" s="1132"/>
      <x:c r="E29" s="1132"/>
      <x:c r="F29" s="1132"/>
      <x:c r="G29" s="1132"/>
      <x:c r="H29" s="1132"/>
    </x:row>
    <x:row r="30" ht="37.5" customHeight="1">
      <x:c r="A30" s="1140" t="str">
        <x:v>TPW / HLC CIVIL WORKING ALLOCATION - SITEWORKS + ALLIED</x:v>
      </x:c>
      <x:c r="B30" s="1140"/>
      <x:c r="C30" s="1140"/>
      <x:c r="D30" s="1140"/>
      <x:c r="E30" s="1140"/>
      <x:c r="F30" s="1140"/>
      <x:c r="G30" s="1140"/>
      <x:c r="H30" s="1140"/>
    </x:row>
    <x:row r="31" ht="37.5" customHeight="1">
      <x:c r="A31" s="1135" t="str">
        <x:v>TPW Ref</x:v>
      </x:c>
      <x:c r="B31" s="1135" t="str">
        <x:v>Heading</x:v>
      </x:c>
      <x:c r="C31" s="1135" t="str">
        <x:v>Siteworks current</x:v>
      </x:c>
      <x:c r="D31" s="1135" t="str">
        <x:v>Allied allocated</x:v>
      </x:c>
      <x:c r="E31" s="1135" t="str">
        <x:v>Combined working</x:v>
      </x:c>
      <x:c r="F31" s="1135" t="str">
        <x:v>Status</x:v>
      </x:c>
      <x:c r="G31" s="1135" t="str">
        <x:v>Source / formula</x:v>
      </x:c>
      <x:c r="H31" s="1135" t="str">
        <x:v>Notes</x:v>
      </x:c>
    </x:row>
    <x:row r="32" ht="36" customHeight="1">
      <x:c r="A32" s="1132" t="str">
        <x:v>CW/001</x:v>
      </x:c>
      <x:c r="B32" s="1132" t="str">
        <x:v>Site Preparation / Silt Fencing</x:v>
      </x:c>
      <x:c r="C32" s="1252" t="n">
        <x:f>'Tender Build-Up'!C66</x:f>
        <x:v>7750.143268186798</x:v>
      </x:c>
      <x:c r="D32" s="1252" t="n">
        <x:v>0</x:v>
      </x:c>
      <x:c r="E32" s="1252" t="n">
        <x:f>C32+D32</x:f>
        <x:v>7750.143268186798</x:v>
      </x:c>
      <x:c r="F32" s="1132" t="str">
        <x:v>AMBER</x:v>
      </x:c>
      <x:c r="G32" s="1132" t="str">
        <x:v>Siteworks TPW map</x:v>
      </x:c>
      <x:c r="H32" s="1132" t="str">
        <x:v>ESC measured.</x:v>
      </x:c>
    </x:row>
    <x:row r="33" ht="36" customHeight="1">
      <x:c r="A33" s="1132" t="str">
        <x:v>CW/002</x:v>
      </x:c>
      <x:c r="B33" s="1132" t="str">
        <x:v>Site Clearance / Demolition</x:v>
      </x:c>
      <x:c r="C33" s="1252" t="n">
        <x:f>'Tender Build-Up'!C67</x:f>
        <x:v>4946.75</x:v>
      </x:c>
      <x:c r="D33" s="1252" t="n">
        <x:v>0</x:v>
      </x:c>
      <x:c r="E33" s="1252" t="n">
        <x:f>C33+D33</x:f>
        <x:v>4946.75</x:v>
      </x:c>
      <x:c r="F33" s="1132" t="str">
        <x:v>AMBER</x:v>
      </x:c>
      <x:c r="G33" s="1132" t="str">
        <x:v>Siteworks TPW map</x:v>
      </x:c>
      <x:c r="H33" s="1132" t="str">
        <x:v>No Allied overlay.</x:v>
      </x:c>
    </x:row>
    <x:row r="34" ht="36" customHeight="1">
      <x:c r="A34" s="1132" t="str">
        <x:v>CW/003</x:v>
      </x:c>
      <x:c r="B34" s="1132" t="str">
        <x:v>Retaining Walls</x:v>
      </x:c>
      <x:c r="C34" s="1252" t="n">
        <x:f>'Tender Build-Up'!C68</x:f>
        <x:v>71668.83595875</x:v>
      </x:c>
      <x:c r="D34" s="1252" t="n">
        <x:v>19211.04</x:v>
      </x:c>
      <x:c r="E34" s="1252" t="n">
        <x:f>C34+D34</x:f>
        <x:v>90879.87595875</x:v>
      </x:c>
      <x:c r="F34" s="1132" t="str">
        <x:v>RED - HEIGHT / AMBER DRAINAGE</x:v>
      </x:c>
      <x:c r="G34" s="1132" t="str">
        <x:v>Siteworks CW003 + Allied retaining allocation</x:v>
      </x:c>
      <x:c r="H34" s="1132" t="str">
        <x:v>Siteworks RW05 removed; Allied retaining drainage includes 108m Novacoil + 2 cesspits. Citi block quantity and Allied no-fines supply are now strongly corroborated (DHC calc 47.98m3 vs Allied 50m3). Remaining retaining RED is design authority; RW04 placement remains AMBER.</x:v>
      </x:c>
    </x:row>
    <x:row r="35" ht="36" customHeight="1">
      <x:c r="A35" s="1132" t="str">
        <x:v>CW/004</x:v>
      </x:c>
      <x:c r="B35" s="1132" t="str">
        <x:v>Bulk Earthworks</x:v>
      </x:c>
      <x:c r="C35" s="1252" t="n">
        <x:f>'Tender Build-Up'!C69</x:f>
        <x:v>96118.43333333333</x:v>
      </x:c>
      <x:c r="D35" s="1252" t="n">
        <x:v>0</x:v>
      </x:c>
      <x:c r="E35" s="1252" t="n">
        <x:f>C35+D35</x:f>
        <x:v>96118.43333333333</x:v>
      </x:c>
      <x:c r="F35" s="1132" t="str">
        <x:v>RED - REV17/YODHA QTY</x:v>
      </x:c>
      <x:c r="G35" s="1132" t="str">
        <x:v>Siteworks TPW map</x:v>
      </x:c>
      <x:c r="H35" s="1132" t="str">
        <x:v>Live Yodha volumes retained. Arch Rev17 1,310m3 fill /113m3 cut implies 1,197m3 import; direct sensitivity +$23,314.55 before Weather/OH/profit.</x:v>
      </x:c>
    </x:row>
    <x:row r="36" ht="36" customHeight="1">
      <x:c r="A36" s="1132" t="str">
        <x:v>CW/005</x:v>
      </x:c>
      <x:c r="B36" s="1132" t="str">
        <x:v>Stormwater Drainage</x:v>
      </x:c>
      <x:c r="C36" s="1252" t="n">
        <x:f>'Tender Build-Up'!C70</x:f>
        <x:v>47500</x:v>
      </x:c>
      <x:c r="D36" s="1252" t="n">
        <x:v>216395.05</x:v>
      </x:c>
      <x:c r="E36" s="1252" t="n">
        <x:f>C36+D36</x:f>
        <x:v>263895.05</x:v>
      </x:c>
      <x:c r="F36" s="1132" t="str">
        <x:v>AMBER</x:v>
      </x:c>
      <x:c r="G36" s="1132" t="str">
        <x:v>Siteworks interface + Allied public + private SW</x:v>
      </x:c>
      <x:c r="H36" s="1132" t="str">
        <x:v>Siteworks ES02/ES03 remain surface/threshold interfaces; general piped SW by Allied.</x:v>
      </x:c>
    </x:row>
    <x:row r="37" ht="36" customHeight="1">
      <x:c r="A37" s="1132" t="str">
        <x:v>CW/006</x:v>
      </x:c>
      <x:c r="B37" s="1132" t="str">
        <x:v>Wastewater Drainage</x:v>
      </x:c>
      <x:c r="C37" s="1252" t="n">
        <x:f>'Tender Build-Up'!C71</x:f>
        <x:v>0</x:v>
      </x:c>
      <x:c r="D37" s="1252" t="n">
        <x:v>26864.36</x:v>
      </x:c>
      <x:c r="E37" s="1252" t="n">
        <x:f>C37+D37</x:f>
        <x:v>26864.36</x:v>
      </x:c>
      <x:c r="F37" s="1132" t="str">
        <x:v>AMBER</x:v>
      </x:c>
      <x:c r="G37" s="1132" t="str">
        <x:v>Allied private allocation</x:v>
      </x:c>
      <x:c r="H37" s="1132" t="str">
        <x:v>General wastewater by Allied.</x:v>
      </x:c>
    </x:row>
    <x:row r="38" ht="36" customHeight="1">
      <x:c r="A38" s="1132" t="str">
        <x:v>CW/007</x:v>
      </x:c>
      <x:c r="B38" s="1132" t="str">
        <x:v>Water Supply</x:v>
      </x:c>
      <x:c r="C38" s="1252" t="n">
        <x:f>'Tender Build-Up'!C72</x:f>
        <x:v>0</x:v>
      </x:c>
      <x:c r="D38" s="1252" t="n">
        <x:v>0</x:v>
      </x:c>
      <x:c r="E38" s="1252" t="n">
        <x:f>C38+D38</x:f>
        <x:v>0</x:v>
      </x:c>
      <x:c r="F38" s="1132" t="str">
        <x:v>AMBER</x:v>
      </x:c>
      <x:c r="G38" s="1132" t="str">
        <x:v>Current scope</x:v>
      </x:c>
      <x:c r="H38" s="1132" t="str">
        <x:v>No quoted Allied water package.</x:v>
      </x:c>
    </x:row>
    <x:row r="39" ht="36" customHeight="1">
      <x:c r="A39" s="1132" t="str">
        <x:v>CW/008</x:v>
      </x:c>
      <x:c r="B39" s="1132" t="str">
        <x:v>Services Trenching</x:v>
      </x:c>
      <x:c r="C39" s="1252" t="n">
        <x:f>'Tender Build-Up'!C73</x:f>
        <x:v>15000</x:v>
      </x:c>
      <x:c r="D39" s="1252" t="n">
        <x:v>0</x:v>
      </x:c>
      <x:c r="E39" s="1252" t="n">
        <x:f>C39+D39</x:f>
        <x:v>15000</x:v>
      </x:c>
      <x:c r="F39" s="1132" t="str">
        <x:v>AMBER</x:v>
      </x:c>
      <x:c r="G39" s="1132" t="str">
        <x:v>Siteworks TPW map</x:v>
      </x:c>
      <x:c r="H39" s="1132" t="str">
        <x:v>Dry services PC.</x:v>
      </x:c>
    </x:row>
    <x:row r="40" ht="36" customHeight="1">
      <x:c r="A40" s="1140" t="str">
        <x:v>CW/009</x:v>
      </x:c>
      <x:c r="B40" s="1140" t="str">
        <x:v>Driveways / Car Parking / Vehicle Crossing / Pavements</x:v>
      </x:c>
      <x:c r="C40" s="1286" t="n">
        <x:f>'Tender Build-Up'!C74</x:f>
        <x:v>119034.3133332756</x:v>
      </x:c>
      <x:c r="D40" s="1286" t="n">
        <x:v>0</x:v>
      </x:c>
      <x:c r="E40" s="1286" t="n">
        <x:f>C40+D40</x:f>
        <x:v>119034.3133332756</x:v>
      </x:c>
      <x:c r="F40" s="1140" t="str">
        <x:v>RED - Q05</x:v>
      </x:c>
      <x:c r="G40" s="1140" t="str">
        <x:v>Siteworks TPW map</x:v>
      </x:c>
      <x:c r="H40" s="1132" t="str">
        <x:v>PV01 productivity/placing RED remains.</x:v>
      </x:c>
    </x:row>
    <x:row r="41" ht="36" customHeight="1">
      <x:c r="A41" s="1132" t="str">
        <x:v>CW/010</x:v>
      </x:c>
      <x:c r="B41" s="1132" t="str">
        <x:v>Planting / Soft Landscaping</x:v>
      </x:c>
      <x:c r="C41" s="1252" t="n">
        <x:f>'Tender Build-Up'!C75</x:f>
        <x:v>0</x:v>
      </x:c>
      <x:c r="D41" s="1252" t="n">
        <x:v>0</x:v>
      </x:c>
      <x:c r="E41" s="1252" t="n">
        <x:f>C41+D41</x:f>
        <x:v>0</x:v>
      </x:c>
      <x:c r="F41" s="1132" t="str">
        <x:v>EXCLUDED</x:v>
      </x:c>
      <x:c r="G41" s="1132" t="str">
        <x:v>Siteworks TPW map</x:v>
      </x:c>
      <x:c r="H41" s="1132" t="str">
        <x:v>By others.</x:v>
      </x:c>
    </x:row>
    <x:row r="42" ht="36" customHeight="1">
      <x:c r="A42" s="1132" t="str">
        <x:v>CW/011</x:v>
      </x:c>
      <x:c r="B42" s="1132" t="str">
        <x:v>Fencing / Street Furniture</x:v>
      </x:c>
      <x:c r="C42" s="1252" t="n">
        <x:f>'Tender Build-Up'!C76</x:f>
        <x:v>2500</x:v>
      </x:c>
      <x:c r="D42" s="1252" t="n">
        <x:v>0</x:v>
      </x:c>
      <x:c r="E42" s="1252" t="n">
        <x:f>C42+D42</x:f>
        <x:v>2500</x:v>
      </x:c>
      <x:c r="F42" s="1132" t="str">
        <x:v>AMBER</x:v>
      </x:c>
      <x:c r="G42" s="1132" t="str">
        <x:v>Siteworks TPW map</x:v>
      </x:c>
      <x:c r="H42" s="1132" t="str">
        <x:v>OLFP fence interface only.</x:v>
      </x:c>
    </x:row>
    <x:row r="43" ht="36" customHeight="1">
      <x:c r="A43" s="1132" t="str">
        <x:v>CW/012</x:v>
      </x:c>
      <x:c r="B43" s="1132" t="str">
        <x:v>Preliminaries &amp; General</x:v>
      </x:c>
      <x:c r="C43" s="1252" t="n">
        <x:f>'Tender Build-Up'!C77</x:f>
        <x:v>77208.08890007209</x:v>
      </x:c>
      <x:c r="D43" s="1252" t="n">
        <x:v>0</x:v>
      </x:c>
      <x:c r="E43" s="1252" t="n">
        <x:f>C43+D43</x:f>
        <x:v>77208.08890007209</x:v>
      </x:c>
      <x:c r="F43" s="1132" t="str">
        <x:v>AMBER</x:v>
      </x:c>
      <x:c r="G43" s="1132" t="str">
        <x:v>Siteworks TPW map</x:v>
      </x:c>
      <x:c r="H43" s="1132" t="str">
        <x:v>Includes current Weather CA10 $18,204.69; RFI-15 quantity change would trigger Weather rerun.</x:v>
      </x:c>
    </x:row>
    <x:row r="44" ht="56" customHeight="1">
      <x:c r="A44" s="1132" t="str">
        <x:v>CW/013 (SITEWORKS INTERMEDIATE)</x:v>
      </x:c>
      <x:c r="B44" s="1132" t="str">
        <x:v>Siteworks OH + profit allocation</x:v>
      </x:c>
      <x:c r="C44" s="1252" t="n">
        <x:f>'Tender Build-Up'!C78</x:f>
        <x:v>139704.59628981256</x:v>
      </x:c>
      <x:c r="D44" s="1252" t="n">
        <x:v>0</x:v>
      </x:c>
      <x:c r="E44" s="1252" t="n">
        <x:f>C44+D44</x:f>
        <x:v>139704.59628981256</x:v>
      </x:c>
      <x:c r="F44" s="1132" t="str">
        <x:v>INTERMEDIATE ONLY</x:v>
      </x:c>
      <x:c r="G44" s="1132" t="str">
        <x:v>Tender Build-Up C78 = Siteworks CA17 + CA18</x:v>
      </x:c>
      <x:c r="H44" s="1132" t="str">
        <x:v>$107,953.55 is the standalone Siteworks OH/profit allocation only. It is not the final consolidated TPW CW/013. The final client TPW return carries CW/013 = $181,729.53, including the civil share of CA16 Management Reserve plus consolidated OH/profit on the current Coast/Allied/Siteworks package.</x:v>
      </x:c>
    </x:row>
    <x:row r="45" ht="36" customHeight="1">
      <x:c r="A45" s="1132" t="str">
        <x:v>CIVIL TOTAL BEFORE MARGIN</x:v>
      </x:c>
      <x:c r="B45" s="1132"/>
      <x:c r="C45" s="1252" t="n">
        <x:f>SUM(C32:C43)</x:f>
        <x:v>441726.5647936178</x:v>
      </x:c>
      <x:c r="D45" s="1252" t="n">
        <x:f>SUM(D32:D43)</x:f>
        <x:v>262470.45</x:v>
      </x:c>
      <x:c r="E45" s="1252" t="n">
        <x:f>SUM(E32:E43)</x:f>
        <x:v>704197.0147936179</x:v>
      </x:c>
      <x:c r="F45" s="1132" t="str">
        <x:v>WORKING / PRE-COMMERCIAL</x:v>
      </x:c>
      <x:c r="G45" s="1132" t="str">
        <x:v>Sum CW001:012</x:v>
      </x:c>
      <x:c r="H45" s="1132" t="str">
        <x:v>Current known Civil package before company O/H/profit.</x:v>
      </x:c>
    </x:row>
    <x:row r="46">
      <x:c r="A46" s="1132"/>
      <x:c r="B46" s="1132"/>
      <x:c r="C46" s="1132"/>
      <x:c r="D46" s="1132"/>
      <x:c r="E46" s="1132"/>
      <x:c r="F46" s="1132"/>
      <x:c r="G46" s="1132"/>
      <x:c r="H46" s="1132"/>
    </x:row>
    <x:row r="47">
      <x:c r="A47" s="1140" t="str">
        <x:v>REMAINING FINAL PACKAGE HOLDS</x:v>
      </x:c>
      <x:c r="B47" s="1140"/>
      <x:c r="C47" s="1140"/>
      <x:c r="D47" s="1140"/>
      <x:c r="E47" s="1140"/>
      <x:c r="F47" s="1140"/>
      <x:c r="G47" s="1140"/>
      <x:c r="H47" s="1140"/>
    </x:row>
    <x:row r="48" ht="37.5" customHeight="1">
      <x:c r="A48" s="1132" t="str">
        <x:v>VA-18 CLOSED</x:v>
      </x:c>
      <x:c r="B48" s="1132" t="str">
        <x:v>Coast allocation / foundation interface</x:v>
      </x:c>
      <x:c r="C48" s="1132" t="str">
        <x:v>Karl / Coast</x:v>
      </x:c>
      <x:c r="D48" s="1132" t="str">
        <x:v>RECEIVED 11-Sep</x:v>
      </x:c>
      <x:c r="E48" s="1132" t="str">
        <x:v>AMBER / CLOSED</x:v>
      </x:c>
      <x:c r="F48" s="1132" t="str">
        <x:v>PILE2 excavation by Coast; footing/bulk excavation excluded. Siteworks EW06 removed; EW05/EW07 retained.</x:v>
      </x:c>
      <x:c r="G48" s="1132" t="str">
        <x:v>Coast rough breakdown received; $1 rounding vs quote total.</x:v>
      </x:c>
      <x:c r="H48" s="1132" t="str">
        <x:v>Detailed MB presentation remains AMBER only.</x:v>
      </x:c>
    </x:row>
    <x:row r="49" ht="37.5" customHeight="1">
      <x:c r="A49" s="1132" t="str">
        <x:v>RFI-16</x:v>
      </x:c>
      <x:c r="B49" s="1132" t="str">
        <x:v>Retaining height/profile</x:v>
      </x:c>
      <x:c r="C49" s="1132" t="str">
        <x:v>Designer / TPW</x:v>
      </x:c>
      <x:c r="D49" s="1132" t="str">
        <x:v>OPEN</x:v>
      </x:c>
      <x:c r="E49" s="1132" t="str">
        <x:v>RED</x:v>
      </x:c>
      <x:c r="F49" s="1132" t="str">
        <x:v>Civil 1.5m vs current Arch Rev17/DHC up to 1.8m.</x:v>
      </x:c>
      <x:c r="G49" s="1132" t="str">
        <x:v>Block/no-fines supply quantities strongly corroborated.</x:v>
      </x:c>
      <x:c r="H49" s="1132" t="str">
        <x:v>Latest Rev17 strengthens 1.8m basis but cross-discipline contradiction remains.</x:v>
      </x:c>
    </x:row>
    <x:row r="50" ht="37.5" customHeight="1">
      <x:c r="A50" s="1132" t="str">
        <x:v>Q-05 / RT13</x:v>
      </x:c>
      <x:c r="B50" s="1132" t="str">
        <x:v>PV01 concrete placement/productivity</x:v>
      </x:c>
      <x:c r="C50" s="1132" t="str">
        <x:v>Formcon</x:v>
      </x:c>
      <x:c r="D50" s="1132" t="str">
        <x:v>OPEN</x:v>
      </x:c>
      <x:c r="E50" s="1132" t="str">
        <x:v>RED</x:v>
      </x:c>
      <x:c r="F50" s="1132" t="str">
        <x:v>Need aligned crew/pour/base-prep/finish quote.</x:v>
      </x:c>
      <x:c r="G50" s="1132" t="str">
        <x:v>Current 10WD programme and direct labour basis remain unreconciled.</x:v>
      </x:c>
      <x:c r="H50" s="1132" t="str">
        <x:v>Do not force either number.</x:v>
      </x:c>
    </x:row>
    <x:row r="51" ht="37.5" customHeight="1">
      <x:c r="A51" s="1132" t="str">
        <x:v>RFI-15</x:v>
      </x:c>
      <x:c r="B51" s="1132" t="str">
        <x:v>Rev17 vs Yodha earthworks quantities</x:v>
      </x:c>
      <x:c r="C51" s="1132" t="str">
        <x:v>TPW / Yodha</x:v>
      </x:c>
      <x:c r="D51" s="1132" t="str">
        <x:v>OPEN</x:v>
      </x:c>
      <x:c r="E51" s="1132" t="str">
        <x:v>RED</x:v>
      </x:c>
      <x:c r="F51" s="1132" t="str">
        <x:v>Rev17 1,310 fill/113 cut vs Yodha 1,033/110; implied import delta +274m3.</x:v>
      </x:c>
      <x:c r="G51" s="1132" t="str">
        <x:v>Direct-only sensitivity +$23,314.55.</x:v>
      </x:c>
      <x:c r="H51" s="1132" t="str">
        <x:v>Programme/Weather rerun required if Rev17 volumes govern.</x:v>
      </x:c>
    </x:row>
    <x:row r="52" ht="37.5" customHeight="1">
      <x:c r="A52" s="1132" t="str">
        <x:v>Q-03/Q-09 + Q-06/Q-10 residual holds</x:v>
      </x:c>
      <x:c r="B52" s="1132" t="str">
        <x:v>Remaining supplier / design closeout</x:v>
      </x:c>
      <x:c r="C52" s="1132" t="str">
        <x:v>Estimator</x:v>
      </x:c>
      <x:c r="D52" s="1132" t="str">
        <x:v>OPEN</x:v>
      </x:c>
      <x:c r="E52" s="1132" t="str">
        <x:v>AMBER</x:v>
      </x:c>
      <x:c r="F52" s="1132" t="str">
        <x:v>No-fines supply quoted; line marking open; engineered-fill compliance and disposal quantity still open.</x:v>
      </x:c>
      <x:c r="G52" s="1132" t="str">
        <x:v>Replace PCs only with aligned evidence.</x:v>
      </x:c>
      <x:c r="H52" s="1132" t="str">
        <x:v>Q-05 remains separately RED.</x:v>
      </x:c>
    </x:row>
    <x:row r="53">
      <x:c r="A53" s="1119"/>
      <x:c r="B53" s="1119"/>
      <x:c r="C53" s="1119"/>
      <x:c r="D53" s="1119"/>
      <x:c r="E53" s="1119"/>
      <x:c r="F53" s="1119"/>
      <x:c r="G53" s="1119"/>
      <x:c r="H53" s="1119"/>
    </x:row>
    <x:row r="54" ht="15" hidden="0" customHeight="1">
      <x:c r="A54" s="1131" t="str">
        <x:v>CURRENT WORKING COMMERCIAL SCENARIO, 10% OH + 15% TRUE MARGIN / CONTRACT-AWARD HOLD</x:v>
      </x:c>
      <x:c r="B54" s="1131"/>
      <x:c r="C54" s="1131"/>
      <x:c r="D54" s="1131"/>
      <x:c r="E54" s="1131"/>
      <x:c r="F54" s="1131"/>
      <x:c r="G54" s="1131"/>
      <x:c r="H54" s="1131"/>
    </x:row>
    <x:row r="55" ht="15" hidden="0" customHeight="1">
      <x:c r="A55" s="1131" t="str">
        <x:v>Scenario</x:v>
      </x:c>
      <x:c r="B55" s="1131" t="str">
        <x:v>Precommercial cost</x:v>
      </x:c>
      <x:c r="C55" s="1131" t="str">
        <x:v>OH 10%</x:v>
      </x:c>
      <x:c r="D55" s="1131" t="str">
        <x:v>Subtotal after OH</x:v>
      </x:c>
      <x:c r="E55" s="1131" t="str">
        <x:v>Profit 15% true margin</x:v>
      </x:c>
      <x:c r="F55" s="1131" t="str">
        <x:v>Tender excl GST</x:v>
      </x:c>
      <x:c r="G55" s="1131" t="str">
        <x:v>Commercial uplift</x:v>
      </x:c>
      <x:c r="H55" s="1131" t="str">
        <x:v>Status</x:v>
      </x:c>
    </x:row>
    <x:row r="56" ht="26.399999618530273" hidden="0" customHeight="1">
      <x:c r="A56" s="1132" t="str">
        <x:v>Current known package before Coast overlap</x:v>
      </x:c>
      <x:c r="B56" s="1241" t="n">
        <x:f>B12</x:f>
        <x:v>948072.0773853625</x:v>
      </x:c>
      <x:c r="C56" s="1241" t="n">
        <x:f>B56*'Commercial Inputs'!$D$21</x:f>
        <x:v>94807.20773853625</x:v>
      </x:c>
      <x:c r="D56" s="1241" t="n">
        <x:f>B56+C56</x:f>
        <x:v>1042879.2851238988</x:v>
      </x:c>
      <x:c r="E56" s="1241" t="n">
        <x:f>D56/(1-'Commercial Inputs'!$D$22)-D56</x:f>
        <x:v>184037.5209042175</x:v>
      </x:c>
      <x:c r="F56" s="1241" t="n">
        <x:f>D56+E56</x:f>
        <x:v>1226916.8060281163</x:v>
      </x:c>
      <x:c r="G56" s="1241" t="n">
        <x:f>F56-B56</x:f>
        <x:v>278844.7286427538</x:v>
      </x:c>
      <x:c r="H56" s="1132" t="str">
        <x:v>WORKING SCENARIO / TECHNICAL HOLDS REMAIN</x:v>
      </x:c>
    </x:row>
    <x:row r="57" ht="26.399999618530273" hidden="0" customHeight="1">
      <x:c r="A57" s="1132" t="str">
        <x:v>If full current MB001 overlap is confirmed</x:v>
      </x:c>
      <x:c r="B57" s="1241" t="n">
        <x:f>B14</x:f>
        <x:v>948072.0773853625</x:v>
      </x:c>
      <x:c r="C57" s="1241" t="n">
        <x:f>B57*'Commercial Inputs'!$D$21</x:f>
        <x:v>94807.20773853625</x:v>
      </x:c>
      <x:c r="D57" s="1241" t="n">
        <x:f>B57+C57</x:f>
        <x:v>1042879.2851238988</x:v>
      </x:c>
      <x:c r="E57" s="1241" t="n">
        <x:f>D57/(1-'Commercial Inputs'!$D$22)-D57</x:f>
        <x:v>184037.5209042175</x:v>
      </x:c>
      <x:c r="F57" s="1241" t="n">
        <x:f>D57+E57</x:f>
        <x:v>1226916.8060281163</x:v>
      </x:c>
      <x:c r="G57" s="1241" t="n">
        <x:f>F57-B57</x:f>
        <x:v>278844.7286427538</x:v>
      </x:c>
      <x:c r="H57" s="1132" t="str">
        <x:v>SENSITIVITY ONLY / NOT CONTROLLING</x:v>
      </x:c>
    </x:row>
    <x:row r="58" ht="26.399999618530273" hidden="0" customHeight="1">
      <x:c r="A58" s="1132" t="str">
        <x:v>Commercial interpretation</x:v>
      </x:c>
      <x:c r="B58" s="1132"/>
      <x:c r="C58" s="1132"/>
      <x:c r="D58" s="1132"/>
      <x:c r="E58" s="1132"/>
      <x:c r="F58" s="1132"/>
      <x:c r="G58" s="1132"/>
      <x:c r="H58" s="1132" t="str">
        <x:v>15% is treated as true margin. Equivalent profit markup on post-OH cost is 17.647%. The combined commercial uplift is 29.412% of precommercial cost, yielding a gross margin of 22.727% on the tender sell price.</x:v>
      </x:c>
    </x:row>
    <x:row r="59" ht="39.599998474121094" hidden="0" customHeight="1">
      <x:c r="A59" s="1132" t="str">
        <x:v>Subcontract treatment assumption</x:v>
      </x:c>
      <x:c r="B59" s="1132"/>
      <x:c r="C59" s="1132"/>
      <x:c r="D59" s="1132"/>
      <x:c r="E59" s="1132"/>
      <x:c r="F59" s="1132"/>
      <x:c r="G59" s="1132"/>
      <x:c r="H59" s="1132" t="str">
        <x:v>Working scenario applies the same 10% OH + 15% true margin across the current Siteworks + Coast + Allied cost base. This is the current commercial adjudication setting and can be changed if Siteworks instructs a different basis.</x:v>
      </x:c>
    </x:row>
    <x:row r="60" ht="26.399999618530273" hidden="0" customHeight="1">
      <x:c r="A60" s="1132" t="str">
        <x:v>Release position</x:v>
      </x:c>
      <x:c r="B60" s="1132"/>
      <x:c r="C60" s="1132"/>
      <x:c r="D60" s="1132"/>
      <x:c r="E60" s="1132"/>
      <x:c r="F60" s="1132"/>
      <x:c r="G60" s="1132"/>
      <x:c r="H60" s="1132" t="str">
        <x:v>Do not release for contract award while RFI-15 earthworks quantity authority, RFI-16 retaining design authority, ramp/stairs ownership and Q-05 PV01 placing productivity remain unresolved. Coast foundation interface is CLOSED.</x:v>
      </x:c>
    </x:row>
  </x:sheetData>
  <x:mergeCells>
    <x:mergeCell ref="A20:G20"/>
    <x:mergeCell ref="A26:G26"/>
    <x:mergeCell ref="A40:G40"/>
    <x:mergeCell ref="A18:H18"/>
    <x:mergeCell ref="A27:H27"/>
    <x:mergeCell ref="A28:H28"/>
    <x:mergeCell ref="A30:H30"/>
    <x:mergeCell ref="A47:H47"/>
    <x:mergeCell ref="A54:H54"/>
    <x:mergeCell ref="A1:H1"/>
    <x:mergeCell ref="B2:D3"/>
    <x:mergeCell ref="E2:H3"/>
  </x:mergeCells>
  <x:pageMargins left="0.7" right="0.7" top="0.75" bottom="0.75" header="0.3" footer="0.3"/>
</x:worksheet>
</file>

<file path=xl/worksheets/sheet22.xml><?xml version="1.0" encoding="utf-8"?>
<x:worksheet xmlns:x="http://schemas.openxmlformats.org/spreadsheetml/2006/main">
  <x:sheetFormatPr defaultRowHeight="15"/>
  <x:cols>
    <x:col min="1" max="1" width="13" hidden="0" customWidth="1"/>
    <x:col min="2" max="2" width="34" hidden="0" customWidth="1"/>
    <x:col min="3" max="3" width="20" hidden="0" customWidth="1"/>
    <x:col min="4" max="4" width="24" hidden="0" customWidth="1"/>
    <x:col min="5" max="5" width="12" hidden="0" customWidth="1"/>
    <x:col min="6" max="6" width="12" hidden="0" customWidth="1"/>
    <x:col min="7" max="7" width="32" hidden="0" customWidth="1"/>
    <x:col min="8" max="8" width="40" hidden="0" customWidth="1"/>
    <x:col min="9" max="9" width="18" hidden="0" customWidth="1"/>
    <x:col min="10" max="10" width="30" hidden="0" customWidth="1"/>
    <x:col min="11" max="11" width="34" hidden="0" customWidth="1"/>
    <x:col min="12" max="12" width="16" hidden="0" customWidth="1"/>
    <x:col min="13" max="13" width="15" hidden="0" customWidth="1"/>
    <x:col min="14" max="14" width="48" hidden="0" customWidth="1"/>
    <x:col min="15" max="15" width="58" hidden="0" customWidth="1"/>
  </x:cols>
  <x:sheetData>
    <x:row r="1">
      <x:c r="A1" s="234" t="str">
        <x:v>329 HOBSONVILLE ROAD - MATERIALS &amp; COMPONENT TAKEOFF / COVERAGE CONTROL - REV33</x:v>
      </x:c>
      <x:c r="B1" s="234"/>
      <x:c r="C1" s="234"/>
      <x:c r="D1" s="234"/>
      <x:c r="E1" s="234"/>
      <x:c r="F1" s="234"/>
      <x:c r="G1" s="234"/>
      <x:c r="H1" s="234"/>
      <x:c r="I1" s="234"/>
      <x:c r="J1" s="234"/>
      <x:c r="K1" s="234"/>
      <x:c r="L1" s="234"/>
      <x:c r="M1" s="234"/>
      <x:c r="N1" s="234"/>
      <x:c r="O1" s="234"/>
    </x:row>
    <x:row r="2">
      <x:c r="A2" s="791" t="str">
        <x:v>COVERAGE AUDIT ONLY - NOT A SECOND COST CHAIN. Permanent components are linked to the existing Siteworks QS/Resource Build-Up or visibly classified as subcontract / RFI hold. Temporary ESC and ordinary consumables remain in Resource Build-Up.</x:v>
      </x:c>
      <x:c r="B2" s="791"/>
      <x:c r="C2" s="791"/>
      <x:c r="D2" s="791"/>
      <x:c r="E2" s="791"/>
      <x:c r="F2" s="791"/>
      <x:c r="G2" s="791"/>
      <x:c r="H2" s="791"/>
      <x:c r="I2" s="791"/>
      <x:c r="J2" s="791"/>
      <x:c r="K2" s="791"/>
      <x:c r="L2" s="791"/>
      <x:c r="M2" s="791"/>
      <x:c r="N2" s="791"/>
      <x:c r="O2" s="791"/>
    </x:row>
    <x:row r="3">
      <x:c r="A3" s="27"/>
      <x:c r="B3" s="27"/>
      <x:c r="C3" s="27"/>
      <x:c r="D3" s="27"/>
      <x:c r="E3" s="27"/>
      <x:c r="F3" s="27"/>
      <x:c r="G3" s="27"/>
      <x:c r="H3" s="27"/>
      <x:c r="I3" s="27"/>
      <x:c r="J3" s="27"/>
      <x:c r="K3" s="27"/>
      <x:c r="L3" s="27"/>
      <x:c r="M3" s="27"/>
      <x:c r="N3" s="27"/>
      <x:c r="O3" s="27"/>
    </x:row>
    <x:row r="4">
      <x:c r="A4" s="743" t="str">
        <x:v>Component ID</x:v>
      </x:c>
      <x:c r="B4" s="743" t="str">
        <x:v>Permanent component / package</x:v>
      </x:c>
      <x:c r="C4" s="743" t="str">
        <x:v>Owner</x:v>
      </x:c>
      <x:c r="D4" s="743" t="str">
        <x:v>Treatment</x:v>
      </x:c>
      <x:c r="E4" s="743" t="str">
        <x:v>Qty</x:v>
      </x:c>
      <x:c r="F4" s="743" t="str">
        <x:v>Unit</x:v>
      </x:c>
      <x:c r="G4" s="743" t="str">
        <x:v>Source / drawing</x:v>
      </x:c>
      <x:c r="H4" s="743" t="str">
        <x:v>Original source link</x:v>
      </x:c>
      <x:c r="I4" s="743" t="str">
        <x:v>QS Code</x:v>
      </x:c>
      <x:c r="J4" s="743" t="str">
        <x:v>Cost location</x:v>
      </x:c>
      <x:c r="K4" s="743" t="str">
        <x:v>Rate / quote source</x:v>
      </x:c>
      <x:c r="L4" s="743" t="str">
        <x:v>Verification</x:v>
      </x:c>
      <x:c r="M4" s="743" t="str">
        <x:v>Markup ID</x:v>
      </x:c>
      <x:c r="N4" s="743" t="str">
        <x:v>Outstanding action</x:v>
      </x:c>
      <x:c r="O4" s="743" t="str">
        <x:v>Notes</x:v>
      </x:c>
    </x:row>
    <x:row r="5" ht="40.5" customHeight="1">
      <x:c r="A5" s="27" t="str">
        <x:v>MC-001</x:v>
      </x:c>
      <x:c r="B5" s="27" t="str">
        <x:v>Imported engineered fill</x:v>
      </x:c>
      <x:c r="C5" s="27" t="str">
        <x:v>Siteworks</x:v>
      </x:c>
      <x:c r="D5" s="27" t="str">
        <x:v>Included / PC</x:v>
      </x:c>
      <x:c r="E5" s="950" t="n">
        <x:v>923</x:v>
      </x:c>
      <x:c r="F5" s="27" t="str">
        <x:v>m3</x:v>
      </x:c>
      <x:c r="G5" s="27" t="str">
        <x:v>Yodha Infrastructure RevB + Arch Rev17 quantity conflict + Geotech</x:v>
      </x:c>
      <x:c r="H5" s="27" t="str">
        <x:v>https://mail.google.com/mail/#all/1a08e15948fdc5bb</x:v>
      </x:c>
      <x:c r="I5" s="27" t="str">
        <x:v>EW09</x:v>
      </x:c>
      <x:c r="J5" s="27" t="str">
        <x:v>Resource Build-Up / QS</x:v>
      </x:c>
      <x:c r="K5" s="27" t="str">
        <x:v>Urban Quarry 11-Sep inbound clay $25.10/t delivered T&amp;T - compliance not established</x:v>
      </x:c>
      <x:c r="L5" s="27" t="str">
        <x:v>RED QUANTITY BASIS / AMBER RATE</x:v>
      </x:c>
      <x:c r="M5" s="27"/>
      <x:c r="N5" s="27" t="str">
        <x:v>Reconcile Yodha 923m3 net import with Arch Rev17 implied 1,197m3 before changing EW09; separately confirm approved engineered-fill source/spec/density.</x:v>
      </x:c>
      <x:c r="O5" s="27" t="str">
        <x:v>Current tender holds 923m3. Rev17 implies +274m3 import. Direct EW09 PC scaling sensitivity +$17,811.48, not live.</x:v>
      </x:c>
    </x:row>
    <x:row r="6" ht="40.5" customHeight="1">
      <x:c r="A6" s="27" t="str">
        <x:v>MC-002</x:v>
      </x:c>
      <x:c r="B6" s="27" t="str">
        <x:v>PV01 AP40 basecourse</x:v>
      </x:c>
      <x:c r="C6" s="27" t="str">
        <x:v>Siteworks</x:v>
      </x:c>
      <x:c r="D6" s="27" t="str">
        <x:v>Included</x:v>
      </x:c>
      <x:c r="E6" s="950" t="n">
        <x:v>158.21426250000002</x:v>
      </x:c>
      <x:c r="F6" s="27" t="str">
        <x:v>t</x:v>
      </x:c>
      <x:c r="G6" s="27" t="str">
        <x:v>Civil DWG311 + Architectural A1 Rev17 / TPW 11-Sep</x:v>
      </x:c>
      <x:c r="H6" s="27" t="str">
        <x:v>https://drive.google.com/file/d/1yfih6XUsDdNzviHUlgo-bkF_Bns8Dzzw/view</x:v>
      </x:c>
      <x:c r="I6" s="27" t="str">
        <x:v>PV01</x:v>
      </x:c>
      <x:c r="J6" s="27" t="str">
        <x:v>RBU PV01-003</x:v>
      </x:c>
      <x:c r="K6" s="27" t="str">
        <x:v>Urban Quarry 11-Sep-2026 delivered GAP40 $35.75/t T&amp;T</x:v>
      </x:c>
      <x:c r="L6" s="27" t="str">
        <x:v>AMBER - QUOTED DELIVERED / PRODUCT COMPLIANCE HOLD</x:v>
      </x:c>
      <x:c r="M6" s="27"/>
      <x:c r="N6" s="27" t="str">
        <x:v>Fresh markup of 568m2 split; confirm GAP40 meets AP40/ATAP requirement and T&amp;T access.</x:v>
      </x:c>
      <x:c r="O6" s="27" t="str">
        <x:v>Rev29 provisional PV01 478.35m2 x 150mm x 2.1t/m3 x 1.05.</x:v>
      </x:c>
    </x:row>
    <x:row r="7" ht="40.5" customHeight="1">
      <x:c r="A7" s="27" t="str">
        <x:v>MC-003</x:v>
      </x:c>
      <x:c r="B7" s="27" t="str">
        <x:v>PV01 AP20 upper base</x:v>
      </x:c>
      <x:c r="C7" s="27" t="str">
        <x:v>Siteworks</x:v>
      </x:c>
      <x:c r="D7" s="27" t="str">
        <x:v>Included</x:v>
      </x:c>
      <x:c r="E7" s="950" t="n">
        <x:v>52.73808750000001</x:v>
      </x:c>
      <x:c r="F7" s="27" t="str">
        <x:v>t</x:v>
      </x:c>
      <x:c r="G7" s="27" t="str">
        <x:v>Civil DWG311 + Architectural A1 Rev17 / TPW 11-Sep</x:v>
      </x:c>
      <x:c r="H7" s="27" t="str">
        <x:v>https://drive.google.com/file/d/1yfih6XUsDdNzviHUlgo-bkF_Bns8Dzzw/view</x:v>
      </x:c>
      <x:c r="I7" s="27" t="str">
        <x:v>PV01</x:v>
      </x:c>
      <x:c r="J7" s="27" t="str">
        <x:v>RBU PV01-004</x:v>
      </x:c>
      <x:c r="K7" s="27" t="str">
        <x:v>Urban Quarry 11-Sep-2026 delivered GAP20 $44.25/t T&amp;T</x:v>
      </x:c>
      <x:c r="L7" s="27" t="str">
        <x:v>AMBER - QUOTED DELIVERED / PRODUCT COMPLIANCE HOLD</x:v>
      </x:c>
      <x:c r="M7" s="27"/>
      <x:c r="N7" s="27" t="str">
        <x:v>Fresh markup of 568m2 split; confirm GAP20 meets AP20 requirement and T&amp;T access.</x:v>
      </x:c>
      <x:c r="O7" s="27" t="str">
        <x:v>Rev29 provisional PV01 478.35m2 x 50mm x 2.1t/m3 x 1.05.</x:v>
      </x:c>
    </x:row>
    <x:row r="8" ht="40.5" customHeight="1">
      <x:c r="A8" s="27" t="str">
        <x:v>MC-004</x:v>
      </x:c>
      <x:c r="B8" s="27" t="str">
        <x:v>PV01 pavement concrete</x:v>
      </x:c>
      <x:c r="C8" s="27" t="str">
        <x:v>Siteworks</x:v>
      </x:c>
      <x:c r="D8" s="27" t="str">
        <x:v>Included</x:v>
      </x:c>
      <x:c r="E8" s="950" t="n">
        <x:v>75.340125</x:v>
      </x:c>
      <x:c r="F8" s="27" t="str">
        <x:v>m3</x:v>
      </x:c>
      <x:c r="G8" s="27" t="str">
        <x:v>Civil DWG311 + Architectural A1 Rev17 / TPW 11-Sep</x:v>
      </x:c>
      <x:c r="H8" s="27" t="str">
        <x:v>https://drive.google.com/file/d/1yfih6XUsDdNzviHUlgo-bkF_Bns8Dzzw/view</x:v>
      </x:c>
      <x:c r="I8" s="27" t="str">
        <x:v>PV01</x:v>
      </x:c>
      <x:c r="J8" s="27" t="str">
        <x:v>RBU PV01-001</x:v>
      </x:c>
      <x:c r="K8" s="27" t="str">
        <x:v>Current concrete supply allowance / Q-05 placing return pending</x:v>
      </x:c>
      <x:c r="L8" s="27" t="str">
        <x:v>AMBER - QUANTITY UPDATED / Q-05 OPEN</x:v>
      </x:c>
      <x:c r="M8" s="27"/>
      <x:c r="N8" s="27" t="str">
        <x:v>Fresh markup and aligned project concrete/placing quote.</x:v>
      </x:c>
      <x:c r="O8" s="27" t="str">
        <x:v>150mm concrete + 5% order allowance on Rev29 provisional PV01 478.35m2.</x:v>
      </x:c>
    </x:row>
    <x:row r="9" ht="40.5" customHeight="1">
      <x:c r="A9" s="27" t="str">
        <x:v>MC-005</x:v>
      </x:c>
      <x:c r="B9" s="27" t="str">
        <x:v>665 reinforcing mesh</x:v>
      </x:c>
      <x:c r="C9" s="27" t="str">
        <x:v>Siteworks</x:v>
      </x:c>
      <x:c r="D9" s="27" t="str">
        <x:v>Included</x:v>
      </x:c>
      <x:c r="E9" s="950" t="n">
        <x:v>70</x:v>
      </x:c>
      <x:c r="F9" s="27" t="str">
        <x:v>sheet</x:v>
      </x:c>
      <x:c r="G9" s="27" t="str">
        <x:v>Civil DWG311 + Architectural A1 Rev17 / TPW 11-Sep</x:v>
      </x:c>
      <x:c r="H9" s="27" t="str">
        <x:v>https://drive.google.com/file/d/1yfih6XUsDdNzviHUlgo-bkF_Bns8Dzzw/view</x:v>
      </x:c>
      <x:c r="I9" s="27" t="str">
        <x:v>PV01</x:v>
      </x:c>
      <x:c r="J9" s="27" t="str">
        <x:v>RBU PV01-002</x:v>
      </x:c>
      <x:c r="K9" s="27" t="str">
        <x:v>Current Quality Steel / CARTERS 665 evidence</x:v>
      </x:c>
      <x:c r="L9" s="27" t="str">
        <x:v>AMBER - RATE CHECKED / FINAL LAYOUT OPEN</x:v>
      </x:c>
      <x:c r="M9" s="27"/>
      <x:c r="N9" s="27" t="str">
        <x:v>Fresh markup and final lap/layout procurement check.</x:v>
      </x:c>
      <x:c r="O9" s="27" t="str">
        <x:v>Rev29 control 70 sheets.</x:v>
      </x:c>
    </x:row>
    <x:row r="10" ht="40.5" customHeight="1">
      <x:c r="A10" s="27" t="str">
        <x:v>MC-006</x:v>
      </x:c>
      <x:c r="B10" s="27" t="str">
        <x:v>Public Hobsonville Road vehicle crossing</x:v>
      </x:c>
      <x:c r="C10" s="27" t="str">
        <x:v>Siteworks</x:v>
      </x:c>
      <x:c r="D10" s="27" t="str">
        <x:v>PC / measured footprint</x:v>
      </x:c>
      <x:c r="E10" s="950" t="n">
        <x:f>'QS Takeoff'!E24</x:f>
        <x:v>37.7665</x:v>
      </x:c>
      <x:c r="F10" s="27" t="str">
        <x:v>m2</x:v>
      </x:c>
      <x:c r="G10" s="27" t="str">
        <x:v>Civil DWG301/331</x:v>
      </x:c>
      <x:c r="H10" s="27" t="str">
        <x:f>'QS Takeoff'!P24</x:f>
        <x:v>AMBER</x:v>
      </x:c>
      <x:c r="I10" s="27" t="str">
        <x:v>PV02</x:v>
      </x:c>
      <x:c r="J10" s="27" t="str">
        <x:v>QS / RBU PV02</x:v>
      </x:c>
      <x:c r="K10" s="27" t="str">
        <x:v>Q-05 + Traffic Safe Q-07</x:v>
      </x:c>
      <x:c r="L10" s="27" t="str">
        <x:v>AMBER</x:v>
      </x:c>
      <x:c r="M10" s="27"/>
      <x:c r="N10" s="27" t="str">
        <x:v>Final measure / concrete placing / authority exclusions</x:v>
      </x:c>
      <x:c r="O10" s="27" t="str">
        <x:v>Public crossing only.</x:v>
      </x:c>
    </x:row>
    <x:row r="11" ht="40.5" customHeight="1">
      <x:c r="A11" s="27" t="str">
        <x:v>MC-007</x:v>
      </x:c>
      <x:c r="B11" s="27" t="str">
        <x:v>External paths / interface paving</x:v>
      </x:c>
      <x:c r="C11" s="27" t="str">
        <x:v>Siteworks</x:v>
      </x:c>
      <x:c r="D11" s="27" t="str">
        <x:v>PC</x:v>
      </x:c>
      <x:c r="E11" s="950" t="n">
        <x:v>89.65</x:v>
      </x:c>
      <x:c r="F11" s="27" t="str">
        <x:v>m2</x:v>
      </x:c>
      <x:c r="G11" s="27" t="str">
        <x:v>Stamped RC A1 + TPW 11-Sep</x:v>
      </x:c>
      <x:c r="H11" s="27" t="str">
        <x:v>https://drive.google.com/file/d/1yfih6XUsDdNzviHUlgo-bkF_Bns8Dzzw/view</x:v>
      </x:c>
      <x:c r="I11" s="27" t="str">
        <x:v>PV04</x:v>
      </x:c>
      <x:c r="J11" s="27" t="str">
        <x:v>QS / RBU PV04</x:v>
      </x:c>
      <x:c r="K11" s="27" t="str">
        <x:v>Existing PV04 PC rate scaled</x:v>
      </x:c>
      <x:c r="L11" s="27" t="str">
        <x:v>AMBER - TPW TOTAL CLOSED / SPLIT-BUILD-UP OPEN</x:v>
      </x:c>
      <x:c r="M11" s="27"/>
      <x:c r="N11" s="27" t="str">
        <x:v>Fresh markup/remeasure paths and confirm slab/base/reinforcement build-up.</x:v>
      </x:c>
      <x:c r="O11" s="27" t="str">
        <x:v>Rev29 residual of confirmed 568m2 after provisional PV01 478.35m2 = 89.65m2. Separate 33m2 ramp/entry/steps excluded pending owner.</x:v>
      </x:c>
    </x:row>
    <x:row r="12" ht="40.5" customHeight="1">
      <x:c r="A12" s="27" t="str">
        <x:v>MC-008</x:v>
      </x:c>
      <x:c r="B12" s="27" t="str">
        <x:v>Keystone Compac III block system</x:v>
      </x:c>
      <x:c r="C12" s="27" t="str">
        <x:v>Siteworks</x:v>
      </x:c>
      <x:c r="D12" s="27" t="str">
        <x:v>Quoted material evidence / design hold</x:v>
      </x:c>
      <x:c r="E12" s="950" t="n">
        <x:v>1274</x:v>
      </x:c>
      <x:c r="F12" s="27" t="str">
        <x:v>straight blocks</x:v>
      </x:c>
      <x:c r="G12" s="27" t="str">
        <x:v>Architectural A1 Rev17 + Citi Q1020/Bryn bands + DHC S304</x:v>
      </x:c>
      <x:c r="H12" s="27" t="str">
        <x:v>https://mail.google.com/mail/#all/1a08d9d2286ecd06</x:v>
      </x:c>
      <x:c r="I12" s="27" t="str">
        <x:v>RW01/RW02</x:v>
      </x:c>
      <x:c r="J12" s="27" t="str">
        <x:v>QS PCs pending installed-scope/design closeout</x:v>
      </x:c>
      <x:c r="K12" s="27" t="str">
        <x:v>Citi Quote #1020 + height-band clarification</x:v>
      </x:c>
      <x:c r="L12" s="27" t="str">
        <x:v>AMBER - MATERIAL QUANTITY STRONGLY CORROBORATED / DESIGN CONFLICT</x:v>
      </x:c>
      <x:c r="M12" s="27"/>
      <x:c r="N12" s="27" t="str">
        <x:v>Close Civil max 1.5m vs Arch/DHC up to 1.8m design authority conflict; Q-03 supply is now quoted, with placement/method remaining AMBER.</x:v>
      </x:c>
      <x:c r="O12" s="27" t="str">
        <x:v>Supplier takeoff = 84.0lm, heights 0.2-1.8m + one buried 200mm course. Block/cap quantities are strongly corroborated. Allied no-fines quote separately corroborates the concrete quantity.</x:v>
      </x:c>
    </x:row>
    <x:row r="13" ht="40.5" customHeight="1">
      <x:c r="A13" s="27" t="str">
        <x:v>MC-009</x:v>
      </x:c>
      <x:c r="B13" s="27" t="str">
        <x:v>13MPa no-fines retaining concrete</x:v>
      </x:c>
      <x:c r="C13" s="27" t="str">
        <x:v>Siteworks</x:v>
      </x:c>
      <x:c r="D13" s="27" t="str">
        <x:v>Quoted supply / calculated quantity / placement hold</x:v>
      </x:c>
      <x:c r="E13" s="950" t="n">
        <x:v>50</x:v>
      </x:c>
      <x:c r="F13" s="27" t="str">
        <x:v>m3</x:v>
      </x:c>
      <x:c r="G13" s="27" t="str">
        <x:v>DHC S303 Detail 20 + Architectural A1 Rev17 + Citi bands + Allied Q-03</x:v>
      </x:c>
      <x:c r="H13" s="27" t="str">
        <x:v>https://mail.google.com/mail/#all/1a08e068600d1f22</x:v>
      </x:c>
      <x:c r="I13" s="27" t="str">
        <x:v>RW04</x:v>
      </x:c>
      <x:c r="J13" s="27" t="str">
        <x:v>RBU / QS RW04</x:v>
      </x:c>
      <x:c r="K13" s="27" t="str">
        <x:v>Allied Quote 11092026SX3BEARS - $295/m3 + variable fuel surcharge</x:v>
      </x:c>
      <x:c r="L13" s="27" t="str">
        <x:v>AMBER - SUPPLY RATE &amp; VOLUME STRONGLY CORROBORATED / PLACEMENT OPEN</x:v>
      </x:c>
      <x:c r="M13" s="27"/>
      <x:c r="N13" s="27" t="str">
        <x:v>Confirm placement/pump method and final governing retaining design; refresh fuel surcharge at order.</x:v>
      </x:c>
      <x:c r="O13" s="27" t="str">
        <x:v>DHC calculation = 47.98m3; Allied supplier estimate = 50m3. Existing RW04 $18k retained pending placement. Current 07-Sep fuel sensitivity gives supply $15,099.50.</x:v>
      </x:c>
    </x:row>
    <x:row r="14" ht="40.5" customHeight="1">
      <x:c r="A14" s="27" t="str">
        <x:v>MC-010</x:v>
      </x:c>
      <x:c r="B14" s="27" t="str">
        <x:v>Retaining subsoil drainage / Novacoil + 2 Type 1 cesspits</x:v>
      </x:c>
      <x:c r="C14" s="27" t="str">
        <x:v>Allied Civil Earthworks</x:v>
      </x:c>
      <x:c r="D14" s="27" t="str">
        <x:v>Subcontract quoted / ownership confirmed</x:v>
      </x:c>
      <x:c r="E14" s="950" t="n">
        <x:v>108</x:v>
      </x:c>
      <x:c r="F14" s="27" t="str">
        <x:v>m</x:v>
      </x:c>
      <x:c r="G14" s="27" t="str">
        <x:v>DHC retaining + Allied Ref25237 + Jason clarification</x:v>
      </x:c>
      <x:c r="H14" s="27" t="str">
        <x:v>https://mail.google.com/mail/#all/1a089fd8e6ec7395</x:v>
      </x:c>
      <x:c r="I14" s="27" t="str">
        <x:v>RW05 / Allied</x:v>
      </x:c>
      <x:c r="J14" s="27" t="str">
        <x:v>Siteworks RW05 = $0 transfer control; cost in Consolidated Package</x:v>
      </x:c>
      <x:c r="K14" s="27" t="str">
        <x:v>Allied retaining allocation $19,211.04</x:v>
      </x:c>
      <x:c r="L14" s="27" t="str">
        <x:v>AMBER</x:v>
      </x:c>
      <x:c r="M14" s="27"/>
      <x:c r="N14" s="27" t="str">
        <x:v>Confirm filter fabric / connection accessory completeness against DHC detail; do not reinstate Siteworks RW05 PC.</x:v>
      </x:c>
      <x:c r="O14" s="27" t="str">
        <x:v>Jason confirms 108m is retaining-wall drainage and includes 2 Type1 cesspits. Allocation includes $9,441.04 Novacoil line + $2,000 cesspits + 3 labour days @ $2,590.</x:v>
      </x:c>
    </x:row>
    <x:row r="15" ht="40.5" customHeight="1">
      <x:c r="A15" s="27" t="str">
        <x:v>MC-011</x:v>
      </x:c>
      <x:c r="B15" s="27" t="str">
        <x:v>PILE1 bridging piles</x:v>
      </x:c>
      <x:c r="C15" s="27" t="str">
        <x:v>Siteworks</x:v>
      </x:c>
      <x:c r="D15" s="27" t="str">
        <x:v>Included / self perform</x:v>
      </x:c>
      <x:c r="E15" s="950" t="n">
        <x:f>'QS Takeoff'!E35</x:f>
        <x:v>7</x:v>
      </x:c>
      <x:c r="F15" s="27" t="str">
        <x:v>ea</x:v>
      </x:c>
      <x:c r="G15" s="27" t="str">
        <x:v>DHC S101/S304</x:v>
      </x:c>
      <x:c r="H15" s="27" t="str">
        <x:f>'QS Takeoff'!P35</x:f>
        <x:v>RESOURCE LINKED</x:v>
      </x:c>
      <x:c r="I15" s="27" t="str">
        <x:v>RW03</x:v>
      </x:c>
      <x:c r="J15" s="27" t="str">
        <x:v>RBU / QS RW03</x:v>
      </x:c>
      <x:c r="K15" s="27" t="str">
        <x:v>In-house boring + concrete control</x:v>
      </x:c>
      <x:c r="L15" s="27" t="str">
        <x:v>AMBER</x:v>
      </x:c>
      <x:c r="M15" s="27"/>
      <x:c r="N15" s="27" t="str">
        <x:v>Verify final depth/tooling/geotech hold</x:v>
      </x:c>
      <x:c r="O15" s="27" t="str">
        <x:v>Seven PILE1 current control.</x:v>
      </x:c>
    </x:row>
    <x:row r="16" ht="40.5" customHeight="1">
      <x:c r="A16" s="27" t="str">
        <x:v>MC-012</x:v>
      </x:c>
      <x:c r="B16" s="27" t="str">
        <x:v>Allproof threshold channel/grate system</x:v>
      </x:c>
      <x:c r="C16" s="27" t="str">
        <x:v>Siteworks</x:v>
      </x:c>
      <x:c r="D16" s="27" t="str">
        <x:v>PC / product selection hold</x:v>
      </x:c>
      <x:c r="E16" s="950" t="n">
        <x:f>'QS Takeoff'!E31</x:f>
        <x:v>44</x:v>
      </x:c>
      <x:c r="F16" s="27" t="str">
        <x:v>lm</x:v>
      </x:c>
      <x:c r="G16" s="27" t="str">
        <x:v>Arch A5/A12 + Allproof clarification</x:v>
      </x:c>
      <x:c r="H16" s="27" t="str">
        <x:f>'QS Takeoff'!P31</x:f>
        <x:v>RESOURCE LINKED</x:v>
      </x:c>
      <x:c r="I16" s="27" t="str">
        <x:v>ES03</x:v>
      </x:c>
      <x:c r="J16" s="27" t="str">
        <x:v>RBU / QS ES03</x:v>
      </x:c>
      <x:c r="K16" s="27" t="str">
        <x:v>PlaceMakers/Allproof unit rates</x:v>
      </x:c>
      <x:c r="L16" s="27" t="str">
        <x:v>AMBER</x:v>
      </x:c>
      <x:c r="M16" s="27"/>
      <x:c r="N16" s="27" t="str">
        <x:v>Select GFN vs Wedge Wire and outlet/downstream interface</x:v>
      </x:c>
      <x:c r="O16" s="27" t="str">
        <x:v>44m channel/grating + 44 end caps.</x:v>
      </x:c>
    </x:row>
    <x:row r="17" ht="40.5" customHeight="1">
      <x:c r="A17" s="27" t="str">
        <x:v>MC-013</x:v>
      </x:c>
      <x:c r="B17" s="27" t="str">
        <x:v>Formed dish / surface channels</x:v>
      </x:c>
      <x:c r="C17" s="27" t="str">
        <x:v>Siteworks</x:v>
      </x:c>
      <x:c r="D17" s="27" t="str">
        <x:v>PC</x:v>
      </x:c>
      <x:c r="E17" s="950" t="n">
        <x:v>1</x:v>
      </x:c>
      <x:c r="F17" s="27" t="str">
        <x:v>LS</x:v>
      </x:c>
      <x:c r="G17" s="27" t="str">
        <x:v>Civil/site interface</x:v>
      </x:c>
      <x:c r="H17" s="27" t="str">
        <x:f>'QS Takeoff'!P30</x:f>
        <x:v>AMBER</x:v>
      </x:c>
      <x:c r="I17" s="27" t="str">
        <x:v>ES02</x:v>
      </x:c>
      <x:c r="J17" s="27" t="str">
        <x:v>RBU / QS ES02</x:v>
      </x:c>
      <x:c r="K17" s="27" t="str">
        <x:v>Project allowance</x:v>
      </x:c>
      <x:c r="L17" s="27" t="str">
        <x:v>AMBER</x:v>
      </x:c>
      <x:c r="M17" s="27"/>
      <x:c r="N17" s="27" t="str">
        <x:v>Confirm measured length/downstream boundary</x:v>
      </x:c>
      <x:c r="O17" s="27" t="str">
        <x:v>General piped drainage remains subcontract.</x:v>
      </x:c>
    </x:row>
    <x:row r="18" ht="40.5" customHeight="1">
      <x:c r="A18" s="27" t="str">
        <x:v>MC-014</x:v>
      </x:c>
      <x:c r="B18" s="27" t="str">
        <x:v>Dry service trenches</x:v>
      </x:c>
      <x:c r="C18" s="27" t="str">
        <x:v>Siteworks tender basis</x:v>
      </x:c>
      <x:c r="D18" s="27" t="str">
        <x:v>PC / design hold</x:v>
      </x:c>
      <x:c r="E18" s="950" t="n">
        <x:v>1</x:v>
      </x:c>
      <x:c r="F18" s="27" t="str">
        <x:v>LS</x:v>
      </x:c>
      <x:c r="G18" s="27" t="str">
        <x:v>Civil DWG311 details by others</x:v>
      </x:c>
      <x:c r="H18" s="27" t="str">
        <x:f>'QS Takeoff'!P29</x:f>
        <x:v>AMBER</x:v>
      </x:c>
      <x:c r="I18" s="27" t="str">
        <x:v>ES01</x:v>
      </x:c>
      <x:c r="J18" s="27" t="str">
        <x:v>RBU / QS ES01</x:v>
      </x:c>
      <x:c r="K18" s="27" t="str">
        <x:v>$15k PC</x:v>
      </x:c>
      <x:c r="L18" s="27" t="str">
        <x:v>AMBER</x:v>
      </x:c>
      <x:c r="M18" s="27"/>
      <x:c r="N18" s="27" t="str">
        <x:v>Issue coordinated service routes/depths/materials</x:v>
      </x:c>
      <x:c r="O18" s="27" t="str">
        <x:v>No invented trench lengths.</x:v>
      </x:c>
    </x:row>
    <x:row r="19" ht="40.5" customHeight="1">
      <x:c r="A19" s="27" t="str">
        <x:v>MC-015</x:v>
      </x:c>
      <x:c r="B19" s="27" t="str">
        <x:v>Line marking / accessible markings</x:v>
      </x:c>
      <x:c r="C19" s="27" t="str">
        <x:v>Siteworks</x:v>
      </x:c>
      <x:c r="D19" s="27" t="str">
        <x:v>PC</x:v>
      </x:c>
      <x:c r="E19" s="950" t="n">
        <x:v>1</x:v>
      </x:c>
      <x:c r="F19" s="27" t="str">
        <x:v>LS</x:v>
      </x:c>
      <x:c r="G19" s="27" t="str">
        <x:v>Arch / Traffic Assessment</x:v>
      </x:c>
      <x:c r="H19" s="27" t="str">
        <x:f>'QS Takeoff'!P27</x:f>
        <x:v>AMBER</x:v>
      </x:c>
      <x:c r="I19" s="27" t="str">
        <x:v>PV05</x:v>
      </x:c>
      <x:c r="J19" s="27" t="str">
        <x:v>RBU / QS PV05</x:v>
      </x:c>
      <x:c r="K19" s="27" t="str">
        <x:v>Q-09 pending</x:v>
      </x:c>
      <x:c r="L19" s="27" t="str">
        <x:v>AMBER</x:v>
      </x:c>
      <x:c r="M19" s="27"/>
      <x:c r="N19" s="27" t="str">
        <x:v>Obtain specialist quote</x:v>
      </x:c>
      <x:c r="O19" s="27" t="str">
        <x:v>Speed devices excluded unless instructed.</x:v>
      </x:c>
    </x:row>
    <x:row r="20" ht="40.5" customHeight="1">
      <x:c r="A20" s="27" t="str">
        <x:v>MC-016</x:v>
      </x:c>
      <x:c r="B20" s="27" t="str">
        <x:v>Coast Concrete foundation / floor package</x:v>
      </x:c>
      <x:c r="C20" s="27" t="str">
        <x:v>Coast Concrete</x:v>
      </x:c>
      <x:c r="D20" s="27" t="str">
        <x:v>Subcontract overlay / quoted</x:v>
      </x:c>
      <x:c r="E20" s="950" t="n">
        <x:v>1</x:v>
      </x:c>
      <x:c r="F20" s="27" t="str">
        <x:v>LS</x:v>
      </x:c>
      <x:c r="G20" s="27" t="str">
        <x:v>Coast quote 09-Sep-2026</x:v>
      </x:c>
      <x:c r="H20" s="27" t="str">
        <x:v>https://mail.google.com/mail/#all/1a088c2abb0c9ecd</x:v>
      </x:c>
      <x:c r="I20" s="27" t="str">
        <x:v>MB package allocation hold</x:v>
      </x:c>
      <x:c r="J20" s="27" t="str">
        <x:v>Consolidated Package only</x:v>
      </x:c>
      <x:c r="K20" s="27" t="str">
        <x:v>$210,606 + GST</x:v>
      </x:c>
      <x:c r="L20" s="27" t="str">
        <x:v>RED</x:v>
      </x:c>
      <x:c r="M20" s="27"/>
      <x:c r="N20" s="27" t="str">
        <x:v>VA-18: split TPW MB headings and close excavation overlap / pile count</x:v>
      </x:c>
      <x:c r="O20" s="27" t="str">
        <x:v>Not included in Siteworks direct cost chain.</x:v>
      </x:c>
    </x:row>
    <x:row r="21" ht="40.5" customHeight="1">
      <x:c r="A21" s="27" t="str">
        <x:v>MC-017</x:v>
      </x:c>
      <x:c r="B21" s="27" t="str">
        <x:v>Allied public stormwater / APD detention package</x:v>
      </x:c>
      <x:c r="C21" s="27" t="str">
        <x:v>Allied Civil Earthworks</x:v>
      </x:c>
      <x:c r="D21" s="27" t="str">
        <x:v>Subcontract overlay / quoted base</x:v>
      </x:c>
      <x:c r="E21" s="950" t="n">
        <x:v>1</x:v>
      </x:c>
      <x:c r="F21" s="27" t="str">
        <x:v>LS</x:v>
      </x:c>
      <x:c r="G21" s="27" t="str">
        <x:v>Allied Quote 1078</x:v>
      </x:c>
      <x:c r="H21" s="27" t="str">
        <x:v>https://mail.google.com/mail/#all/1a07faf97ff99a76</x:v>
      </x:c>
      <x:c r="I21" s="27" t="str">
        <x:v>CW/005 overlay</x:v>
      </x:c>
      <x:c r="J21" s="27" t="str">
        <x:v>Consolidated Package only</x:v>
      </x:c>
      <x:c r="K21" s="27" t="str">
        <x:v>Allied current known public total $174,758.71 excl GST</x:v>
      </x:c>
      <x:c r="L21" s="27" t="str">
        <x:v>AMBER</x:v>
      </x:c>
      <x:c r="M21" s="27"/>
      <x:c r="N21" s="27" t="str">
        <x:v>Public quote base + confirmed additional survey/signoff. CCTV and trench shields remain TBC; public duration not stated.</x:v>
      </x:c>
      <x:c r="O21" s="27" t="str">
        <x:v>Not included in Siteworks direct cost chain.</x:v>
      </x:c>
    </x:row>
    <x:row r="22" ht="40.5" customHeight="1">
      <x:c r="A22" s="27" t="str">
        <x:v>MC-018</x:v>
      </x:c>
      <x:c r="B22" s="27" t="str">
        <x:v>Allied private drainage / wastewater / Novacoil package</x:v>
      </x:c>
      <x:c r="C22" s="27" t="str">
        <x:v>Allied Civil Earthworks</x:v>
      </x:c>
      <x:c r="D22" s="27" t="str">
        <x:v>Subcontract overlay / quoted</x:v>
      </x:c>
      <x:c r="E22" s="950" t="n">
        <x:v>1</x:v>
      </x:c>
      <x:c r="F22" s="27" t="str">
        <x:v>LS</x:v>
      </x:c>
      <x:c r="G22" s="27" t="str">
        <x:v>Allied Ref25237</x:v>
      </x:c>
      <x:c r="H22" s="27" t="str">
        <x:v>https://mail.google.com/mail/#all/1a07faf97ff99a76</x:v>
      </x:c>
      <x:c r="I22" s="27" t="str">
        <x:v>CW/005 / CW/006 / CW/003 hold</x:v>
      </x:c>
      <x:c r="J22" s="27" t="str">
        <x:v>Consolidated Package only</x:v>
      </x:c>
      <x:c r="K22" s="27" t="str">
        <x:v>Allied Ref25237 $87,711.74 allocated by Jason 10/8/3 days</x:v>
      </x:c>
      <x:c r="L22" s="27" t="str">
        <x:v>AMBER</x:v>
      </x:c>
      <x:c r="M22" s="27"/>
      <x:c r="N22" s="27" t="str">
        <x:v>Allocation now reconciles exactly; retaining overlap removed. Component completeness remains to verify.</x:v>
      </x:c>
      <x:c r="O22" s="27" t="str">
        <x:v>Not included in Siteworks direct cost chain.</x:v>
      </x:c>
    </x:row>
    <x:row r="23" ht="45" customHeight="1">
      <x:c r="A23" s="27" t="str">
        <x:v>MC-019</x:v>
      </x:c>
      <x:c r="B23" s="27" t="str">
        <x:v>Type 1 trafficable cesspits to retaining drainage</x:v>
      </x:c>
      <x:c r="C23" s="27" t="str">
        <x:v>Allied Civil Earthworks</x:v>
      </x:c>
      <x:c r="D23" s="27" t="str">
        <x:v>Subcontract quoted / included in retaining allocation</x:v>
      </x:c>
      <x:c r="E23" s="27" t="n">
        <x:v>2</x:v>
      </x:c>
      <x:c r="F23" s="27" t="str">
        <x:v>ea</x:v>
      </x:c>
      <x:c r="G23" s="27" t="str">
        <x:v>Allied Ref25237 + Jason clarification</x:v>
      </x:c>
      <x:c r="H23" s="27" t="str">
        <x:v>https://mail.google.com/mail/#all/1a089fd8e6ec7395</x:v>
      </x:c>
      <x:c r="I23" s="27" t="str">
        <x:v>Allied retaining drainage</x:v>
      </x:c>
      <x:c r="J23" s="27" t="str">
        <x:v>Consolidated Package / CW003 overlay</x:v>
      </x:c>
      <x:c r="K23" s="27" t="str">
        <x:v>$1,000/ea in Ref25237 material build-up</x:v>
      </x:c>
      <x:c r="L23" s="27" t="str">
        <x:v>GREEN quantity / AMBER package completeness</x:v>
      </x:c>
      <x:c r="M23" s="27"/>
      <x:c r="N23" s="27" t="str">
        <x:v>No separate Siteworks cesspit cost; confirm final locations/details at construction setout.</x:v>
      </x:c>
      <x:c r="O23" s="27" t="str">
        <x:v>Quote lists the two cesspits under Private Drainage, but Jason expressly confirms they form part of the 108m retaining-wall drainage package.</x:v>
      </x:c>
    </x:row>
    <x:row r="24" ht="51" customHeight="1">
      <x:c r="A24" s="27" t="str">
        <x:v>MC-020</x:v>
      </x:c>
      <x:c r="B24" s="27" t="str">
        <x:v>Concrete ramp / entry / steps - stamped RC separate item</x:v>
      </x:c>
      <x:c r="C24" s="27" t="str">
        <x:v>OWNER TBC</x:v>
      </x:c>
      <x:c r="D24" s="27" t="str">
        <x:v>RFI HOLD / NOT PRICED / PRIOR 33m2 REFERENCE</x:v>
      </x:c>
      <x:c r="E24" s="27" t="n">
        <x:v>33</x:v>
      </x:c>
      <x:c r="F24" s="27" t="str">
        <x:v>m2 reference</x:v>
      </x:c>
      <x:c r="G24" s="27" t="str">
        <x:v>Prior stamped RC A1 33m2 reference + current Architectural Rev17 A1/A15</x:v>
      </x:c>
      <x:c r="H24" s="27" t="str">
        <x:v>https://mail.google.com/mail/#all/1a08e15948fdc5bb</x:v>
      </x:c>
      <x:c r="I24" s="27" t="str">
        <x:v>OWNER TBC - no QS code until allocation confirmed</x:v>
      </x:c>
      <x:c r="J24" s="27" t="str">
        <x:v>No current direct-cost location</x:v>
      </x:c>
      <x:c r="K24" s="27" t="str">
        <x:v>No rate adopted</x:v>
      </x:c>
      <x:c r="L24" s="27" t="str">
        <x:v>RED</x:v>
      </x:c>
      <x:c r="M24" s="27"/>
      <x:c r="N24" s="27" t="str">
        <x:v>Confirm Siteworks vs Coast/slab/building ownership. If Siteworks, remeasure current Rev17 A15 geometry and price current structural build-up rather than mechanically using the prior 33m2.</x:v>
      </x:c>
      <x:c r="O24" s="27" t="str">
        <x:v>Rev17 shows concrete stairs/ramps/landing and revised handrail/retaining geometry but no longer states the separate 33m2 area. Prior 33m2 retained only as sensitivity/reference.</x:v>
      </x:c>
    </x:row>
  </x:sheetData>
  <x:mergeCells>
    <x:mergeCell ref="A1:O1"/>
    <x:mergeCell ref="A2:O2"/>
  </x:mergeCells>
  <x:pageMargins left="0.7" right="0.7" top="0.75" bottom="0.75" header="0.3" footer="0.3"/>
</x:worksheet>
</file>

<file path=xl/worksheets/sheet23.xml><?xml version="1.0" encoding="utf-8"?>
<x:worksheet xmlns:x="http://schemas.openxmlformats.org/spreadsheetml/2006/main">
  <x:sheetFormatPr defaultRowHeight="15"/>
  <x:cols>
    <x:col min="1" max="1" width="8" hidden="0" customWidth="1"/>
    <x:col min="2" max="2" width="12" hidden="0" customWidth="1"/>
    <x:col min="3" max="3" width="14" hidden="0" customWidth="1"/>
    <x:col min="4" max="4" width="44" hidden="0" customWidth="1"/>
    <x:col min="5" max="5" width="14" hidden="0" customWidth="1"/>
    <x:col min="6" max="6" width="16" hidden="0" customWidth="1"/>
    <x:col min="7" max="7" width="16" hidden="0" customWidth="1"/>
    <x:col min="8" max="8" width="14" hidden="0" customWidth="1"/>
    <x:col min="9" max="9" width="14" hidden="0" customWidth="1"/>
    <x:col min="10" max="10" width="58" hidden="0" customWidth="1"/>
    <x:col min="11" max="11" width="28" hidden="0" customWidth="1"/>
    <x:col min="12" max="12" width="30" hidden="0" customWidth="1"/>
    <x:col min="13" max="13" width="12" hidden="0" customWidth="1"/>
    <x:col min="14" max="14" width="10" hidden="0" customWidth="1"/>
    <x:col min="15" max="15" width="14" hidden="0" customWidth="1"/>
    <x:col min="16" max="16" width="18" hidden="0" customWidth="1"/>
    <x:col min="17" max="17" width="72" hidden="0" customWidth="1"/>
  </x:cols>
  <x:sheetData>
    <x:row r="1">
      <x:c r="A1" s="1001" t="str">
        <x:v>ID</x:v>
      </x:c>
      <x:c r="B1" s="1001" t="str">
        <x:v>Outline Level</x:v>
      </x:c>
      <x:c r="C1" s="1001" t="str">
        <x:v>WBS</x:v>
      </x:c>
      <x:c r="D1" s="1001" t="str">
        <x:v>Task Name</x:v>
      </x:c>
      <x:c r="E1" s="1001" t="str">
        <x:v>Duration</x:v>
      </x:c>
      <x:c r="F1" s="1001" t="str">
        <x:v>Predecessors</x:v>
      </x:c>
      <x:c r="G1" s="1001" t="str">
        <x:v>Fixed Cost</x:v>
      </x:c>
      <x:c r="H1" s="1001" t="str">
        <x:v>Start</x:v>
      </x:c>
      <x:c r="I1" s="1001" t="str">
        <x:v>Finish</x:v>
      </x:c>
      <x:c r="J1" s="1001" t="str">
        <x:v>Resource Names</x:v>
      </x:c>
      <x:c r="K1" s="1001" t="str">
        <x:v>Category</x:v>
      </x:c>
      <x:c r="L1" s="1001" t="str">
        <x:v>Source Estimate</x:v>
      </x:c>
      <x:c r="M1" s="1001" t="str">
        <x:v>Quantity</x:v>
      </x:c>
      <x:c r="N1" s="1001" t="str">
        <x:v>Unit</x:v>
      </x:c>
      <x:c r="O1" s="1001" t="str">
        <x:v>Rate</x:v>
      </x:c>
      <x:c r="P1" s="1001" t="str">
        <x:v>Amount Excl GST</x:v>
      </x:c>
      <x:c r="Q1" s="1001" t="str">
        <x:v>Notes</x:v>
      </x:c>
    </x:row>
    <x:row r="2" ht="15" hidden="0" customHeight="1">
      <x:c r="A2" t="n">
        <x:v>1</x:v>
      </x:c>
      <x:c r="B2" t="n">
        <x:v>1</x:v>
      </x:c>
      <x:c r="C2" t="str"/>
      <x:c r="D2" t="str">
        <x:v>Preliminaries &amp; General</x:v>
      </x:c>
      <x:c r="E2" t="str">
        <x:v>0 days</x:v>
      </x:c>
      <x:c r="F2" t="str"/>
      <x:c r="G2" t="str"/>
      <x:c r="H2" t="str"/>
      <x:c r="I2" t="str"/>
      <x:c r="J2" t="str"/>
      <x:c r="K2" t="str">
        <x:v>Summary</x:v>
      </x:c>
      <x:c r="L2" t="str">
        <x:v>Rev27</x:v>
      </x:c>
      <x:c r="M2" t="str"/>
      <x:c r="N2" t="str"/>
      <x:c r="O2" t="str"/>
      <x:c r="P2" t="str"/>
      <x:c r="Q2" t="str">
        <x:v>Summary task</x:v>
      </x:c>
    </x:row>
    <x:row r="3" ht="15" hidden="0" customHeight="1">
      <x:c r="A3" t="n">
        <x:v>2</x:v>
      </x:c>
      <x:c r="B3" t="n">
        <x:v>2</x:v>
      </x:c>
      <x:c r="C3" t="str">
        <x:v>PG01</x:v>
      </x:c>
      <x:c r="D3" t="str">
        <x:v>Project preliminaries / site management - programme dependent</x:v>
      </x:c>
      <x:c r="E3" t="str">
        <x:v>55 days</x:v>
      </x:c>
      <x:c r="F3" t="str"/>
      <x:c r="G3" t="n">
        <x:v>48403.4</x:v>
      </x:c>
      <x:c r="H3" t="str"/>
      <x:c r="I3" t="str"/>
      <x:c r="J3" t="str">
        <x:v>PG01 itemised: 320h supervision + 8wk facilities + survey/H&amp;S/waste/mobilisation + Q-07 CAR/TMP PC</x:v>
      </x:c>
      <x:c r="K3" t="str">
        <x:v>Preliminaries &amp; General</x:v>
      </x:c>
      <x:c r="L3" t="str">
        <x:v>329 Hobsonville Road Estimate Rev27</x:v>
      </x:c>
      <x:c r="M3" t="n">
        <x:v>1</x:v>
      </x:c>
      <x:c r="N3" t="str">
        <x:v>LS</x:v>
      </x:c>
      <x:c r="O3" t="n">
        <x:v>48403.4</x:v>
      </x:c>
      <x:c r="P3" t="n">
        <x:v>48403.4</x:v>
      </x:c>
      <x:c r="Q3" t="str">
        <x:v>55 dry working days. Base supervision/facilities reconcile to this duration. Rev29 normal weather is separately modelled at 8.829 delay WD / CA10 $18,609.79.</x:v>
      </x:c>
    </x:row>
    <x:row r="4" ht="15" hidden="0" customHeight="1">
      <x:c r="A4" t="n">
        <x:v>3</x:v>
      </x:c>
      <x:c r="B4" t="n">
        <x:v>1</x:v>
      </x:c>
      <x:c r="C4" t="str"/>
      <x:c r="D4" t="str">
        <x:v>Erosion &amp; Sediment Control</x:v>
      </x:c>
      <x:c r="E4" t="str">
        <x:v>0 days</x:v>
      </x:c>
      <x:c r="F4" t="str"/>
      <x:c r="G4" t="str"/>
      <x:c r="H4" t="str"/>
      <x:c r="I4" t="str"/>
      <x:c r="J4" t="str"/>
      <x:c r="K4" t="str">
        <x:v>Summary</x:v>
      </x:c>
      <x:c r="L4" t="str">
        <x:v>Rev27</x:v>
      </x:c>
      <x:c r="M4" t="str"/>
      <x:c r="N4" t="str"/>
      <x:c r="O4" t="str"/>
      <x:c r="P4" t="str"/>
      <x:c r="Q4" t="str">
        <x:v>Summary task</x:v>
      </x:c>
    </x:row>
    <x:row r="5" ht="15" hidden="0" customHeight="1">
      <x:c r="A5" t="n">
        <x:v>4</x:v>
      </x:c>
      <x:c r="B5" t="n">
        <x:v>2</x:v>
      </x:c>
      <x:c r="C5" t="str">
        <x:v>ESC01</x:v>
      </x:c>
      <x:c r="D5" t="str">
        <x:v>Erosion &amp; sediment control - site-specific layout and extents</x:v>
      </x:c>
      <x:c r="E5" t="str">
        <x:v>3 days</x:v>
      </x:c>
      <x:c r="F5" t="str"/>
      <x:c r="G5" t="n">
        <x:v>7750.143268186798</x:v>
      </x:c>
      <x:c r="H5" t="str"/>
      <x:c r="I5" t="str"/>
      <x:c r="J5" t="str">
        <x:v>ESC01: 226.3lm measured main fence +8.0lm return allowance; 49m2 entrance; maintenance concurrent; final removal at closeout.</x:v>
      </x:c>
      <x:c r="K5" t="str">
        <x:v>Erosion &amp; Sediment Control</x:v>
      </x:c>
      <x:c r="L5" t="str">
        <x:v>329 Hobsonville Road Estimate Rev27</x:v>
      </x:c>
      <x:c r="M5" t="n">
        <x:v>1</x:v>
      </x:c>
      <x:c r="N5" t="str">
        <x:v>LS</x:v>
      </x:c>
      <x:c r="O5" t="n">
        <x:v>7750.143268186798</x:v>
      </x:c>
      <x:c r="P5" t="n">
        <x:v>7750.143268186798</x:v>
      </x:c>
      <x:c r="Q5" t="str">
        <x:v>Initial fence workfront 15.62h plus 4h entrance setup fits existing 3WD programme control. Maintenance is concurrent. Removal 5.86h occurs at closeout; no 55WD programme extension.</x:v>
      </x:c>
    </x:row>
    <x:row r="6" ht="15" hidden="0" customHeight="1">
      <x:c r="A6" t="n">
        <x:v>5</x:v>
      </x:c>
      <x:c r="B6" t="n">
        <x:v>1</x:v>
      </x:c>
      <x:c r="C6" t="str"/>
      <x:c r="D6" t="str">
        <x:v>Earthworks</x:v>
      </x:c>
      <x:c r="E6" t="str">
        <x:v>0 days</x:v>
      </x:c>
      <x:c r="F6" t="str"/>
      <x:c r="G6" t="str"/>
      <x:c r="H6" t="str"/>
      <x:c r="I6" t="str"/>
      <x:c r="J6" t="str"/>
      <x:c r="K6" t="str">
        <x:v>Summary</x:v>
      </x:c>
      <x:c r="L6" t="str">
        <x:v>Rev27</x:v>
      </x:c>
      <x:c r="M6" t="str"/>
      <x:c r="N6" t="str"/>
      <x:c r="O6" t="str"/>
      <x:c r="P6" t="str"/>
      <x:c r="Q6" t="str">
        <x:v>Summary task</x:v>
      </x:c>
    </x:row>
    <x:row r="7" ht="15" hidden="0" customHeight="1">
      <x:c r="A7" t="n">
        <x:v>6</x:v>
      </x:c>
      <x:c r="B7" t="n">
        <x:v>2</x:v>
      </x:c>
      <x:c r="C7" t="str">
        <x:v>EW01</x:v>
      </x:c>
      <x:c r="D7" t="str">
        <x:v>Site clearance / surface strip within earthworks area</x:v>
      </x:c>
      <x:c r="E7" t="str">
        <x:v>4 days</x:v>
      </x:c>
      <x:c r="F7" t="str">
        <x:v>4</x:v>
      </x:c>
      <x:c r="G7" t="n">
        <x:v>4979.65</x:v>
      </x:c>
      <x:c r="H7" t="str"/>
      <x:c r="I7" t="str"/>
      <x:c r="J7" t="str">
        <x:v>EW01: 14t wet excavator + civil labour support @ 80m2/hr control</x:v>
      </x:c>
      <x:c r="K7" t="str">
        <x:v>Earthworks</x:v>
      </x:c>
      <x:c r="L7" t="str">
        <x:v>329 Hobsonville Road Estimate Rev27</x:v>
      </x:c>
      <x:c r="M7" t="n">
        <x:v>2119</x:v>
      </x:c>
      <x:c r="N7" t="str">
        <x:v>m2</x:v>
      </x:c>
      <x:c r="O7" t="n">
        <x:v>2.3499999999999996</x:v>
      </x:c>
      <x:c r="P7" t="n">
        <x:v>4979.65</x:v>
      </x:c>
      <x:c r="Q7" t="str">
        <x:v>Surface strip workfront; topsoil treatment is not a second bulk-earthworks volume.</x:v>
      </x:c>
    </x:row>
    <x:row r="8" ht="15" hidden="0" customHeight="1">
      <x:c r="A8" t="n">
        <x:v>7</x:v>
      </x:c>
      <x:c r="B8" t="n">
        <x:v>2</x:v>
      </x:c>
      <x:c r="C8" t="str">
        <x:v>EW02</x:v>
      </x:c>
      <x:c r="D8" t="str">
        <x:v>Bulk fill placement / compaction - current Yodha RevB fill demand</x:v>
      </x:c>
      <x:c r="E8" t="str">
        <x:v>9 days</x:v>
      </x:c>
      <x:c r="F8" t="str">
        <x:v>6</x:v>
      </x:c>
      <x:c r="G8" t="n">
        <x:v>20522.266666666666</x:v>
      </x:c>
      <x:c r="H8" t="str"/>
      <x:c r="I8" t="str"/>
      <x:c r="J8" t="str">
        <x:v>EW02: 14t excavator + roller + labour @ 15m3/hr control</x:v>
      </x:c>
      <x:c r="K8" t="str">
        <x:v>Earthworks</x:v>
      </x:c>
      <x:c r="L8" t="str">
        <x:v>329 Hobsonville Road Estimate Rev27</x:v>
      </x:c>
      <x:c r="M8" t="n">
        <x:v>1033</x:v>
      </x:c>
      <x:c r="N8" t="str">
        <x:v>m3</x:v>
      </x:c>
      <x:c r="O8" t="n">
        <x:v>19.866666666666667</x:v>
      </x:c>
      <x:c r="P8" t="n">
        <x:v>20522.266666666666</x:v>
      </x:c>
      <x:c r="Q8" t="str">
        <x:v>1,033m3 fill placement; Q-06 supply delivery must sequence with this workfront.</x:v>
      </x:c>
    </x:row>
    <x:row r="9" ht="15" hidden="0" customHeight="1">
      <x:c r="A9" t="n">
        <x:v>8</x:v>
      </x:c>
      <x:c r="B9" t="n">
        <x:v>2</x:v>
      </x:c>
      <x:c r="C9" t="str">
        <x:v>EW03</x:v>
      </x:c>
      <x:c r="D9" t="str">
        <x:v>Final trim / formation across earthworks area</x:v>
      </x:c>
      <x:c r="E9" t="str">
        <x:v>3 days</x:v>
      </x:c>
      <x:c r="F9" t="str">
        <x:v>7</x:v>
      </x:c>
      <x:c r="G9" t="n">
        <x:v>2613.4333333333334</x:v>
      </x:c>
      <x:c r="H9" t="str"/>
      <x:c r="I9" t="str"/>
      <x:c r="J9" t="str">
        <x:v>EW03: 5.5t wet excavator + labour @ 120m2/hr control</x:v>
      </x:c>
      <x:c r="K9" t="str">
        <x:v>Earthworks</x:v>
      </x:c>
      <x:c r="L9" t="str">
        <x:v>329 Hobsonville Road Estimate Rev27</x:v>
      </x:c>
      <x:c r="M9" t="n">
        <x:v>2119</x:v>
      </x:c>
      <x:c r="N9" t="str">
        <x:v>m2</x:v>
      </x:c>
      <x:c r="O9" t="n">
        <x:v>1.2333333333333334</x:v>
      </x:c>
      <x:c r="P9" t="n">
        <x:v>2613.4333333333334</x:v>
      </x:c>
      <x:c r="Q9" t="str">
        <x:v>Rev20: final trim waits for both EW02 production and PRG-RF01 retained-zone release. This explicitly prevents the prior programme from assuming all final formation is available immediately after the 9-day fill-production duration.</x:v>
      </x:c>
    </x:row>
    <x:row r="10" ht="15" hidden="0" customHeight="1">
      <x:c r="A10" t="n">
        <x:v>9</x:v>
      </x:c>
      <x:c r="B10" t="n">
        <x:v>2</x:v>
      </x:c>
      <x:c r="C10" t="str">
        <x:v>EW04</x:v>
      </x:c>
      <x:c r="D10" t="str">
        <x:v>Grassed OLFP diversion channel - 300 deep, 500 base, 1V:3H sides</x:v>
      </x:c>
      <x:c r="E10" t="str">
        <x:v>2 days</x:v>
      </x:c>
      <x:c r="F10" t="str">
        <x:v>8</x:v>
      </x:c>
      <x:c r="G10" t="n">
        <x:v>3000</x:v>
      </x:c>
      <x:c r="H10" t="str"/>
      <x:c r="I10" t="str"/>
      <x:c r="J10" t="str">
        <x:v>EW04 PC: 94.08lm OLFP shaping / trim</x:v>
      </x:c>
      <x:c r="K10" t="str">
        <x:v>Earthworks</x:v>
      </x:c>
      <x:c r="L10" t="str">
        <x:v>329 Hobsonville Road Estimate Rev27</x:v>
      </x:c>
      <x:c r="M10" t="n">
        <x:v>94.08</x:v>
      </x:c>
      <x:c r="N10" t="str">
        <x:v>lm</x:v>
      </x:c>
      <x:c r="O10" t="n">
        <x:v>31.887755102040817</x:v>
      </x:c>
      <x:c r="P10" t="n">
        <x:v>3000</x:v>
      </x:c>
      <x:c r="Q10" t="str">
        <x:v>Approx 39.51m3 physical swale cut; do not add again if embedded in Yodha earthworks quantities.</x:v>
      </x:c>
    </x:row>
    <x:row r="11" ht="15" hidden="0" customHeight="1">
      <x:c r="A11" t="n">
        <x:v>10</x:v>
      </x:c>
      <x:c r="B11" t="n">
        <x:v>2</x:v>
      </x:c>
      <x:c r="C11" t="str">
        <x:v>EW05</x:v>
      </x:c>
      <x:c r="D11" t="str">
        <x:v>Foundation pad excavation P1-P4</x:v>
      </x:c>
      <x:c r="E11" t="str">
        <x:v>2 days</x:v>
      </x:c>
      <x:c r="F11" t="str">
        <x:v>8</x:v>
      </x:c>
      <x:c r="G11" t="n">
        <x:v>2500</x:v>
      </x:c>
      <x:c r="H11" t="str"/>
      <x:c r="I11" t="str"/>
      <x:c r="J11" t="str">
        <x:v>EW05 PC: 17 measured P1-P4 pad excavations</x:v>
      </x:c>
      <x:c r="K11" t="str">
        <x:v>Earthworks</x:v>
      </x:c>
      <x:c r="L11" t="str">
        <x:v>329 Hobsonville Road Estimate Rev27</x:v>
      </x:c>
      <x:c r="M11" t="n">
        <x:v>2.191</x:v>
      </x:c>
      <x:c r="N11" t="str">
        <x:v>m3</x:v>
      </x:c>
      <x:c r="O11" t="n">
        <x:v>1141.0314924691922</x:v>
      </x:c>
      <x:c r="P11" t="n">
        <x:v>2500</x:v>
      </x:c>
      <x:c r="Q11" t="str">
        <x:v>2-day tender control only; confirm foundation workfront and spoil/working-space boundary.</x:v>
      </x:c>
    </x:row>
    <x:row r="12" ht="15" hidden="0" customHeight="1">
      <x:c r="A12" t="n">
        <x:v>11</x:v>
      </x:c>
      <x:c r="B12" t="n">
        <x:v>2</x:v>
      </x:c>
      <x:c r="C12" t="str">
        <x:v>EW06</x:v>
      </x:c>
      <x:c r="D12" t="str">
        <x:v>PILE2 bored foundation holes 450 dia x 1.2m</x:v>
      </x:c>
      <x:c r="E12" t="str">
        <x:v>2 days</x:v>
      </x:c>
      <x:c r="F12" t="str">
        <x:v>8</x:v>
      </x:c>
      <x:c r="G12" t="n">
        <x:v>1738</x:v>
      </x:c>
      <x:c r="H12" t="str"/>
      <x:c r="I12" t="str"/>
      <x:c r="J12" t="str">
        <x:v>EW06 self-perform: 14 x 450mm PILE2 using 3t excavator + auger + labour support; 11 productive hours</x:v>
      </x:c>
      <x:c r="K12" t="str">
        <x:v>Earthworks</x:v>
      </x:c>
      <x:c r="L12" t="str">
        <x:v>329 Hobsonville Road Estimate Rev27</x:v>
      </x:c>
      <x:c r="M12" t="n">
        <x:v>14</x:v>
      </x:c>
      <x:c r="N12" t="str">
        <x:v>ea</x:v>
      </x:c>
      <x:c r="O12" t="n">
        <x:v>124.14285714285714</x:v>
      </x:c>
      <x:c r="P12" t="n">
        <x:v>1738</x:v>
      </x:c>
      <x:c r="Q12" t="str">
        <x:v>Derived 2-day tender duration from 11 productive hours. Same in-house boring plant is also used on RW03; do not run the two boring tasks concurrently.</x:v>
      </x:c>
    </x:row>
    <x:row r="13" ht="15" hidden="0" customHeight="1">
      <x:c r="A13" t="n">
        <x:v>12</x:v>
      </x:c>
      <x:c r="B13" t="n">
        <x:v>2</x:v>
      </x:c>
      <x:c r="C13" t="str">
        <x:v>EW07</x:v>
      </x:c>
      <x:c r="D13" t="str">
        <x:v>F1-F7 strip / thickening / wing footing excavation</x:v>
      </x:c>
      <x:c r="E13" t="str">
        <x:v>5 days</x:v>
      </x:c>
      <x:c r="F13" t="str">
        <x:v>8</x:v>
      </x:c>
      <x:c r="G13" t="n">
        <x:v>12500</x:v>
      </x:c>
      <x:c r="H13" t="str"/>
      <x:c r="I13" t="str"/>
      <x:c r="J13" t="str">
        <x:v>EW07 PC: F1-F7 strip/thickening/wing footing excavation</x:v>
      </x:c>
      <x:c r="K13" t="str">
        <x:v>Earthworks</x:v>
      </x:c>
      <x:c r="L13" t="str">
        <x:v>329 Hobsonville Road Estimate Rev27</x:v>
      </x:c>
      <x:c r="M13" t="n">
        <x:v>1</x:v>
      </x:c>
      <x:c r="N13" t="str">
        <x:v>LS</x:v>
      </x:c>
      <x:c r="O13" t="n">
        <x:v>12500</x:v>
      </x:c>
      <x:c r="P13" t="n">
        <x:v>12500</x:v>
      </x:c>
      <x:c r="Q13" t="str">
        <x:v>5-day programme PC; replace when final lineal takeoff/slab-contractor information closes.</x:v>
      </x:c>
    </x:row>
    <x:row r="14" ht="15" hidden="0" customHeight="1">
      <x:c r="A14" t="n">
        <x:v>13</x:v>
      </x:c>
      <x:c r="B14" t="n">
        <x:v>2</x:v>
      </x:c>
      <x:c r="C14" t="str">
        <x:v>EW08</x:v>
      </x:c>
      <x:c r="D14" t="str">
        <x:v>Earthworks export / cartage / tipping</x:v>
      </x:c>
      <x:c r="E14" t="str">
        <x:v>5 days</x:v>
      </x:c>
      <x:c r="F14" t="str">
        <x:v>6</x:v>
      </x:c>
      <x:c r="G14" t="n">
        <x:v>10000</x:v>
      </x:c>
      <x:c r="H14" t="str"/>
      <x:c r="I14" t="str"/>
      <x:c r="J14" t="str">
        <x:v>EW08 PC: incidental export/cartage/tipping</x:v>
      </x:c>
      <x:c r="K14" t="str">
        <x:v>Earthworks</x:v>
      </x:c>
      <x:c r="L14" t="str">
        <x:v>329 Hobsonville Road Estimate Rev27</x:v>
      </x:c>
      <x:c r="M14" t="n">
        <x:v>1</x:v>
      </x:c>
      <x:c r="N14" t="str">
        <x:v>LS</x:v>
      </x:c>
      <x:c r="O14" t="n">
        <x:v>10000</x:v>
      </x:c>
      <x:c r="P14" t="n">
        <x:v>10000</x:v>
      </x:c>
      <x:c r="Q14" t="str">
        <x:v>May overlap EW01/EW02; duration is not automatically additive to critical path.</x:v>
      </x:c>
    </x:row>
    <x:row r="15" ht="15" hidden="0" customHeight="1">
      <x:c r="A15" t="n">
        <x:v>14</x:v>
      </x:c>
      <x:c r="B15" t="n">
        <x:v>2</x:v>
      </x:c>
      <x:c r="C15" t="str">
        <x:v>EW09</x:v>
      </x:c>
      <x:c r="D15" t="str">
        <x:v>Imported / replacement engineered fill</x:v>
      </x:c>
      <x:c r="E15" t="str">
        <x:v>9 days</x:v>
      </x:c>
      <x:c r="F15" t="str">
        <x:v>6</x:v>
      </x:c>
      <x:c r="G15" t="n">
        <x:v>60000</x:v>
      </x:c>
      <x:c r="H15" t="str"/>
      <x:c r="I15" t="str"/>
      <x:c r="J15" t="str">
        <x:v>EW09 PC: 923m3 imported engineered fill delivery</x:v>
      </x:c>
      <x:c r="K15" t="str">
        <x:v>Earthworks</x:v>
      </x:c>
      <x:c r="L15" t="str">
        <x:v>329 Hobsonville Road Estimate Rev27</x:v>
      </x:c>
      <x:c r="M15" t="n">
        <x:v>923</x:v>
      </x:c>
      <x:c r="N15" t="str">
        <x:v>m3</x:v>
      </x:c>
      <x:c r="O15" t="n">
        <x:v>65.00541711809318</x:v>
      </x:c>
      <x:c r="P15" t="n">
        <x:v>60000</x:v>
      </x:c>
      <x:c r="Q15" t="str">
        <x:v>9-day supply window aligned to EW02 placement; concurrent, not a separate sequential duration.</x:v>
      </x:c>
    </x:row>
    <x:row r="16" ht="15" hidden="0" customHeight="1">
      <x:c r="A16" t="n">
        <x:v>15</x:v>
      </x:c>
      <x:c r="B16" t="n">
        <x:v>2</x:v>
      </x:c>
      <x:c r="C16" t="str">
        <x:v>EW10</x:v>
      </x:c>
      <x:c r="D16" t="str">
        <x:v>Topsoil handling / reuse / export duplication control</x:v>
      </x:c>
      <x:c r="E16" t="str">
        <x:v>0 days</x:v>
      </x:c>
      <x:c r="F16" t="str"/>
      <x:c r="G16" t="n">
        <x:v>0</x:v>
      </x:c>
      <x:c r="H16" t="str"/>
      <x:c r="I16" t="str"/>
      <x:c r="J16" t="str">
        <x:v>EW10 duplication control - no separate cost or quantity</x:v>
      </x:c>
      <x:c r="K16" t="str">
        <x:v>Earthworks</x:v>
      </x:c>
      <x:c r="L16" t="str">
        <x:v>329 Hobsonville Road Estimate Rev27</x:v>
      </x:c>
      <x:c r="M16" t="n">
        <x:v>0</x:v>
      </x:c>
      <x:c r="N16" t="str">
        <x:v>m3</x:v>
      </x:c>
      <x:c r="O16" t="str"/>
      <x:c r="P16" t="n">
        <x:v>0</x:v>
      </x:c>
      <x:c r="Q16" t="str">
        <x:v>Topsoil handling is within EW01/EW08 treatment; no separate programme duration.</x:v>
      </x:c>
    </x:row>
    <x:row r="17" ht="15" hidden="0" customHeight="1">
      <x:c r="A17" t="n">
        <x:v>16</x:v>
      </x:c>
      <x:c r="B17" t="n">
        <x:v>1</x:v>
      </x:c>
      <x:c r="C17" t="str"/>
      <x:c r="D17" t="str">
        <x:v>Pavements &amp; Concrete</x:v>
      </x:c>
      <x:c r="E17" t="str">
        <x:v>0 days</x:v>
      </x:c>
      <x:c r="F17" t="str"/>
      <x:c r="G17" t="str"/>
      <x:c r="H17" t="str"/>
      <x:c r="I17" t="str"/>
      <x:c r="J17" t="str"/>
      <x:c r="K17" t="str">
        <x:v>Summary</x:v>
      </x:c>
      <x:c r="L17" t="str">
        <x:v>Rev27</x:v>
      </x:c>
      <x:c r="M17" t="str"/>
      <x:c r="N17" t="str"/>
      <x:c r="O17" t="str"/>
      <x:c r="P17" t="str"/>
      <x:c r="Q17" t="str">
        <x:v>Summary task</x:v>
      </x:c>
    </x:row>
    <x:row r="18" ht="15" hidden="0" customHeight="1">
      <x:c r="A18" t="n">
        <x:v>17</x:v>
      </x:c>
      <x:c r="B18" t="n">
        <x:v>2</x:v>
      </x:c>
      <x:c r="C18" t="str">
        <x:v>PV01</x:v>
      </x:c>
      <x:c r="D18" t="str">
        <x:v>Internal carpark / driveway concrete pavement</x:v>
      </x:c>
      <x:c r="E18" t="str">
        <x:v>10 days</x:v>
      </x:c>
      <x:c r="F18" t="str"/>
      <x:c r="G18" t="n">
        <x:v>71829.2064375</x:v>
      </x:c>
      <x:c r="H18" t="str"/>
      <x:c r="I18" t="str"/>
      <x:c r="J18" t="str">
        <x:v>PV01 resources: concrete/material/placing control</x:v>
      </x:c>
      <x:c r="K18" t="str">
        <x:v>Pavements &amp; Concrete</x:v>
      </x:c>
      <x:c r="L18" t="str">
        <x:v>329 Hobsonville Road Estimate Rev27</x:v>
      </x:c>
      <x:c r="M18" t="n">
        <x:v>451.1</x:v>
      </x:c>
      <x:c r="N18" t="str">
        <x:v>m2</x:v>
      </x:c>
      <x:c r="O18" t="n">
        <x:v>159.23122686211482</x:v>
      </x:c>
      <x:c r="P18" t="n">
        <x:v>71829.2064375</x:v>
      </x:c>
      <x:c r="Q18" t="str">
        <x:v>10-day PV01 tender control remains: base prep + concrete workfront. It now starts only after PRG-PROOF, which represents the post-services geotechnical re-proof/re-trim hold point.</x:v>
      </x:c>
    </x:row>
    <x:row r="19" ht="15" hidden="0" customHeight="1">
      <x:c r="A19" t="n">
        <x:v>18</x:v>
      </x:c>
      <x:c r="B19" t="n">
        <x:v>2</x:v>
      </x:c>
      <x:c r="C19" t="str">
        <x:v>PV02</x:v>
      </x:c>
      <x:c r="D19" t="str">
        <x:v>Hobsonville Road public VX203 vehicle crossing</x:v>
      </x:c>
      <x:c r="E19" t="str">
        <x:v>5 days</x:v>
      </x:c>
      <x:c r="F19" t="str">
        <x:v>17</x:v>
      </x:c>
      <x:c r="G19" t="n">
        <x:v>18250</x:v>
      </x:c>
      <x:c r="H19" t="str"/>
      <x:c r="I19" t="str"/>
      <x:c r="J19" t="str">
        <x:v>PV02 public VX203 crossing PC + Traffic Safe Q-07 core (one Stop/Go + one shoulder/pedestrian shift)</x:v>
      </x:c>
      <x:c r="K19" t="str">
        <x:v>Pavements &amp; Concrete</x:v>
      </x:c>
      <x:c r="L19" t="str">
        <x:v>329 Hobsonville Road Estimate Rev27</x:v>
      </x:c>
      <x:c r="M19" t="n">
        <x:v>37.7665</x:v>
      </x:c>
      <x:c r="N19" t="str">
        <x:v>m2</x:v>
      </x:c>
      <x:c r="O19" t="n">
        <x:v>483.23249440641837</x:v>
      </x:c>
      <x:c r="P19" t="n">
        <x:v>18250</x:v>
      </x:c>
      <x:c r="Q19" t="str">
        <x:v>5-day crossing construction control retained. Traffic Safe expects road occupation approx 10:00-16:00 and has quoted two traffic shifts only; confirm final method does not require additional traffic-control shifts.</x:v>
      </x:c>
    </x:row>
    <x:row r="20" ht="15" hidden="0" customHeight="1">
      <x:c r="A20" t="n">
        <x:v>19</x:v>
      </x:c>
      <x:c r="B20" t="n">
        <x:v>2</x:v>
      </x:c>
      <x:c r="C20" t="str">
        <x:v>PV03</x:v>
      </x:c>
      <x:c r="D20" t="str">
        <x:v>Private ROW / JOAL access connection</x:v>
      </x:c>
      <x:c r="E20" t="str">
        <x:v>0 days</x:v>
      </x:c>
      <x:c r="F20" t="str"/>
      <x:c r="G20" t="n">
        <x:v>0</x:v>
      </x:c>
      <x:c r="H20" t="str"/>
      <x:c r="I20" t="str"/>
      <x:c r="J20" t="str">
        <x:v>PV03 private ROW connection is contained within PV01</x:v>
      </x:c>
      <x:c r="K20" t="str">
        <x:v>Pavements &amp; Concrete</x:v>
      </x:c>
      <x:c r="L20" t="str">
        <x:v>329 Hobsonville Road Estimate Rev27</x:v>
      </x:c>
      <x:c r="M20" t="n">
        <x:v>0</x:v>
      </x:c>
      <x:c r="N20" t="str">
        <x:v>m2</x:v>
      </x:c>
      <x:c r="O20" t="str"/>
      <x:c r="P20" t="n">
        <x:v>0</x:v>
      </x:c>
      <x:c r="Q20" t="str">
        <x:v>No separate duration unless ROW owner/interface work is later instructed.</x:v>
      </x:c>
    </x:row>
    <x:row r="21" ht="15" hidden="0" customHeight="1">
      <x:c r="A21" t="n">
        <x:v>20</x:v>
      </x:c>
      <x:c r="B21" t="n">
        <x:v>2</x:v>
      </x:c>
      <x:c r="C21" t="str">
        <x:v>PV04</x:v>
      </x:c>
      <x:c r="D21" t="str">
        <x:v>External concrete paths / interface paving</x:v>
      </x:c>
      <x:c r="E21" t="str">
        <x:v>4 days</x:v>
      </x:c>
      <x:c r="F21" t="str">
        <x:v>17</x:v>
      </x:c>
      <x:c r="G21" t="n">
        <x:v>11000</x:v>
      </x:c>
      <x:c r="H21" t="str"/>
      <x:c r="I21" t="str"/>
      <x:c r="J21" t="str">
        <x:v>PV04 external path/interface concrete PC</x:v>
      </x:c>
      <x:c r="K21" t="str">
        <x:v>Pavements &amp; Concrete</x:v>
      </x:c>
      <x:c r="L21" t="str">
        <x:v>329 Hobsonville Road Estimate Rev27</x:v>
      </x:c>
      <x:c r="M21" t="n">
        <x:v>46.9</x:v>
      </x:c>
      <x:c r="N21" t="str">
        <x:v>m2</x:v>
      </x:c>
      <x:c r="O21" t="n">
        <x:v>234.54157782515992</x:v>
      </x:c>
      <x:c r="P21" t="n">
        <x:v>11000</x:v>
      </x:c>
      <x:c r="Q21" t="str">
        <x:v>4-day tender control pending path build-up and specialist placing quote.</x:v>
      </x:c>
    </x:row>
    <x:row r="22" ht="15" hidden="0" customHeight="1">
      <x:c r="A22" t="n">
        <x:v>21</x:v>
      </x:c>
      <x:c r="B22" t="n">
        <x:v>2</x:v>
      </x:c>
      <x:c r="C22" t="str">
        <x:v>PV05</x:v>
      </x:c>
      <x:c r="D22" t="str">
        <x:v>Line marking, accessible symbols/signage and directional markings</x:v>
      </x:c>
      <x:c r="E22" t="str">
        <x:v>2 days</x:v>
      </x:c>
      <x:c r="F22" t="str"/>
      <x:c r="G22" t="n">
        <x:v>2500</x:v>
      </x:c>
      <x:c r="H22" t="str"/>
      <x:c r="I22" t="str"/>
      <x:c r="J22" t="str">
        <x:v>PV05 line marking/signage PC</x:v>
      </x:c>
      <x:c r="K22" t="str">
        <x:v>Pavements &amp; Concrete</x:v>
      </x:c>
      <x:c r="L22" t="str">
        <x:v>329 Hobsonville Road Estimate Rev27</x:v>
      </x:c>
      <x:c r="M22" t="n">
        <x:v>1</x:v>
      </x:c>
      <x:c r="N22" t="str">
        <x:v>LS</x:v>
      </x:c>
      <x:c r="O22" t="n">
        <x:v>2500</x:v>
      </x:c>
      <x:c r="P22" t="n">
        <x:v>2500</x:v>
      </x:c>
      <x:c r="Q22" t="str">
        <x:v>Final line marking occurs after the explicit PRG-CURE protection hold.</x:v>
      </x:c>
    </x:row>
    <x:row r="23" ht="15" hidden="0" customHeight="1">
      <x:c r="A23" t="n">
        <x:v>22</x:v>
      </x:c>
      <x:c r="B23" t="n">
        <x:v>2</x:v>
      </x:c>
      <x:c r="C23" t="str">
        <x:v>PV06</x:v>
      </x:c>
      <x:c r="D23" t="str">
        <x:v>Speed control devices / speed bumps</x:v>
      </x:c>
      <x:c r="E23" t="str">
        <x:v>0 days</x:v>
      </x:c>
      <x:c r="F23" t="str"/>
      <x:c r="G23" t="n">
        <x:v>0</x:v>
      </x:c>
      <x:c r="H23" t="str"/>
      <x:c r="I23" t="str"/>
      <x:c r="J23" t="str">
        <x:v>No new speed-control device priced</x:v>
      </x:c>
      <x:c r="K23" t="str">
        <x:v>Pavements &amp; Concrete</x:v>
      </x:c>
      <x:c r="L23" t="str">
        <x:v>329 Hobsonville Road Estimate Rev27</x:v>
      </x:c>
      <x:c r="M23" t="n">
        <x:v>0</x:v>
      </x:c>
      <x:c r="N23" t="str">
        <x:v>ea</x:v>
      </x:c>
      <x:c r="O23" t="str"/>
      <x:c r="P23" t="n">
        <x:v>0</x:v>
      </x:c>
      <x:c r="Q23" t="str">
        <x:v>Rev21: 0-day / $0. The located Speed Bump is an existing topographic survey feature. Re-add only if new-work detail is instructed.</x:v>
      </x:c>
    </x:row>
    <x:row r="24" ht="15" hidden="0" customHeight="1">
      <x:c r="A24" t="n">
        <x:v>23</x:v>
      </x:c>
      <x:c r="B24" t="n">
        <x:v>1</x:v>
      </x:c>
      <x:c r="C24" t="str"/>
      <x:c r="D24" t="str">
        <x:v>Kerbs, Channels &amp; External Sitework</x:v>
      </x:c>
      <x:c r="E24" t="str">
        <x:v>0 days</x:v>
      </x:c>
      <x:c r="F24" t="str"/>
      <x:c r="G24" t="str"/>
      <x:c r="H24" t="str"/>
      <x:c r="I24" t="str"/>
      <x:c r="J24" t="str"/>
      <x:c r="K24" t="str">
        <x:v>Summary</x:v>
      </x:c>
      <x:c r="L24" t="str">
        <x:v>Rev27</x:v>
      </x:c>
      <x:c r="M24" t="str"/>
      <x:c r="N24" t="str"/>
      <x:c r="O24" t="str"/>
      <x:c r="P24" t="str"/>
      <x:c r="Q24" t="str">
        <x:v>Summary task</x:v>
      </x:c>
    </x:row>
    <x:row r="25" ht="15" hidden="0" customHeight="1">
      <x:c r="A25" t="n">
        <x:v>24</x:v>
      </x:c>
      <x:c r="B25" t="n">
        <x:v>2</x:v>
      </x:c>
      <x:c r="C25" t="str">
        <x:v>ES01</x:v>
      </x:c>
      <x:c r="D25" t="str">
        <x:v>Dry service / utility trenches</x:v>
      </x:c>
      <x:c r="E25" t="str">
        <x:v>5 days</x:v>
      </x:c>
      <x:c r="F25" t="str">
        <x:v>8</x:v>
      </x:c>
      <x:c r="G25" t="n">
        <x:v>15000</x:v>
      </x:c>
      <x:c r="H25" t="str"/>
      <x:c r="I25" t="str"/>
      <x:c r="J25" t="str">
        <x:v>ES01 dry service trench PC</x:v>
      </x:c>
      <x:c r="K25" t="str">
        <x:v>Kerbs, Channels &amp; External Sitework</x:v>
      </x:c>
      <x:c r="L25" t="str">
        <x:v>329 Hobsonville Road Estimate Rev27</x:v>
      </x:c>
      <x:c r="M25" t="n">
        <x:v>1</x:v>
      </x:c>
      <x:c r="N25" t="str">
        <x:v>LS</x:v>
      </x:c>
      <x:c r="O25" t="n">
        <x:v>15000</x:v>
      </x:c>
      <x:c r="P25" t="n">
        <x:v>15000</x:v>
      </x:c>
      <x:c r="Q25" t="str">
        <x:v>5-day tender placeholder only. Civil DWG311 says details by others; replace when coordinated design is issued.</x:v>
      </x:c>
    </x:row>
    <x:row r="26" ht="15" hidden="0" customHeight="1">
      <x:c r="A26" t="n">
        <x:v>25</x:v>
      </x:c>
      <x:c r="B26" t="n">
        <x:v>2</x:v>
      </x:c>
      <x:c r="C26" t="str">
        <x:v>ES02</x:v>
      </x:c>
      <x:c r="D26" t="str">
        <x:v>Carpark formed dish channel / surface channel interface</x:v>
      </x:c>
      <x:c r="E26" t="str">
        <x:v>2 days</x:v>
      </x:c>
      <x:c r="F26" t="str">
        <x:v>17</x:v>
      </x:c>
      <x:c r="G26" t="n">
        <x:v>7500</x:v>
      </x:c>
      <x:c r="H26" t="str"/>
      <x:c r="I26" t="str"/>
      <x:c r="J26" t="str">
        <x:v>ES02 formed dish-channel/interface PC</x:v>
      </x:c>
      <x:c r="K26" t="str">
        <x:v>Kerbs, Channels &amp; External Sitework</x:v>
      </x:c>
      <x:c r="L26" t="str">
        <x:v>329 Hobsonville Road Estimate Rev27</x:v>
      </x:c>
      <x:c r="M26" t="n">
        <x:v>1</x:v>
      </x:c>
      <x:c r="N26" t="str">
        <x:v>LS</x:v>
      </x:c>
      <x:c r="O26" t="n">
        <x:v>7500</x:v>
      </x:c>
      <x:c r="P26" t="n">
        <x:v>7500</x:v>
      </x:c>
      <x:c r="Q26" t="str">
        <x:v>2-day tender control pending measured length and downstream drainage interface.</x:v>
      </x:c>
    </x:row>
    <x:row r="27" ht="15" hidden="0" customHeight="1">
      <x:c r="A27" t="n">
        <x:v>26</x:v>
      </x:c>
      <x:c r="B27" t="n">
        <x:v>2</x:v>
      </x:c>
      <x:c r="C27" t="str">
        <x:v>ES03</x:v>
      </x:c>
      <x:c r="D27" t="str">
        <x:v>Allproof level-threshold drainage to flush exterior openings</x:v>
      </x:c>
      <x:c r="E27" t="str">
        <x:v>7 days</x:v>
      </x:c>
      <x:c r="F27" t="str">
        <x:v>12</x:v>
      </x:c>
      <x:c r="G27" t="n">
        <x:v>40000</x:v>
      </x:c>
      <x:c r="H27" t="str"/>
      <x:c r="I27" t="str"/>
      <x:c r="J27" t="str">
        <x:v>ES03 Allproof threshold drain - 44m supplier order control / 22 door thresholds</x:v>
      </x:c>
      <x:c r="K27" t="str">
        <x:v>Kerbs, Channels &amp; External Sitework</x:v>
      </x:c>
      <x:c r="L27" t="str">
        <x:v>329 Hobsonville Road Estimate Rev27</x:v>
      </x:c>
      <x:c r="M27" t="n">
        <x:v>44</x:v>
      </x:c>
      <x:c r="N27" t="str">
        <x:v>lm</x:v>
      </x:c>
      <x:c r="O27" t="n">
        <x:v>909.0909090909091</x:v>
      </x:c>
      <x:c r="P27" t="n">
        <x:v>40000</x:v>
      </x:c>
      <x:c r="Q27" t="str">
        <x:v>7-day installation control remains provisional. Allproof confirmed 07-Sep-2026: 2m channel/grating + 2 end caps per door, giving 44m + 44 caps, with 7-8 week lead time. Procurement approval/order must occur early; GFN vs Wedge Wire and outlet/downstream interface remain to confirm.</x:v>
      </x:c>
    </x:row>
    <x:row r="28" ht="15" hidden="0" customHeight="1">
      <x:c r="A28" t="n">
        <x:v>27</x:v>
      </x:c>
      <x:c r="B28" t="n">
        <x:v>2</x:v>
      </x:c>
      <x:c r="C28" t="str">
        <x:v>ES04</x:v>
      </x:c>
      <x:c r="D28" t="str">
        <x:v>OLFP fence opening / reinstatement interface</x:v>
      </x:c>
      <x:c r="E28" t="str">
        <x:v>1 days</x:v>
      </x:c>
      <x:c r="F28" t="str">
        <x:v>9</x:v>
      </x:c>
      <x:c r="G28" t="n">
        <x:v>2500</x:v>
      </x:c>
      <x:c r="H28" t="str"/>
      <x:c r="I28" t="str"/>
      <x:c r="J28" t="str">
        <x:v>ES04 OLFP fence opening/reinstatement PC</x:v>
      </x:c>
      <x:c r="K28" t="str">
        <x:v>Kerbs, Channels &amp; External Sitework</x:v>
      </x:c>
      <x:c r="L28" t="str">
        <x:v>329 Hobsonville Road Estimate Rev27</x:v>
      </x:c>
      <x:c r="M28" t="n">
        <x:v>1</x:v>
      </x:c>
      <x:c r="N28" t="str">
        <x:v>LS</x:v>
      </x:c>
      <x:c r="O28" t="n">
        <x:v>2500</x:v>
      </x:c>
      <x:c r="P28" t="n">
        <x:v>2500</x:v>
      </x:c>
      <x:c r="Q28" t="str">
        <x:v>1-day interface allowance; remove if fencing is confirmed by others.</x:v>
      </x:c>
    </x:row>
    <x:row r="29" ht="15" hidden="0" customHeight="1">
      <x:c r="A29" t="n">
        <x:v>28</x:v>
      </x:c>
      <x:c r="B29" t="n">
        <x:v>1</x:v>
      </x:c>
      <x:c r="C29" t="str"/>
      <x:c r="D29" t="str">
        <x:v>Retaining Walls</x:v>
      </x:c>
      <x:c r="E29" t="str">
        <x:v>0 days</x:v>
      </x:c>
      <x:c r="F29" t="str"/>
      <x:c r="G29" t="str"/>
      <x:c r="H29" t="str"/>
      <x:c r="I29" t="str"/>
      <x:c r="J29" t="str"/>
      <x:c r="K29" t="str">
        <x:v>Summary</x:v>
      </x:c>
      <x:c r="L29" t="str">
        <x:v>Rev27</x:v>
      </x:c>
      <x:c r="M29" t="str"/>
      <x:c r="N29" t="str"/>
      <x:c r="O29" t="str"/>
      <x:c r="P29" t="str"/>
      <x:c r="Q29" t="str">
        <x:v>Summary task</x:v>
      </x:c>
    </x:row>
    <x:row r="30" ht="15" hidden="0" customHeight="1">
      <x:c r="A30" t="n">
        <x:v>29</x:v>
      </x:c>
      <x:c r="B30" t="n">
        <x:v>2</x:v>
      </x:c>
      <x:c r="C30" t="str">
        <x:v>RW01</x:v>
      </x:c>
      <x:c r="D30" t="str">
        <x:v>Keystone retaining wall - principal wall length control</x:v>
      </x:c>
      <x:c r="E30" t="str">
        <x:v>15 days</x:v>
      </x:c>
      <x:c r="F30" t="str">
        <x:v>31</x:v>
      </x:c>
      <x:c r="G30" t="n">
        <x:v>45000</x:v>
      </x:c>
      <x:c r="H30" t="str"/>
      <x:c r="I30" t="str"/>
      <x:c r="J30" t="str">
        <x:v>RW01 principal Keystone wall system PC - 73.34lm</x:v>
      </x:c>
      <x:c r="K30" t="str">
        <x:v>Retaining Walls</x:v>
      </x:c>
      <x:c r="L30" t="str">
        <x:v>329 Hobsonville Road Estimate Rev27</x:v>
      </x:c>
      <x:c r="M30" t="n">
        <x:v>73.34</x:v>
      </x:c>
      <x:c r="N30" t="str">
        <x:v>lm</x:v>
      </x:c>
      <x:c r="O30" t="n">
        <x:v>613.5805835833106</x:v>
      </x:c>
      <x:c r="P30" t="n">
        <x:v>45000</x:v>
      </x:c>
      <x:c r="Q30" t="str">
        <x:v>15-day tender control pending final height-band/system quote; includes ordinary wall work only.</x:v>
      </x:c>
    </x:row>
    <x:row r="31" ht="15" hidden="0" customHeight="1">
      <x:c r="A31" t="n">
        <x:v>30</x:v>
      </x:c>
      <x:c r="B31" t="n">
        <x:v>2</x:v>
      </x:c>
      <x:c r="C31" t="str">
        <x:v>RW02</x:v>
      </x:c>
      <x:c r="D31" t="str">
        <x:v>Keystone retaining wall - low wall length control</x:v>
      </x:c>
      <x:c r="E31" t="str">
        <x:v>3 days</x:v>
      </x:c>
      <x:c r="F31" t="str">
        <x:v>31</x:v>
      </x:c>
      <x:c r="G31" t="n">
        <x:v>7000</x:v>
      </x:c>
      <x:c r="H31" t="str"/>
      <x:c r="I31" t="str"/>
      <x:c r="J31" t="str">
        <x:v>RW02 low Keystone wall system PC - 9.59lm</x:v>
      </x:c>
      <x:c r="K31" t="str">
        <x:v>Retaining Walls</x:v>
      </x:c>
      <x:c r="L31" t="str">
        <x:v>329 Hobsonville Road Estimate Rev27</x:v>
      </x:c>
      <x:c r="M31" t="n">
        <x:v>9.59</x:v>
      </x:c>
      <x:c r="N31" t="str">
        <x:v>lm</x:v>
      </x:c>
      <x:c r="O31" t="n">
        <x:v>729.92700729927</x:v>
      </x:c>
      <x:c r="P31" t="n">
        <x:v>7000</x:v>
      </x:c>
      <x:c r="Q31" t="str">
        <x:v>3-day tender control; may overlap principal wall crew depending final sequence.</x:v>
      </x:c>
    </x:row>
    <x:row r="32" ht="15" hidden="0" customHeight="1">
      <x:c r="A32" t="n">
        <x:v>31</x:v>
      </x:c>
      <x:c r="B32" t="n">
        <x:v>2</x:v>
      </x:c>
      <x:c r="C32" t="str">
        <x:v>RW03</x:v>
      </x:c>
      <x:c r="D32" t="str">
        <x:v>PILE1 bridging piles to Keystone over 450mm SW main</x:v>
      </x:c>
      <x:c r="E32" t="str">
        <x:v>1 days</x:v>
      </x:c>
      <x:c r="F32" t="str">
        <x:v>6</x:v>
      </x:c>
      <x:c r="G32" t="n">
        <x:v>1668.83595875</x:v>
      </x:c>
      <x:c r="H32" t="str"/>
      <x:c r="I32" t="str"/>
      <x:c r="J32" t="str">
        <x:v>RW03 self-perform: 7 x 500mm PILE1 using same 3t excavator + auger + labour support; 7 productive hours</x:v>
      </x:c>
      <x:c r="K32" t="str">
        <x:v>Retaining Walls</x:v>
      </x:c>
      <x:c r="L32" t="str">
        <x:v>329 Hobsonville Road Estimate Rev27</x:v>
      </x:c>
      <x:c r="M32" t="n">
        <x:v>7</x:v>
      </x:c>
      <x:c r="N32" t="str">
        <x:v>ea</x:v>
      </x:c>
      <x:c r="O32" t="n">
        <x:v>238.4051369642857</x:v>
      </x:c>
      <x:c r="P32" t="n">
        <x:v>1668.83595875</x:v>
      </x:c>
      <x:c r="Q32" t="str">
        <x:v>Derived 1-day tender duration from 7 productive hours and sequenced after EW06 so the same in-house boring rig is not double-booked. Final geotech/service hold point applies.</x:v>
      </x:c>
    </x:row>
    <x:row r="33" ht="15" hidden="0" customHeight="1">
      <x:c r="A33" t="n">
        <x:v>32</x:v>
      </x:c>
      <x:c r="B33" t="n">
        <x:v>2</x:v>
      </x:c>
      <x:c r="C33" t="str">
        <x:v>RW04</x:v>
      </x:c>
      <x:c r="D33" t="str">
        <x:v>13MPa no-fines concrete to engineered Keystone gravity wall</x:v>
      </x:c>
      <x:c r="E33" t="str">
        <x:v>0 days</x:v>
      </x:c>
      <x:c r="F33" t="str"/>
      <x:c r="G33" t="n">
        <x:v>18000</x:v>
      </x:c>
      <x:c r="H33" t="str"/>
      <x:c r="I33" t="str"/>
      <x:c r="J33" t="str">
        <x:v>RW04 no-fines concrete PC</x:v>
      </x:c>
      <x:c r="K33" t="str">
        <x:v>Retaining Walls</x:v>
      </x:c>
      <x:c r="L33" t="str">
        <x:v>329 Hobsonville Road Estimate Rev27</x:v>
      </x:c>
      <x:c r="M33" t="n">
        <x:v>1</x:v>
      </x:c>
      <x:c r="N33" t="str">
        <x:v>LS</x:v>
      </x:c>
      <x:c r="O33" t="n">
        <x:v>18000</x:v>
      </x:c>
      <x:c r="P33" t="n">
        <x:v>18000</x:v>
      </x:c>
      <x:c r="Q33" t="str">
        <x:v>No separate critical-path duration assigned; placement occurs within Keystone wall workfront pending supplier methodology.</x:v>
      </x:c>
    </x:row>
    <x:row r="34" ht="15" hidden="0" customHeight="1">
      <x:c r="A34" t="n">
        <x:v>33</x:v>
      </x:c>
      <x:c r="B34" t="n">
        <x:v>2</x:v>
      </x:c>
      <x:c r="C34" t="str">
        <x:v>RW05</x:v>
      </x:c>
      <x:c r="D34" t="str">
        <x:v>Retaining wall drainage: 100mm Novaflo, aggregate and filter cloth</x:v>
      </x:c>
      <x:c r="E34" t="str">
        <x:v>0 days</x:v>
      </x:c>
      <x:c r="F34" t="str"/>
      <x:c r="G34" t="n">
        <x:v>0</x:v>
      </x:c>
      <x:c r="H34" t="str"/>
      <x:c r="I34" t="str"/>
      <x:c r="J34" t="str">
        <x:v>RW05 retaining drainage PC - 82.93lm</x:v>
      </x:c>
      <x:c r="K34" t="str">
        <x:v>Retaining Walls</x:v>
      </x:c>
      <x:c r="L34" t="str">
        <x:v>329 Hobsonville Road Estimate Rev27</x:v>
      </x:c>
      <x:c r="M34" t="n">
        <x:v>82.93</x:v>
      </x:c>
      <x:c r="N34" t="str">
        <x:v>lm</x:v>
      </x:c>
      <x:c r="O34" t="n">
        <x:v>0</x:v>
      </x:c>
      <x:c r="P34" t="n">
        <x:v>0</x:v>
      </x:c>
      <x:c r="Q34" t="str">
        <x:v>No separate critical-path duration assigned; drainage progresses with retaining construction.</x:v>
      </x:c>
    </x:row>
    <x:row r="35" ht="15" hidden="0" customHeight="1">
      <x:c r="A35" t="n">
        <x:v>34</x:v>
      </x:c>
      <x:c r="B35" t="n">
        <x:v>1</x:v>
      </x:c>
      <x:c r="C35" t="str"/>
      <x:c r="D35" t="str">
        <x:v>Testing, As-Builts &amp; Compliance</x:v>
      </x:c>
      <x:c r="E35" t="str">
        <x:v>0 days</x:v>
      </x:c>
      <x:c r="F35" t="str"/>
      <x:c r="G35" t="str"/>
      <x:c r="H35" t="str"/>
      <x:c r="I35" t="str"/>
      <x:c r="J35" t="str"/>
      <x:c r="K35" t="str">
        <x:v>Summary</x:v>
      </x:c>
      <x:c r="L35" t="str">
        <x:v>Rev27</x:v>
      </x:c>
      <x:c r="M35" t="str"/>
      <x:c r="N35" t="str"/>
      <x:c r="O35" t="str"/>
      <x:c r="P35" t="str"/>
      <x:c r="Q35" t="str">
        <x:v>Summary task</x:v>
      </x:c>
    </x:row>
    <x:row r="36" ht="15" hidden="0" customHeight="1">
      <x:c r="A36" t="n">
        <x:v>35</x:v>
      </x:c>
      <x:c r="B36" t="n">
        <x:v>2</x:v>
      </x:c>
      <x:c r="C36" t="str">
        <x:v>TC02</x:v>
      </x:c>
      <x:c r="D36" t="str">
        <x:v>Survey setout / as-built support for Siteworks package</x:v>
      </x:c>
      <x:c r="E36" t="str">
        <x:v>0 days</x:v>
      </x:c>
      <x:c r="F36" t="str"/>
      <x:c r="G36" t="n">
        <x:v>0</x:v>
      </x:c>
      <x:c r="H36" t="str"/>
      <x:c r="I36" t="str"/>
      <x:c r="J36" t="str">
        <x:v>TC02 basic survey/setout/as-built support</x:v>
      </x:c>
      <x:c r="K36" t="str">
        <x:v>Testing, As-Builts &amp; Compliance</x:v>
      </x:c>
      <x:c r="L36" t="str">
        <x:v>329 Hobsonville Road Estimate Rev27</x:v>
      </x:c>
      <x:c r="M36" t="n">
        <x:v>0</x:v>
      </x:c>
      <x:c r="N36" t="str">
        <x:v>LS</x:v>
      </x:c>
      <x:c r="O36" t="str"/>
      <x:c r="P36" t="n">
        <x:v>0</x:v>
      </x:c>
      <x:c r="Q36" t="str">
        <x:v>No separate task duration until principal-contractor survey responsibility is confirmed.</x:v>
      </x:c>
    </x:row>
    <x:row r="37" ht="15" hidden="0" customHeight="1">
      <x:c r="A37" t="n">
        <x:v>36</x:v>
      </x:c>
      <x:c r="B37" t="n">
        <x:v>1</x:v>
      </x:c>
      <x:c r="C37" t="str"/>
      <x:c r="D37" t="str">
        <x:v>Drainage Interface - By Others</x:v>
      </x:c>
      <x:c r="E37" t="str">
        <x:v>0 days</x:v>
      </x:c>
      <x:c r="F37" t="str"/>
      <x:c r="G37" t="str"/>
      <x:c r="H37" t="str"/>
      <x:c r="I37" t="str"/>
      <x:c r="J37" t="str"/>
      <x:c r="K37" t="str">
        <x:v>Summary</x:v>
      </x:c>
      <x:c r="L37" t="str">
        <x:v>Rev27</x:v>
      </x:c>
      <x:c r="M37" t="str"/>
      <x:c r="N37" t="str"/>
      <x:c r="O37" t="str"/>
      <x:c r="P37" t="str"/>
      <x:c r="Q37" t="str">
        <x:v>Summary task</x:v>
      </x:c>
    </x:row>
    <x:row r="38" ht="15" hidden="0" customHeight="1">
      <x:c r="A38" t="n">
        <x:v>37</x:v>
      </x:c>
      <x:c r="B38" t="n">
        <x:v>2</x:v>
      </x:c>
      <x:c r="C38" t="str">
        <x:v>DRN-REF01</x:v>
      </x:c>
      <x:c r="D38" t="str">
        <x:v>Jason / Allied private drainage package - 21WD reference</x:v>
      </x:c>
      <x:c r="E38" t="str">
        <x:v>21 days</x:v>
      </x:c>
      <x:c r="F38" t="str">
        <x:v>7</x:v>
      </x:c>
      <x:c r="G38" t="n">
        <x:v>0</x:v>
      </x:c>
      <x:c r="H38" t="str"/>
      <x:c r="I38" t="str"/>
      <x:c r="J38" t="str">
        <x:v>Ref25237 labour split: 10 days private stormwater + 8 days wastewater + 3 days retaining-wall Novacoil</x:v>
      </x:c>
      <x:c r="K38" t="str">
        <x:v>Drainage Interface - By Others</x:v>
      </x:c>
      <x:c r="L38" t="str">
        <x:v>329 Hobsonville Road Estimate Rev27</x:v>
      </x:c>
      <x:c r="M38" t="n">
        <x:v>21</x:v>
      </x:c>
      <x:c r="N38" t="str">
        <x:v>WD</x:v>
      </x:c>
      <x:c r="O38" t="n">
        <x:v>0</x:v>
      </x:c>
      <x:c r="P38" t="n">
        <x:v>0</x:v>
      </x:c>
      <x:c r="Q38" t="str">
        <x:v>Jason clarification 10-Sep-2026. The quote carries one 21-day labour pool; the 10/8/3 allocation is cost/scope allocation, not an evidenced task sequence, so the programme retains one 21WD reference task rather than inventing dependencies. Public Quote1078 duration is still not stated.</x:v>
      </x:c>
    </x:row>
    <x:row r="39" ht="15" hidden="0" customHeight="1">
      <x:c r="A39" t="n">
        <x:v>38</x:v>
      </x:c>
      <x:c r="B39" t="n">
        <x:v>1</x:v>
      </x:c>
      <x:c r="C39" t="str">
        <x:v>MILESTONE-PC</x:v>
      </x:c>
      <x:c r="D39" t="str">
        <x:v>Siteworks practical completion / handover milestone</x:v>
      </x:c>
      <x:c r="E39" t="str">
        <x:v>0 days</x:v>
      </x:c>
      <x:c r="F39" t="str">
        <x:v>18;20;25;29;30</x:v>
      </x:c>
      <x:c r="G39" t="n">
        <x:v>0</x:v>
      </x:c>
      <x:c r="H39" t="str"/>
      <x:c r="I39" t="str"/>
      <x:c r="J39" t="str"/>
      <x:c r="K39" t="str">
        <x:v>Milestone</x:v>
      </x:c>
      <x:c r="L39" t="str">
        <x:v>Rev27</x:v>
      </x:c>
      <x:c r="M39" t="str"/>
      <x:c r="N39" t="str"/>
      <x:c r="O39" t="str"/>
      <x:c r="P39" t="n">
        <x:v>0</x:v>
      </x:c>
      <x:c r="Q39" t="str">
        <x:v>Working tender milestone; actual calendar/procurement after award.</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058" t="str">
        <x:v>WEATHER REV29 RUN — ARCHIVED / NOT CURRENT</x:v>
      </x:c>
      <x:c r="B1" s="1058"/>
      <x:c r="C1" s="1058"/>
      <x:c r="D1" s="1058"/>
      <x:c r="E1" s="1058"/>
      <x:c r="F1" s="1058"/>
      <x:c r="G1" s="1058"/>
      <x:c r="H1" s="1058"/>
      <x:c r="I1"/>
      <x:c r="J1"/>
      <x:c r="K1"/>
      <x:c r="L1"/>
      <x:c r="M1"/>
      <x:c r="N1"/>
      <x:c r="O1"/>
      <x:c r="P1"/>
      <x:c r="Q1"/>
      <x:c r="R1"/>
      <x:c r="S1"/>
      <x:c r="T1"/>
      <x:c r="U1"/>
      <x:c r="V1"/>
      <x:c r="W1"/>
    </x:row>
    <x:row r="2">
      <x:c r="A2"/>
      <x:c r="B2"/>
      <x:c r="C2"/>
      <x:c r="D2"/>
      <x:c r="E2"/>
      <x:c r="F2"/>
      <x:c r="G2"/>
      <x:c r="H2"/>
      <x:c r="I2"/>
      <x:c r="J2"/>
      <x:c r="K2"/>
      <x:c r="L2"/>
      <x:c r="M2"/>
      <x:c r="N2"/>
      <x:c r="O2"/>
      <x:c r="P2"/>
      <x:c r="Q2"/>
      <x:c r="R2"/>
      <x:c r="S2"/>
      <x:c r="T2"/>
      <x:c r="U2"/>
      <x:c r="V2"/>
      <x:c r="W2"/>
    </x:row>
    <x:row r="3">
      <x:c r="A3" s="1031" t="str">
        <x:v>Historical weather-run worksheet retained only as an audit stub. Do not use this tab for pricing, programme or tender decisions. The only current working weather view is the 'Weather Risk' tab.</x:v>
      </x:c>
      <x:c r="B3" s="1031"/>
      <x:c r="C3" s="1031"/>
      <x:c r="D3" s="1031"/>
      <x:c r="E3" s="1031"/>
      <x:c r="F3" s="1031"/>
      <x:c r="G3" s="1031"/>
      <x:c r="H3" s="1031"/>
      <x:c r="I3"/>
      <x:c r="J3"/>
      <x:c r="K3"/>
      <x:c r="L3"/>
      <x:c r="M3"/>
      <x:c r="N3"/>
      <x:c r="O3"/>
      <x:c r="P3"/>
      <x:c r="Q3"/>
      <x:c r="R3"/>
      <x:c r="S3"/>
      <x:c r="T3"/>
      <x:c r="U3"/>
      <x:c r="V3"/>
      <x:c r="W3"/>
    </x:row>
    <x:row r="4">
      <x:c r="A4" s="1031"/>
      <x:c r="B4" s="1031"/>
      <x:c r="C4" s="1031"/>
      <x:c r="D4" s="1031"/>
      <x:c r="E4" s="1031"/>
      <x:c r="F4" s="1031"/>
      <x:c r="G4" s="1031"/>
      <x:c r="H4" s="1031"/>
      <x:c r="I4"/>
      <x:c r="J4"/>
      <x:c r="K4"/>
      <x:c r="L4"/>
      <x:c r="M4"/>
      <x:c r="N4"/>
      <x:c r="O4"/>
      <x:c r="P4"/>
      <x:c r="Q4"/>
      <x:c r="R4"/>
      <x:c r="S4"/>
      <x:c r="T4"/>
      <x:c r="U4"/>
      <x:c r="V4"/>
      <x:c r="W4"/>
    </x:row>
    <x:row r="5">
      <x:c r="A5" s="1031"/>
      <x:c r="B5" s="1031"/>
      <x:c r="C5" s="1031"/>
      <x:c r="D5" s="1031"/>
      <x:c r="E5" s="1031"/>
      <x:c r="F5" s="1031"/>
      <x:c r="G5" s="1031"/>
      <x:c r="H5" s="1031"/>
      <x:c r="I5"/>
      <x:c r="J5"/>
      <x:c r="K5"/>
      <x:c r="L5"/>
      <x:c r="M5"/>
      <x:c r="N5"/>
      <x:c r="O5"/>
      <x:c r="P5"/>
      <x:c r="Q5"/>
      <x:c r="R5"/>
      <x:c r="S5"/>
      <x:c r="T5"/>
      <x:c r="U5"/>
      <x:c r="V5"/>
      <x:c r="W5"/>
    </x:row>
    <x:row r="6">
      <x:c r="A6" s="1031"/>
      <x:c r="B6" s="1031"/>
      <x:c r="C6" s="1031"/>
      <x:c r="D6" s="1031"/>
      <x:c r="E6" s="1031"/>
      <x:c r="F6" s="1031"/>
      <x:c r="G6" s="1031"/>
      <x:c r="H6" s="1031"/>
      <x:c r="I6"/>
      <x:c r="J6"/>
      <x:c r="K6"/>
      <x:c r="L6"/>
      <x:c r="M6"/>
      <x:c r="N6"/>
      <x:c r="O6"/>
      <x:c r="P6"/>
      <x:c r="Q6"/>
      <x:c r="R6"/>
      <x:c r="S6"/>
      <x:c r="T6"/>
      <x:c r="U6"/>
      <x:c r="V6"/>
      <x:c r="W6"/>
    </x:row>
    <x:row r="7">
      <x:c r="A7"/>
      <x:c r="B7"/>
      <x:c r="C7"/>
      <x:c r="D7"/>
      <x:c r="E7"/>
      <x:c r="F7"/>
      <x:c r="G7"/>
      <x:c r="H7"/>
      <x:c r="I7"/>
      <x:c r="J7"/>
      <x:c r="K7"/>
      <x:c r="L7"/>
      <x:c r="M7"/>
      <x:c r="N7"/>
      <x:c r="O7"/>
      <x:c r="P7"/>
      <x:c r="Q7"/>
      <x:c r="R7"/>
      <x:c r="S7"/>
      <x:c r="T7"/>
      <x:c r="U7"/>
      <x:c r="V7"/>
      <x:c r="W7"/>
    </x:row>
    <x:row r="8">
      <x:c r="A8"/>
      <x:c r="B8"/>
      <x:c r="C8"/>
      <x:c r="D8"/>
      <x:c r="E8"/>
      <x:c r="F8"/>
      <x:c r="G8"/>
      <x:c r="H8"/>
      <x:c r="I8"/>
      <x:c r="J8"/>
      <x:c r="K8"/>
      <x:c r="L8"/>
      <x:c r="M8"/>
      <x:c r="N8"/>
      <x:c r="O8"/>
      <x:c r="P8"/>
      <x:c r="Q8"/>
      <x:c r="R8"/>
      <x:c r="S8"/>
      <x:c r="T8"/>
      <x:c r="U8"/>
      <x:c r="V8"/>
      <x:c r="W8"/>
    </x:row>
    <x:row r="9">
      <x:c r="A9"/>
      <x:c r="B9"/>
      <x:c r="C9"/>
      <x:c r="D9"/>
      <x:c r="E9"/>
      <x:c r="F9"/>
      <x:c r="G9"/>
      <x:c r="H9"/>
      <x:c r="I9"/>
      <x:c r="J9"/>
      <x:c r="K9"/>
      <x:c r="L9"/>
      <x:c r="M9"/>
      <x:c r="N9"/>
      <x:c r="O9"/>
      <x:c r="P9"/>
      <x:c r="Q9"/>
      <x:c r="R9"/>
      <x:c r="S9"/>
      <x:c r="T9"/>
      <x:c r="U9"/>
      <x:c r="V9"/>
      <x:c r="W9"/>
    </x:row>
    <x:row r="10">
      <x:c r="A10"/>
      <x:c r="B10"/>
      <x:c r="C10"/>
      <x:c r="D10"/>
      <x:c r="E10"/>
      <x:c r="F10"/>
      <x:c r="G10"/>
      <x:c r="H10"/>
      <x:c r="I10"/>
      <x:c r="J10"/>
      <x:c r="K10"/>
      <x:c r="L10"/>
      <x:c r="M10"/>
      <x:c r="N10"/>
      <x:c r="O10"/>
      <x:c r="P10"/>
      <x:c r="Q10"/>
      <x:c r="R10"/>
      <x:c r="S10"/>
      <x:c r="T10"/>
      <x:c r="U10"/>
      <x:c r="V10"/>
      <x:c r="W10"/>
    </x:row>
    <x:row r="11">
      <x:c r="A11"/>
      <x:c r="B11"/>
      <x:c r="C11"/>
      <x:c r="D11"/>
      <x:c r="E11"/>
      <x:c r="F11"/>
      <x:c r="G11"/>
      <x:c r="H11"/>
      <x:c r="I11"/>
      <x:c r="J11"/>
      <x:c r="K11"/>
      <x:c r="L11"/>
      <x:c r="M11"/>
      <x:c r="N11"/>
      <x:c r="O11"/>
      <x:c r="P11"/>
      <x:c r="Q11"/>
      <x:c r="R11"/>
      <x:c r="S11"/>
      <x:c r="T11"/>
      <x:c r="U11"/>
      <x:c r="V11"/>
      <x:c r="W11"/>
    </x:row>
    <x:row r="12">
      <x:c r="A12"/>
      <x:c r="B12"/>
      <x:c r="C12"/>
      <x:c r="D12"/>
      <x:c r="E12"/>
      <x:c r="F12"/>
      <x:c r="G12"/>
      <x:c r="H12"/>
      <x:c r="I12"/>
      <x:c r="J12"/>
      <x:c r="K12"/>
      <x:c r="L12"/>
      <x:c r="M12"/>
      <x:c r="N12"/>
      <x:c r="O12"/>
      <x:c r="P12"/>
      <x:c r="Q12"/>
      <x:c r="R12"/>
      <x:c r="S12"/>
      <x:c r="T12"/>
      <x:c r="U12"/>
      <x:c r="V12"/>
      <x:c r="W12"/>
    </x:row>
    <x:row r="13">
      <x:c r="A13"/>
      <x:c r="B13"/>
      <x:c r="C13"/>
      <x:c r="D13"/>
      <x:c r="E13"/>
      <x:c r="F13"/>
      <x:c r="G13"/>
      <x:c r="H13"/>
      <x:c r="I13"/>
      <x:c r="J13"/>
      <x:c r="K13"/>
      <x:c r="L13"/>
      <x:c r="M13"/>
      <x:c r="N13"/>
      <x:c r="O13"/>
      <x:c r="P13"/>
      <x:c r="Q13"/>
      <x:c r="R13"/>
      <x:c r="S13"/>
      <x:c r="T13"/>
      <x:c r="U13"/>
      <x:c r="V13"/>
      <x:c r="W13"/>
    </x:row>
    <x:row r="14">
      <x:c r="A14"/>
      <x:c r="B14"/>
      <x:c r="C14"/>
      <x:c r="D14"/>
      <x:c r="E14"/>
      <x:c r="F14"/>
      <x:c r="G14"/>
      <x:c r="H14"/>
      <x:c r="I14"/>
      <x:c r="J14"/>
      <x:c r="K14"/>
      <x:c r="L14"/>
      <x:c r="M14"/>
      <x:c r="N14"/>
      <x:c r="O14"/>
      <x:c r="P14"/>
      <x:c r="Q14"/>
      <x:c r="R14"/>
      <x:c r="S14"/>
      <x:c r="T14"/>
      <x:c r="U14"/>
      <x:c r="V14"/>
      <x:c r="W14"/>
    </x:row>
    <x:row r="15">
      <x:c r="A15"/>
      <x:c r="B15"/>
      <x:c r="C15"/>
      <x:c r="D15"/>
      <x:c r="E15"/>
      <x:c r="F15"/>
      <x:c r="G15"/>
      <x:c r="H15"/>
      <x:c r="I15"/>
      <x:c r="J15"/>
      <x:c r="K15"/>
      <x:c r="L15"/>
      <x:c r="M15"/>
      <x:c r="N15"/>
      <x:c r="O15"/>
      <x:c r="P15"/>
      <x:c r="Q15"/>
      <x:c r="R15"/>
      <x:c r="S15"/>
      <x:c r="T15"/>
      <x:c r="U15"/>
      <x:c r="V15"/>
      <x:c r="W15"/>
    </x:row>
    <x:row r="16">
      <x:c r="A16"/>
      <x:c r="B16"/>
      <x:c r="C16"/>
      <x:c r="D16"/>
      <x:c r="E16"/>
      <x:c r="F16"/>
      <x:c r="G16"/>
      <x:c r="H16"/>
      <x:c r="I16"/>
      <x:c r="J16"/>
      <x:c r="K16"/>
      <x:c r="L16"/>
      <x:c r="M16"/>
      <x:c r="N16"/>
      <x:c r="O16"/>
      <x:c r="P16"/>
      <x:c r="Q16"/>
      <x:c r="R16"/>
      <x:c r="S16"/>
      <x:c r="T16"/>
      <x:c r="U16"/>
      <x:c r="V16"/>
      <x:c r="W16"/>
    </x:row>
    <x:row r="17">
      <x:c r="A17"/>
      <x:c r="B17"/>
      <x:c r="C17"/>
      <x:c r="D17"/>
      <x:c r="E17"/>
      <x:c r="F17"/>
      <x:c r="G17"/>
      <x:c r="H17"/>
      <x:c r="I17"/>
      <x:c r="J17"/>
      <x:c r="K17"/>
      <x:c r="L17"/>
      <x:c r="M17"/>
      <x:c r="N17"/>
      <x:c r="O17"/>
      <x:c r="P17"/>
      <x:c r="Q17"/>
      <x:c r="R17"/>
      <x:c r="S17"/>
      <x:c r="T17"/>
      <x:c r="U17"/>
      <x:c r="V17"/>
      <x:c r="W17"/>
    </x:row>
    <x:row r="18">
      <x:c r="A18"/>
      <x:c r="B18"/>
      <x:c r="C18"/>
      <x:c r="D18"/>
      <x:c r="E18"/>
      <x:c r="F18"/>
      <x:c r="G18"/>
      <x:c r="H18"/>
      <x:c r="I18"/>
      <x:c r="J18"/>
      <x:c r="K18"/>
      <x:c r="L18"/>
      <x:c r="M18"/>
      <x:c r="N18"/>
      <x:c r="O18"/>
      <x:c r="P18"/>
      <x:c r="Q18"/>
      <x:c r="R18"/>
      <x:c r="S18"/>
      <x:c r="T18"/>
      <x:c r="U18"/>
      <x:c r="V18"/>
      <x:c r="W18"/>
    </x:row>
    <x:row r="19">
      <x:c r="A19"/>
      <x:c r="B19"/>
      <x:c r="C19"/>
      <x:c r="D19"/>
      <x:c r="E19"/>
      <x:c r="F19"/>
      <x:c r="G19"/>
      <x:c r="H19"/>
      <x:c r="I19"/>
      <x:c r="J19"/>
      <x:c r="K19"/>
      <x:c r="L19"/>
      <x:c r="M19"/>
      <x:c r="N19"/>
      <x:c r="O19"/>
      <x:c r="P19"/>
      <x:c r="Q19"/>
      <x:c r="R19"/>
      <x:c r="S19"/>
      <x:c r="T19"/>
      <x:c r="U19"/>
      <x:c r="V19"/>
      <x:c r="W19"/>
    </x:row>
    <x:row r="20">
      <x:c r="A20"/>
      <x:c r="B20"/>
      <x:c r="C20"/>
      <x:c r="D20"/>
      <x:c r="E20"/>
      <x:c r="F20"/>
      <x:c r="G20"/>
      <x:c r="H20"/>
      <x:c r="I20"/>
      <x:c r="J20"/>
      <x:c r="K20"/>
      <x:c r="L20"/>
      <x:c r="M20"/>
      <x:c r="N20"/>
      <x:c r="O20"/>
      <x:c r="P20"/>
      <x:c r="Q20"/>
      <x:c r="R20"/>
      <x:c r="S20"/>
      <x:c r="T20"/>
      <x:c r="U20"/>
      <x:c r="V20"/>
      <x:c r="W20"/>
    </x:row>
    <x:row r="21">
      <x:c r="A21"/>
      <x:c r="B21"/>
      <x:c r="C21"/>
      <x:c r="D21"/>
      <x:c r="E21"/>
      <x:c r="F21"/>
      <x:c r="G21"/>
      <x:c r="H21"/>
      <x:c r="I21"/>
      <x:c r="J21"/>
      <x:c r="K21"/>
      <x:c r="L21"/>
      <x:c r="M21"/>
      <x:c r="N21"/>
      <x:c r="O21"/>
      <x:c r="P21"/>
      <x:c r="Q21"/>
      <x:c r="R21"/>
      <x:c r="S21"/>
      <x:c r="T21"/>
      <x:c r="U21"/>
      <x:c r="V21"/>
      <x:c r="W21"/>
    </x:row>
    <x:row r="22">
      <x:c r="A22"/>
      <x:c r="B22"/>
      <x:c r="C22"/>
      <x:c r="D22"/>
      <x:c r="E22"/>
      <x:c r="F22"/>
      <x:c r="G22"/>
      <x:c r="H22"/>
      <x:c r="I22"/>
      <x:c r="J22"/>
      <x:c r="K22"/>
      <x:c r="L22"/>
      <x:c r="M22"/>
      <x:c r="N22"/>
      <x:c r="O22"/>
      <x:c r="P22"/>
      <x:c r="Q22"/>
      <x:c r="R22"/>
      <x:c r="S22"/>
      <x:c r="T22"/>
      <x:c r="U22"/>
      <x:c r="V22"/>
      <x:c r="W22"/>
    </x:row>
    <x:row r="23">
      <x:c r="A23"/>
      <x:c r="B23"/>
      <x:c r="C23"/>
      <x:c r="D23"/>
      <x:c r="E23"/>
      <x:c r="F23"/>
      <x:c r="G23"/>
      <x:c r="H23"/>
      <x:c r="I23"/>
      <x:c r="J23"/>
      <x:c r="K23"/>
      <x:c r="L23"/>
      <x:c r="M23"/>
      <x:c r="N23"/>
      <x:c r="O23"/>
      <x:c r="P23"/>
      <x:c r="Q23"/>
      <x:c r="R23"/>
      <x:c r="S23"/>
      <x:c r="T23"/>
      <x:c r="U23"/>
      <x:c r="V23"/>
      <x:c r="W23"/>
    </x:row>
    <x:row r="24">
      <x:c r="A24"/>
      <x:c r="B24"/>
      <x:c r="C24"/>
      <x:c r="D24"/>
      <x:c r="E24"/>
      <x:c r="F24"/>
      <x:c r="G24"/>
      <x:c r="H24"/>
      <x:c r="I24"/>
      <x:c r="J24"/>
      <x:c r="K24"/>
      <x:c r="L24"/>
      <x:c r="M24"/>
      <x:c r="N24"/>
      <x:c r="O24"/>
      <x:c r="P24"/>
      <x:c r="Q24"/>
      <x:c r="R24"/>
      <x:c r="S24"/>
      <x:c r="T24"/>
      <x:c r="U24"/>
      <x:c r="V24"/>
      <x:c r="W24"/>
    </x:row>
    <x:row r="25">
      <x:c r="A25"/>
      <x:c r="B25"/>
      <x:c r="C25"/>
      <x:c r="D25"/>
      <x:c r="E25"/>
      <x:c r="F25"/>
      <x:c r="G25"/>
      <x:c r="H25"/>
      <x:c r="I25"/>
      <x:c r="J25"/>
      <x:c r="K25"/>
      <x:c r="L25"/>
      <x:c r="M25"/>
      <x:c r="N25"/>
      <x:c r="O25"/>
      <x:c r="P25"/>
      <x:c r="Q25"/>
      <x:c r="R25"/>
      <x:c r="S25"/>
      <x:c r="T25"/>
      <x:c r="U25"/>
      <x:c r="V25"/>
      <x:c r="W25"/>
    </x:row>
    <x:row r="26">
      <x:c r="A26"/>
      <x:c r="B26"/>
      <x:c r="C26"/>
      <x:c r="D26"/>
      <x:c r="E26"/>
      <x:c r="F26"/>
      <x:c r="G26"/>
      <x:c r="H26"/>
      <x:c r="I26"/>
      <x:c r="J26"/>
      <x:c r="K26"/>
      <x:c r="L26"/>
      <x:c r="M26"/>
      <x:c r="N26"/>
      <x:c r="O26"/>
      <x:c r="P26"/>
      <x:c r="Q26"/>
      <x:c r="R26"/>
      <x:c r="S26"/>
      <x:c r="T26"/>
      <x:c r="U26"/>
      <x:c r="V26"/>
      <x:c r="W26"/>
    </x:row>
    <x:row r="27">
      <x:c r="A27"/>
      <x:c r="B27"/>
      <x:c r="C27"/>
      <x:c r="D27"/>
      <x:c r="E27"/>
      <x:c r="F27"/>
      <x:c r="G27"/>
      <x:c r="H27"/>
      <x:c r="I27"/>
      <x:c r="J27"/>
      <x:c r="K27"/>
      <x:c r="L27"/>
      <x:c r="M27"/>
      <x:c r="N27"/>
      <x:c r="O27"/>
      <x:c r="P27"/>
      <x:c r="Q27"/>
      <x:c r="R27"/>
      <x:c r="S27"/>
      <x:c r="T27"/>
      <x:c r="U27"/>
      <x:c r="V27"/>
      <x:c r="W27"/>
    </x:row>
    <x:row r="28">
      <x:c r="A28"/>
      <x:c r="B28"/>
      <x:c r="C28"/>
      <x:c r="D28"/>
      <x:c r="E28"/>
      <x:c r="F28"/>
      <x:c r="G28"/>
      <x:c r="H28"/>
      <x:c r="I28"/>
      <x:c r="J28"/>
      <x:c r="K28"/>
      <x:c r="L28"/>
      <x:c r="M28"/>
      <x:c r="N28"/>
      <x:c r="O28"/>
      <x:c r="P28"/>
      <x:c r="Q28"/>
      <x:c r="R28"/>
      <x:c r="S28"/>
      <x:c r="T28"/>
      <x:c r="U28"/>
      <x:c r="V28"/>
      <x:c r="W28"/>
    </x:row>
    <x:row r="29">
      <x:c r="A29"/>
      <x:c r="B29"/>
      <x:c r="C29"/>
      <x:c r="D29"/>
      <x:c r="E29"/>
      <x:c r="F29"/>
      <x:c r="G29"/>
      <x:c r="H29"/>
      <x:c r="I29"/>
      <x:c r="J29"/>
      <x:c r="K29"/>
      <x:c r="L29"/>
      <x:c r="M29"/>
      <x:c r="N29"/>
      <x:c r="O29"/>
      <x:c r="P29"/>
      <x:c r="Q29"/>
      <x:c r="R29"/>
      <x:c r="S29"/>
      <x:c r="T29"/>
      <x:c r="U29"/>
      <x:c r="V29"/>
      <x:c r="W29"/>
    </x:row>
  </x:sheetData>
  <x:mergeCells>
    <x:mergeCell ref="A1:H1"/>
    <x:mergeCell ref="A3:H6"/>
  </x:mergeCells>
  <x:pageMargins left="0.7" right="0.7" top="0.75" bottom="0.75" header="0.3" footer="0.3"/>
</x:worksheet>
</file>

<file path=xl/worksheets/sheet25.xml><?xml version="1.0" encoding="utf-8"?>
<x:worksheet xmlns:x="http://schemas.openxmlformats.org/spreadsheetml/2006/main">
  <x:sheetFormatPr defaultRowHeight="15"/>
  <x:cols>
    <x:col min="1" max="1" width="24" hidden="0" customWidth="1"/>
    <x:col min="2" max="2" width="1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058" t="str">
        <x:v>WEATHER REV33 RUN — ARCHIVED / NOT CURRENT</x:v>
      </x:c>
      <x:c r="B1" s="1058"/>
      <x:c r="C1" s="1058"/>
      <x:c r="D1" s="1058"/>
      <x:c r="E1" s="1058"/>
      <x:c r="F1" s="1058"/>
      <x:c r="G1" s="1058"/>
      <x:c r="H1" s="1058"/>
      <x:c r="I1"/>
      <x:c r="J1"/>
      <x:c r="K1"/>
      <x:c r="L1"/>
      <x:c r="M1"/>
      <x:c r="N1"/>
      <x:c r="O1"/>
      <x:c r="P1"/>
      <x:c r="Q1"/>
      <x:c r="R1"/>
      <x:c r="S1"/>
      <x:c r="T1"/>
      <x:c r="U1"/>
      <x:c r="V1"/>
    </x:row>
    <x:row r="2">
      <x:c r="A2"/>
      <x:c r="B2"/>
      <x:c r="C2"/>
      <x:c r="D2"/>
      <x:c r="E2"/>
      <x:c r="F2"/>
      <x:c r="G2"/>
      <x:c r="H2"/>
      <x:c r="I2"/>
      <x:c r="J2"/>
      <x:c r="K2"/>
      <x:c r="L2"/>
      <x:c r="M2"/>
      <x:c r="N2"/>
      <x:c r="O2"/>
      <x:c r="P2"/>
      <x:c r="Q2"/>
      <x:c r="R2"/>
      <x:c r="S2"/>
      <x:c r="T2"/>
      <x:c r="U2"/>
      <x:c r="V2"/>
    </x:row>
    <x:row r="3">
      <x:c r="A3" s="1031" t="str">
        <x:v>Historical weather-run worksheet retained only as an audit stub. Do not use this tab for pricing, programme or tender decisions. The only current working weather view is the 'Weather Risk' tab.</x:v>
      </x:c>
      <x:c r="B3" s="1031"/>
      <x:c r="C3" s="1031"/>
      <x:c r="D3" s="1031"/>
      <x:c r="E3" s="1031"/>
      <x:c r="F3" s="1031"/>
      <x:c r="G3" s="1031"/>
      <x:c r="H3" s="1031"/>
      <x:c r="I3"/>
      <x:c r="J3"/>
      <x:c r="K3"/>
      <x:c r="L3"/>
      <x:c r="M3"/>
      <x:c r="N3"/>
      <x:c r="O3"/>
      <x:c r="P3"/>
      <x:c r="Q3"/>
      <x:c r="R3"/>
      <x:c r="S3"/>
      <x:c r="T3"/>
      <x:c r="U3"/>
      <x:c r="V3"/>
    </x:row>
    <x:row r="4">
      <x:c r="A4" s="1031"/>
      <x:c r="B4" s="1031"/>
      <x:c r="C4" s="1031"/>
      <x:c r="D4" s="1031"/>
      <x:c r="E4" s="1031"/>
      <x:c r="F4" s="1031"/>
      <x:c r="G4" s="1031"/>
      <x:c r="H4" s="1031"/>
      <x:c r="I4"/>
      <x:c r="J4"/>
      <x:c r="K4"/>
      <x:c r="L4"/>
      <x:c r="M4"/>
      <x:c r="N4"/>
      <x:c r="O4"/>
      <x:c r="P4"/>
      <x:c r="Q4"/>
      <x:c r="R4"/>
      <x:c r="S4"/>
      <x:c r="T4"/>
      <x:c r="U4"/>
      <x:c r="V4"/>
    </x:row>
    <x:row r="5">
      <x:c r="A5" s="1031"/>
      <x:c r="B5" s="1031"/>
      <x:c r="C5" s="1031"/>
      <x:c r="D5" s="1031"/>
      <x:c r="E5" s="1031"/>
      <x:c r="F5" s="1031"/>
      <x:c r="G5" s="1031"/>
      <x:c r="H5" s="1031"/>
      <x:c r="I5"/>
      <x:c r="J5"/>
      <x:c r="K5"/>
      <x:c r="L5"/>
      <x:c r="M5"/>
      <x:c r="N5"/>
      <x:c r="O5"/>
      <x:c r="P5"/>
      <x:c r="Q5"/>
      <x:c r="R5"/>
      <x:c r="S5"/>
      <x:c r="T5"/>
      <x:c r="U5"/>
      <x:c r="V5"/>
    </x:row>
    <x:row r="6">
      <x:c r="A6" s="1031"/>
      <x:c r="B6" s="1031"/>
      <x:c r="C6" s="1031"/>
      <x:c r="D6" s="1031"/>
      <x:c r="E6" s="1031"/>
      <x:c r="F6" s="1031"/>
      <x:c r="G6" s="1031"/>
      <x:c r="H6" s="1031"/>
      <x:c r="I6"/>
      <x:c r="J6"/>
      <x:c r="K6"/>
      <x:c r="L6"/>
      <x:c r="M6"/>
      <x:c r="N6"/>
      <x:c r="O6"/>
      <x:c r="P6"/>
      <x:c r="Q6"/>
      <x:c r="R6"/>
      <x:c r="S6"/>
      <x:c r="T6"/>
      <x:c r="U6"/>
      <x:c r="V6"/>
    </x:row>
    <x:row r="7">
      <x:c r="A7"/>
      <x:c r="B7"/>
      <x:c r="C7"/>
      <x:c r="D7"/>
      <x:c r="E7"/>
      <x:c r="F7"/>
      <x:c r="G7"/>
      <x:c r="H7"/>
      <x:c r="I7"/>
      <x:c r="J7"/>
      <x:c r="K7"/>
      <x:c r="L7"/>
      <x:c r="M7"/>
      <x:c r="N7"/>
      <x:c r="O7"/>
      <x:c r="P7"/>
      <x:c r="Q7"/>
      <x:c r="R7"/>
      <x:c r="S7"/>
      <x:c r="T7"/>
      <x:c r="U7"/>
      <x:c r="V7"/>
    </x:row>
    <x:row r="8">
      <x:c r="A8"/>
      <x:c r="B8"/>
      <x:c r="C8"/>
      <x:c r="D8"/>
      <x:c r="E8"/>
      <x:c r="F8"/>
      <x:c r="G8"/>
      <x:c r="H8"/>
      <x:c r="I8"/>
      <x:c r="J8"/>
      <x:c r="K8"/>
      <x:c r="L8"/>
      <x:c r="M8"/>
      <x:c r="N8"/>
      <x:c r="O8"/>
      <x:c r="P8"/>
      <x:c r="Q8"/>
      <x:c r="R8"/>
      <x:c r="S8"/>
      <x:c r="T8"/>
      <x:c r="U8"/>
      <x:c r="V8"/>
    </x:row>
    <x:row r="9">
      <x:c r="A9"/>
      <x:c r="B9"/>
      <x:c r="C9"/>
      <x:c r="D9"/>
      <x:c r="E9"/>
      <x:c r="F9"/>
      <x:c r="G9"/>
      <x:c r="H9"/>
      <x:c r="I9"/>
      <x:c r="J9"/>
      <x:c r="K9"/>
      <x:c r="L9"/>
      <x:c r="M9"/>
      <x:c r="N9"/>
      <x:c r="O9"/>
      <x:c r="P9"/>
      <x:c r="Q9"/>
      <x:c r="R9"/>
      <x:c r="S9"/>
      <x:c r="T9"/>
      <x:c r="U9"/>
      <x:c r="V9"/>
    </x:row>
    <x:row r="10">
      <x:c r="A10"/>
      <x:c r="B10"/>
      <x:c r="C10"/>
      <x:c r="D10"/>
      <x:c r="E10"/>
      <x:c r="F10"/>
      <x:c r="G10"/>
      <x:c r="H10"/>
      <x:c r="I10"/>
      <x:c r="J10"/>
      <x:c r="K10"/>
      <x:c r="L10"/>
      <x:c r="M10"/>
      <x:c r="N10"/>
      <x:c r="O10"/>
      <x:c r="P10"/>
      <x:c r="Q10"/>
      <x:c r="R10"/>
      <x:c r="S10"/>
      <x:c r="T10"/>
      <x:c r="U10"/>
      <x:c r="V10"/>
    </x:row>
    <x:row r="11">
      <x:c r="A11"/>
      <x:c r="B11"/>
      <x:c r="C11"/>
      <x:c r="D11"/>
      <x:c r="E11"/>
      <x:c r="F11"/>
      <x:c r="G11"/>
      <x:c r="H11"/>
      <x:c r="I11"/>
      <x:c r="J11"/>
      <x:c r="K11"/>
      <x:c r="L11"/>
      <x:c r="M11"/>
      <x:c r="N11"/>
      <x:c r="O11"/>
      <x:c r="P11"/>
      <x:c r="Q11"/>
      <x:c r="R11"/>
      <x:c r="S11"/>
      <x:c r="T11"/>
      <x:c r="U11"/>
      <x:c r="V11"/>
    </x:row>
    <x:row r="12">
      <x:c r="A12"/>
      <x:c r="B12"/>
      <x:c r="C12"/>
      <x:c r="D12"/>
      <x:c r="E12"/>
      <x:c r="F12"/>
      <x:c r="G12"/>
      <x:c r="H12"/>
      <x:c r="I12"/>
      <x:c r="J12"/>
      <x:c r="K12"/>
      <x:c r="L12"/>
      <x:c r="M12"/>
      <x:c r="N12"/>
      <x:c r="O12"/>
      <x:c r="P12"/>
      <x:c r="Q12"/>
      <x:c r="R12"/>
      <x:c r="S12"/>
      <x:c r="T12"/>
      <x:c r="U12"/>
      <x:c r="V12"/>
    </x:row>
    <x:row r="13">
      <x:c r="A13"/>
      <x:c r="B13"/>
      <x:c r="C13"/>
      <x:c r="D13"/>
      <x:c r="E13"/>
      <x:c r="F13"/>
      <x:c r="G13"/>
      <x:c r="H13"/>
      <x:c r="I13"/>
      <x:c r="J13"/>
      <x:c r="K13"/>
      <x:c r="L13"/>
      <x:c r="M13"/>
      <x:c r="N13"/>
      <x:c r="O13"/>
      <x:c r="P13"/>
      <x:c r="Q13"/>
      <x:c r="R13"/>
      <x:c r="S13"/>
      <x:c r="T13"/>
      <x:c r="U13"/>
      <x:c r="V13"/>
    </x:row>
    <x:row r="14">
      <x:c r="A14"/>
      <x:c r="B14"/>
      <x:c r="C14"/>
      <x:c r="D14"/>
      <x:c r="E14"/>
      <x:c r="F14"/>
      <x:c r="G14"/>
      <x:c r="H14"/>
      <x:c r="I14"/>
      <x:c r="J14"/>
      <x:c r="K14"/>
      <x:c r="L14"/>
      <x:c r="M14"/>
      <x:c r="N14"/>
      <x:c r="O14"/>
      <x:c r="P14"/>
      <x:c r="Q14"/>
      <x:c r="R14"/>
      <x:c r="S14"/>
      <x:c r="T14"/>
      <x:c r="U14"/>
      <x:c r="V14"/>
    </x:row>
    <x:row r="15">
      <x:c r="A15"/>
      <x:c r="B15"/>
      <x:c r="C15"/>
      <x:c r="D15"/>
      <x:c r="E15"/>
      <x:c r="F15"/>
      <x:c r="G15"/>
      <x:c r="H15"/>
      <x:c r="I15"/>
      <x:c r="J15"/>
      <x:c r="K15"/>
      <x:c r="L15"/>
      <x:c r="M15"/>
      <x:c r="N15"/>
      <x:c r="O15"/>
      <x:c r="P15"/>
      <x:c r="Q15"/>
      <x:c r="R15"/>
      <x:c r="S15"/>
      <x:c r="T15"/>
      <x:c r="U15"/>
      <x:c r="V15"/>
    </x:row>
    <x:row r="16">
      <x:c r="A16"/>
      <x:c r="B16"/>
      <x:c r="C16"/>
      <x:c r="D16"/>
      <x:c r="E16"/>
      <x:c r="F16"/>
      <x:c r="G16"/>
      <x:c r="H16"/>
      <x:c r="I16"/>
      <x:c r="J16"/>
      <x:c r="K16"/>
      <x:c r="L16"/>
      <x:c r="M16"/>
      <x:c r="N16"/>
      <x:c r="O16"/>
      <x:c r="P16"/>
      <x:c r="Q16"/>
      <x:c r="R16"/>
      <x:c r="S16"/>
      <x:c r="T16"/>
      <x:c r="U16"/>
      <x:c r="V16"/>
    </x:row>
    <x:row r="17">
      <x:c r="A17"/>
      <x:c r="B17"/>
      <x:c r="C17"/>
      <x:c r="D17"/>
      <x:c r="E17"/>
      <x:c r="F17"/>
      <x:c r="G17"/>
      <x:c r="H17"/>
      <x:c r="I17"/>
      <x:c r="J17"/>
      <x:c r="K17"/>
      <x:c r="L17"/>
      <x:c r="M17"/>
      <x:c r="N17"/>
      <x:c r="O17"/>
      <x:c r="P17"/>
      <x:c r="Q17"/>
      <x:c r="R17"/>
      <x:c r="S17"/>
      <x:c r="T17"/>
      <x:c r="U17"/>
      <x:c r="V17"/>
    </x:row>
    <x:row r="18">
      <x:c r="A18"/>
      <x:c r="B18"/>
      <x:c r="C18"/>
      <x:c r="D18"/>
      <x:c r="E18"/>
      <x:c r="F18"/>
      <x:c r="G18"/>
      <x:c r="H18"/>
      <x:c r="I18"/>
      <x:c r="J18"/>
      <x:c r="K18"/>
      <x:c r="L18"/>
      <x:c r="M18"/>
      <x:c r="N18"/>
      <x:c r="O18"/>
      <x:c r="P18"/>
      <x:c r="Q18"/>
      <x:c r="R18"/>
      <x:c r="S18"/>
      <x:c r="T18"/>
      <x:c r="U18"/>
      <x:c r="V18"/>
    </x:row>
    <x:row r="19">
      <x:c r="A19"/>
      <x:c r="B19"/>
      <x:c r="C19"/>
      <x:c r="D19"/>
      <x:c r="E19"/>
      <x:c r="F19"/>
      <x:c r="G19"/>
      <x:c r="H19"/>
      <x:c r="I19"/>
      <x:c r="J19"/>
      <x:c r="K19"/>
      <x:c r="L19"/>
      <x:c r="M19"/>
      <x:c r="N19"/>
      <x:c r="O19"/>
      <x:c r="P19"/>
      <x:c r="Q19"/>
      <x:c r="R19"/>
      <x:c r="S19"/>
      <x:c r="T19"/>
      <x:c r="U19"/>
      <x:c r="V19"/>
    </x:row>
    <x:row r="20">
      <x:c r="A20"/>
      <x:c r="B20"/>
      <x:c r="C20"/>
      <x:c r="D20"/>
      <x:c r="E20"/>
      <x:c r="F20"/>
      <x:c r="G20"/>
      <x:c r="H20"/>
      <x:c r="I20"/>
      <x:c r="J20"/>
      <x:c r="K20"/>
      <x:c r="L20"/>
      <x:c r="M20"/>
      <x:c r="N20"/>
      <x:c r="O20"/>
      <x:c r="P20"/>
      <x:c r="Q20"/>
      <x:c r="R20"/>
      <x:c r="S20"/>
      <x:c r="T20"/>
      <x:c r="U20"/>
      <x:c r="V20"/>
    </x:row>
    <x:row r="21">
      <x:c r="A21"/>
      <x:c r="B21"/>
      <x:c r="C21"/>
      <x:c r="D21"/>
      <x:c r="E21"/>
      <x:c r="F21"/>
      <x:c r="G21"/>
      <x:c r="H21"/>
      <x:c r="I21"/>
      <x:c r="J21"/>
      <x:c r="K21"/>
      <x:c r="L21"/>
      <x:c r="M21"/>
      <x:c r="N21"/>
      <x:c r="O21"/>
      <x:c r="P21"/>
      <x:c r="Q21"/>
      <x:c r="R21"/>
      <x:c r="S21"/>
      <x:c r="T21"/>
      <x:c r="U21"/>
      <x:c r="V21"/>
    </x:row>
    <x:row r="22">
      <x:c r="A22"/>
      <x:c r="B22"/>
      <x:c r="C22"/>
      <x:c r="D22"/>
      <x:c r="E22"/>
      <x:c r="F22"/>
      <x:c r="G22"/>
      <x:c r="H22"/>
      <x:c r="I22"/>
      <x:c r="J22"/>
      <x:c r="K22"/>
      <x:c r="L22"/>
      <x:c r="M22"/>
      <x:c r="N22"/>
      <x:c r="O22"/>
      <x:c r="P22"/>
      <x:c r="Q22"/>
      <x:c r="R22"/>
      <x:c r="S22"/>
      <x:c r="T22"/>
      <x:c r="U22"/>
      <x:c r="V22"/>
    </x:row>
    <x:row r="23">
      <x:c r="A23"/>
      <x:c r="B23"/>
      <x:c r="C23"/>
      <x:c r="D23"/>
      <x:c r="E23"/>
      <x:c r="F23"/>
      <x:c r="G23"/>
      <x:c r="H23"/>
      <x:c r="I23"/>
      <x:c r="J23"/>
      <x:c r="K23"/>
      <x:c r="L23"/>
      <x:c r="M23"/>
      <x:c r="N23"/>
      <x:c r="O23"/>
      <x:c r="P23"/>
      <x:c r="Q23"/>
      <x:c r="R23"/>
      <x:c r="S23"/>
      <x:c r="T23"/>
      <x:c r="U23"/>
      <x:c r="V23"/>
    </x:row>
    <x:row r="24">
      <x:c r="A24"/>
      <x:c r="B24"/>
      <x:c r="C24"/>
      <x:c r="D24"/>
      <x:c r="E24"/>
      <x:c r="F24"/>
      <x:c r="G24"/>
      <x:c r="H24"/>
      <x:c r="I24"/>
      <x:c r="J24"/>
      <x:c r="K24"/>
      <x:c r="L24"/>
      <x:c r="M24"/>
      <x:c r="N24"/>
      <x:c r="O24"/>
      <x:c r="P24"/>
      <x:c r="Q24"/>
      <x:c r="R24"/>
      <x:c r="S24"/>
      <x:c r="T24"/>
      <x:c r="U24"/>
      <x:c r="V24"/>
    </x:row>
    <x:row r="25">
      <x:c r="A25"/>
      <x:c r="B25"/>
      <x:c r="C25"/>
      <x:c r="D25"/>
      <x:c r="E25"/>
      <x:c r="F25"/>
      <x:c r="G25"/>
      <x:c r="H25"/>
      <x:c r="I25"/>
      <x:c r="J25"/>
      <x:c r="K25"/>
      <x:c r="L25"/>
      <x:c r="M25"/>
      <x:c r="N25"/>
      <x:c r="O25"/>
      <x:c r="P25"/>
      <x:c r="Q25"/>
      <x:c r="R25"/>
      <x:c r="S25"/>
      <x:c r="T25"/>
      <x:c r="U25"/>
      <x:c r="V25"/>
    </x:row>
    <x:row r="26">
      <x:c r="A26"/>
      <x:c r="B26"/>
      <x:c r="C26"/>
      <x:c r="D26"/>
      <x:c r="E26"/>
      <x:c r="F26"/>
      <x:c r="G26"/>
      <x:c r="H26"/>
      <x:c r="I26"/>
      <x:c r="J26"/>
      <x:c r="K26"/>
      <x:c r="L26"/>
      <x:c r="M26"/>
      <x:c r="N26"/>
      <x:c r="O26"/>
      <x:c r="P26"/>
      <x:c r="Q26"/>
      <x:c r="R26"/>
      <x:c r="S26"/>
      <x:c r="T26"/>
      <x:c r="U26"/>
      <x:c r="V26"/>
    </x:row>
    <x:row r="27">
      <x:c r="A27"/>
      <x:c r="B27"/>
      <x:c r="C27"/>
      <x:c r="D27"/>
      <x:c r="E27"/>
      <x:c r="F27"/>
      <x:c r="G27"/>
      <x:c r="H27"/>
      <x:c r="I27"/>
      <x:c r="J27"/>
      <x:c r="K27"/>
      <x:c r="L27"/>
      <x:c r="M27"/>
      <x:c r="N27"/>
      <x:c r="O27"/>
      <x:c r="P27"/>
      <x:c r="Q27"/>
      <x:c r="R27"/>
      <x:c r="S27"/>
      <x:c r="T27"/>
      <x:c r="U27"/>
      <x:c r="V27"/>
    </x:row>
    <x:row r="28">
      <x:c r="A28"/>
      <x:c r="B28"/>
      <x:c r="C28"/>
      <x:c r="D28"/>
      <x:c r="E28"/>
      <x:c r="F28"/>
      <x:c r="G28"/>
      <x:c r="H28"/>
      <x:c r="I28"/>
      <x:c r="J28"/>
      <x:c r="K28"/>
      <x:c r="L28"/>
      <x:c r="M28"/>
      <x:c r="N28"/>
      <x:c r="O28"/>
      <x:c r="P28"/>
      <x:c r="Q28"/>
      <x:c r="R28"/>
      <x:c r="S28"/>
      <x:c r="T28"/>
      <x:c r="U28"/>
      <x:c r="V28"/>
    </x:row>
    <x:row r="29">
      <x:c r="A29"/>
      <x:c r="B29"/>
      <x:c r="C29"/>
      <x:c r="D29"/>
      <x:c r="E29"/>
      <x:c r="F29"/>
      <x:c r="G29"/>
      <x:c r="H29"/>
      <x:c r="I29"/>
      <x:c r="J29"/>
      <x:c r="K29"/>
      <x:c r="L29"/>
      <x:c r="M29"/>
      <x:c r="N29"/>
      <x:c r="O29"/>
      <x:c r="P29"/>
      <x:c r="Q29"/>
      <x:c r="R29"/>
      <x:c r="S29"/>
      <x:c r="T29"/>
      <x:c r="U29"/>
      <x:c r="V29"/>
    </x:row>
    <x:row r="30">
      <x:c r="A30"/>
      <x:c r="B30"/>
      <x:c r="C30"/>
      <x:c r="D30"/>
      <x:c r="E30"/>
      <x:c r="F30"/>
      <x:c r="G30"/>
      <x:c r="H30"/>
      <x:c r="I30"/>
      <x:c r="J30"/>
      <x:c r="K30"/>
      <x:c r="L30"/>
      <x:c r="M30"/>
      <x:c r="N30"/>
      <x:c r="O30"/>
      <x:c r="P30"/>
      <x:c r="Q30"/>
      <x:c r="R30"/>
      <x:c r="S30"/>
      <x:c r="T30"/>
      <x:c r="U30"/>
      <x:c r="V30"/>
    </x:row>
    <x:row r="31">
      <x:c r="A31"/>
      <x:c r="B31"/>
      <x:c r="C31"/>
      <x:c r="D31"/>
      <x:c r="E31"/>
      <x:c r="F31"/>
      <x:c r="G31"/>
      <x:c r="H31"/>
      <x:c r="I31"/>
      <x:c r="J31"/>
      <x:c r="K31"/>
      <x:c r="L31"/>
      <x:c r="M31"/>
      <x:c r="N31"/>
      <x:c r="O31"/>
      <x:c r="P31"/>
      <x:c r="Q31"/>
      <x:c r="R31"/>
      <x:c r="S31"/>
      <x:c r="T31"/>
      <x:c r="U31"/>
      <x:c r="V31"/>
    </x:row>
    <x:row r="32">
      <x:c r="A32"/>
      <x:c r="B32"/>
      <x:c r="C32"/>
      <x:c r="D32"/>
      <x:c r="E32"/>
      <x:c r="F32"/>
      <x:c r="G32"/>
      <x:c r="H32"/>
      <x:c r="I32"/>
      <x:c r="J32"/>
      <x:c r="K32"/>
      <x:c r="L32"/>
      <x:c r="M32"/>
      <x:c r="N32"/>
      <x:c r="O32"/>
      <x:c r="P32"/>
      <x:c r="Q32"/>
      <x:c r="R32"/>
      <x:c r="S32"/>
      <x:c r="T32"/>
      <x:c r="U32"/>
      <x:c r="V32"/>
    </x:row>
  </x:sheetData>
  <x:mergeCells>
    <x:mergeCell ref="A1:H1"/>
    <x:mergeCell ref="A3:H6"/>
  </x:mergeCells>
  <x:pageMargins left="0.7" right="0.7" top="0.75" bottom="0.75" header="0.3" footer="0.3"/>
</x:worksheet>
</file>